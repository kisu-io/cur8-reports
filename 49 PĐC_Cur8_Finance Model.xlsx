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x" sheetId="1" r:id="rId4"/>
    <sheet state="visible" name="Assumption" sheetId="2" r:id="rId5"/>
    <sheet state="visible" name="Model" sheetId="3" r:id="rId6"/>
    <sheet state="visible" name="Summary" sheetId="4" r:id="rId7"/>
    <sheet state="visible" name="4. Cashflow" sheetId="5" r:id="rId8"/>
    <sheet state="visible" name="Reference" sheetId="6" r:id="rId9"/>
  </sheets>
  <definedNames>
    <definedName localSheetId="0" name="solver_adj">Summary!#REF!</definedName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opt">Summary!#REF!</definedName>
    <definedName localSheetId="0" name="solver_pre">0.000001</definedName>
    <definedName localSheetId="0" name="solver_rbv">1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0</definedName>
    <definedName localSheetId="0" name="solver_ver">3</definedName>
    <definedName name="Year">Reference!$B$2:$B$2060</definedName>
    <definedName name="Month">Reference!$C$2:$C$2060</definedName>
    <definedName name="Weekday">Reference!$D$2:$D$2060</definedName>
  </definedNames>
  <calcPr/>
  <extLst>
    <ext uri="GoogleSheetsCustomDataVersion2">
      <go:sheetsCustomData xmlns:go="http://customooxmlschemas.google.com/" r:id="rId10" roundtripDataChecksum="cbNokLSgjQfS3xKk2XWSCBiTIfnbMxM4jyhGygKErn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">
      <text>
        <t xml:space="preserve">======
ID#AAABnc2phNA
tc={7C7FF8E1-C693-459D-B15E-1D7C133B7890}    (2025-07-17 10:15:02)
[Threaded comment]
Your version of Excel allows you to read this threaded comment; however, any edits to it will get removed if the file is opened in a newer version of Excel. Learn more: https://go.microsoft.com/fwlink/?linkid=870924
Comment:
    Tet effect</t>
      </text>
    </comment>
  </commentList>
  <extLst>
    <ext uri="GoogleSheetsCustomDataVersion2">
      <go:sheetsCustomData xmlns:go="http://customooxmlschemas.google.com/" r:id="rId1" roundtripDataSignature="AMtx7mjXmPe4TWNlqmUBUyLcHiRapla5Rg=="/>
    </ext>
  </extLst>
</comments>
</file>

<file path=xl/sharedStrings.xml><?xml version="1.0" encoding="utf-8"?>
<sst xmlns="http://schemas.openxmlformats.org/spreadsheetml/2006/main" count="556" uniqueCount="274">
  <si>
    <t>#</t>
  </si>
  <si>
    <t>Capex</t>
  </si>
  <si>
    <t>Unit</t>
  </si>
  <si>
    <t>Cost</t>
  </si>
  <si>
    <t>I</t>
  </si>
  <si>
    <t>Initial outlay</t>
  </si>
  <si>
    <t>Design</t>
  </si>
  <si>
    <t>[VND]</t>
  </si>
  <si>
    <t>Construction + Fit-in + Fit-out</t>
  </si>
  <si>
    <t>Interior &amp; Madrix Lighting</t>
  </si>
  <si>
    <t>Loose Furniture</t>
  </si>
  <si>
    <t>Decor &amp; Sinage</t>
  </si>
  <si>
    <t>Sound System + DJ Equipments</t>
  </si>
  <si>
    <t>Bar + Kitchen Equipments</t>
  </si>
  <si>
    <t>Sanitary Wares</t>
  </si>
  <si>
    <t>Fire Safety Equipments</t>
  </si>
  <si>
    <t>Contigency</t>
  </si>
  <si>
    <t>BOH Fixture + Supply</t>
  </si>
  <si>
    <t>Working capital</t>
  </si>
  <si>
    <t>Pre-opening costs</t>
  </si>
  <si>
    <t>Total Investment</t>
  </si>
  <si>
    <t>II</t>
  </si>
  <si>
    <t>Maintenance capex</t>
  </si>
  <si>
    <t>Pre-opening Costs:</t>
  </si>
  <si>
    <t>Inventory (Food + Drink)</t>
  </si>
  <si>
    <t>(1 month)</t>
  </si>
  <si>
    <t>Take away Set</t>
  </si>
  <si>
    <t>MKT printing</t>
  </si>
  <si>
    <t>Scent &amp; music subcription</t>
  </si>
  <si>
    <t>Licenses</t>
  </si>
  <si>
    <t>1 rental month - construction</t>
  </si>
  <si>
    <t>Grand-opening</t>
  </si>
  <si>
    <t>Working Cap</t>
  </si>
  <si>
    <t>(2 months)</t>
  </si>
  <si>
    <t>Labor Costs</t>
  </si>
  <si>
    <t>Electricity &amp; water expense</t>
  </si>
  <si>
    <t>Internet &amp; waste mgmt expense</t>
  </si>
  <si>
    <t>Monthly maintenance expense + Pest control</t>
  </si>
  <si>
    <t>Parking expense</t>
  </si>
  <si>
    <t>A</t>
  </si>
  <si>
    <t>I.S. ITEMS</t>
  </si>
  <si>
    <t>B</t>
  </si>
  <si>
    <t>B.S. ITEMS</t>
  </si>
  <si>
    <t>Revenue Drivers</t>
  </si>
  <si>
    <t>GR</t>
  </si>
  <si>
    <t>PR</t>
  </si>
  <si>
    <t>Total</t>
  </si>
  <si>
    <t>Financing</t>
  </si>
  <si>
    <t>Input</t>
  </si>
  <si>
    <t>Sun - Thu</t>
  </si>
  <si>
    <t>Term loan</t>
  </si>
  <si>
    <t>Spending</t>
  </si>
  <si>
    <t>Borrowings</t>
  </si>
  <si>
    <t>Seat occupied</t>
  </si>
  <si>
    <t>[seat]</t>
  </si>
  <si>
    <t>Tenor</t>
  </si>
  <si>
    <t>[year]</t>
  </si>
  <si>
    <t>%implied occupancy</t>
  </si>
  <si>
    <t>[%]</t>
  </si>
  <si>
    <t>Grace period</t>
  </si>
  <si>
    <t>Annual increase</t>
  </si>
  <si>
    <t>Interest expense</t>
  </si>
  <si>
    <t>Stable seat occupied</t>
  </si>
  <si>
    <t>Capital structure</t>
  </si>
  <si>
    <t>Debt</t>
  </si>
  <si>
    <t>Fri - Sat</t>
  </si>
  <si>
    <t>Cost of debt</t>
  </si>
  <si>
    <t>Equity</t>
  </si>
  <si>
    <t>Cost of equity</t>
  </si>
  <si>
    <t>WACC</t>
  </si>
  <si>
    <t>làm sao để giữ chân khách, khách không bị chán sau 2 năm</t>
  </si>
  <si>
    <t xml:space="preserve">khả năng khách tới nghe jazz, ngồi bao lâu, chi bao nhiêu			</t>
  </si>
  <si>
    <t>nhân sự</t>
  </si>
  <si>
    <t>cà phê sáng có bán cover được chi phí nhân viên + fixed costs của ban ngày ko</t>
  </si>
  <si>
    <t>event collab vs các bên</t>
  </si>
  <si>
    <t>General assumptions</t>
  </si>
  <si>
    <t>doanh thu tập trung nhất vào khung giờ từ 7pm trở đi</t>
  </si>
  <si>
    <t>Area</t>
  </si>
  <si>
    <t>[sqm]</t>
  </si>
  <si>
    <t>bán thêm gói event, workshop ban ngày cho tầng 1</t>
  </si>
  <si>
    <t>Capacity</t>
  </si>
  <si>
    <t>menu food - drinks -&gt; chất lượng, cạnh tranh =&gt; nguồn thu chính</t>
  </si>
  <si>
    <t>Escalation rate</t>
  </si>
  <si>
    <t>làm event có special DJ sẽ bán ntn?</t>
  </si>
  <si>
    <t>Ramp-up schedule</t>
  </si>
  <si>
    <t>[month]</t>
  </si>
  <si>
    <t>làm sao để khách biết đến mình =&gt; mkt plan</t>
  </si>
  <si>
    <t>LNY effect</t>
  </si>
  <si>
    <t xml:space="preserve"> </t>
  </si>
  <si>
    <t>Xmas &amp; NYE effect</t>
  </si>
  <si>
    <t>No-event daily Sun-Thu</t>
  </si>
  <si>
    <t>With event Fri-Sat</t>
  </si>
  <si>
    <t>10:00PM - 25:00</t>
  </si>
  <si>
    <t>Cost Structure</t>
  </si>
  <si>
    <t>Defect</t>
  </si>
  <si>
    <t>Mon-Tue-Wed-Thu</t>
  </si>
  <si>
    <t>Food</t>
  </si>
  <si>
    <t>Drink</t>
  </si>
  <si>
    <t>COGS</t>
  </si>
  <si>
    <t>Rental expense</t>
  </si>
  <si>
    <t>Monthly fee</t>
  </si>
  <si>
    <t>[VND/month]</t>
  </si>
  <si>
    <t>Sun</t>
  </si>
  <si>
    <t>Fri - Sun</t>
  </si>
  <si>
    <t>Escalation (biannually)</t>
  </si>
  <si>
    <t>Labor Expense</t>
  </si>
  <si>
    <t>Scent &amp; Music Subscriptions</t>
  </si>
  <si>
    <t>Other fixed costs</t>
  </si>
  <si>
    <t>Take away set</t>
  </si>
  <si>
    <t>Printing</t>
  </si>
  <si>
    <t>có thể phải share bãi giữ xe cho khách cf sáng</t>
  </si>
  <si>
    <t>Contingency</t>
  </si>
  <si>
    <t>Cost escalation</t>
  </si>
  <si>
    <t>based on VN inflation rate</t>
  </si>
  <si>
    <t>Variable costs</t>
  </si>
  <si>
    <t>Food Cost</t>
  </si>
  <si>
    <t>Drink Cost</t>
  </si>
  <si>
    <t>G&amp;A expenses</t>
  </si>
  <si>
    <t>Marketing expenses</t>
  </si>
  <si>
    <t>SUPPORTING SCHEDULE</t>
  </si>
  <si>
    <t>Period</t>
  </si>
  <si>
    <t>Year</t>
  </si>
  <si>
    <t>Month</t>
  </si>
  <si>
    <t>Date</t>
  </si>
  <si>
    <t>REVENUE DRIVERS</t>
  </si>
  <si>
    <t>Working schedule</t>
  </si>
  <si>
    <t>Monday</t>
  </si>
  <si>
    <t>Tuesday</t>
  </si>
  <si>
    <t>Wednesday</t>
  </si>
  <si>
    <t>Thursday</t>
  </si>
  <si>
    <t>Friday</t>
  </si>
  <si>
    <t>Saturday</t>
  </si>
  <si>
    <t>Sunday</t>
  </si>
  <si>
    <t>Capacity adjustment</t>
  </si>
  <si>
    <t>Ramp-up capacity</t>
  </si>
  <si>
    <t>LNY adjustment</t>
  </si>
  <si>
    <t>Feb</t>
  </si>
  <si>
    <t>Xmas &amp; NYE adjustment</t>
  </si>
  <si>
    <t>Dec</t>
  </si>
  <si>
    <t>Total effect on capacity</t>
  </si>
  <si>
    <t>Daily order count (pre-adjustment)</t>
  </si>
  <si>
    <t>On Mon - Thu</t>
  </si>
  <si>
    <t>General seats</t>
  </si>
  <si>
    <t>PDR</t>
  </si>
  <si>
    <t>On Fri - Sun</t>
  </si>
  <si>
    <t xml:space="preserve">Total </t>
  </si>
  <si>
    <t>Daily order count (post-adjustment)</t>
  </si>
  <si>
    <t>%Occupancy</t>
  </si>
  <si>
    <t>Revenue</t>
  </si>
  <si>
    <t>Total spending</t>
  </si>
  <si>
    <t>Food spending</t>
  </si>
  <si>
    <t>Beverage spending</t>
  </si>
  <si>
    <t>Service charge</t>
  </si>
  <si>
    <t>Gross revenue</t>
  </si>
  <si>
    <t>COST STRUCTURE</t>
  </si>
  <si>
    <t xml:space="preserve">Food </t>
  </si>
  <si>
    <t>Beverage</t>
  </si>
  <si>
    <t>Fixed costs</t>
  </si>
  <si>
    <t>Labor expenses</t>
  </si>
  <si>
    <t>Rental expenses</t>
  </si>
  <si>
    <t>MKT fee and Printing</t>
  </si>
  <si>
    <t>Monthly maintenance expense</t>
  </si>
  <si>
    <t>Debt schedule</t>
  </si>
  <si>
    <t>D&amp;A schedule (Initial capex)</t>
  </si>
  <si>
    <t>Fixed asset, OB</t>
  </si>
  <si>
    <t>D&amp;A expense</t>
  </si>
  <si>
    <t>Fixed asset, EB</t>
  </si>
  <si>
    <t>D&amp;A schedule (FY1)</t>
  </si>
  <si>
    <t>D&amp;A schedule (FY2)</t>
  </si>
  <si>
    <t>D&amp;A schedule (FY3)</t>
  </si>
  <si>
    <t>D&amp;A schedule (FY4)</t>
  </si>
  <si>
    <t>C</t>
  </si>
  <si>
    <t>PRO-FORMA P&amp;L</t>
  </si>
  <si>
    <t>Net revenue</t>
  </si>
  <si>
    <t>Gross profit</t>
  </si>
  <si>
    <t>Gross margin</t>
  </si>
  <si>
    <t>Other operation expenses</t>
  </si>
  <si>
    <t>EBITDA</t>
  </si>
  <si>
    <t>EBITDA margin</t>
  </si>
  <si>
    <t>EBIT</t>
  </si>
  <si>
    <t>EBIT margin</t>
  </si>
  <si>
    <t>EBT</t>
  </si>
  <si>
    <t>EBT margin</t>
  </si>
  <si>
    <t>Cumulative EBT</t>
  </si>
  <si>
    <t>D</t>
  </si>
  <si>
    <t>LABOR COSTS</t>
  </si>
  <si>
    <t>Position</t>
  </si>
  <si>
    <t>Monthly Cost</t>
  </si>
  <si>
    <t>Monthly Accrual</t>
  </si>
  <si>
    <t>Cost per HC</t>
  </si>
  <si>
    <t>Headcount</t>
  </si>
  <si>
    <t>Monthly Total</t>
  </si>
  <si>
    <t>Base Salary</t>
  </si>
  <si>
    <t>Meal Allw</t>
  </si>
  <si>
    <t>Parking</t>
  </si>
  <si>
    <t>Insurance</t>
  </si>
  <si>
    <t>Bonus</t>
  </si>
  <si>
    <t>13th Salary</t>
  </si>
  <si>
    <t>Staffs</t>
  </si>
  <si>
    <t>GM salary</t>
  </si>
  <si>
    <t>MKT</t>
  </si>
  <si>
    <t>Vũ - PA</t>
  </si>
  <si>
    <t>Supervisor</t>
  </si>
  <si>
    <t>Bar leader</t>
  </si>
  <si>
    <t>Bar staff</t>
  </si>
  <si>
    <t>Server leader</t>
  </si>
  <si>
    <t xml:space="preserve">Server </t>
  </si>
  <si>
    <t>Cashier</t>
  </si>
  <si>
    <t>Kitchen Team</t>
  </si>
  <si>
    <t>Sub total</t>
  </si>
  <si>
    <t>Others</t>
  </si>
  <si>
    <t>DJ team</t>
  </si>
  <si>
    <t>Live music band</t>
  </si>
  <si>
    <t>khả năng khách tới nghe jazz, ngồi bao lâu, chi bao nhiêu</t>
  </si>
  <si>
    <t>Security Team</t>
  </si>
  <si>
    <t>Maintenance staff</t>
  </si>
  <si>
    <t>Kelly</t>
  </si>
  <si>
    <t>Housekeeping</t>
  </si>
  <si>
    <t>SUMMARY</t>
  </si>
  <si>
    <t>Begin Date</t>
  </si>
  <si>
    <t>End Date</t>
  </si>
  <si>
    <t>PRO-FORMA P&amp;L:</t>
  </si>
  <si>
    <t>Deduction</t>
  </si>
  <si>
    <t>Other operating expenses</t>
  </si>
  <si>
    <t>Cumulative</t>
  </si>
  <si>
    <t>CIT</t>
  </si>
  <si>
    <t>NPAT</t>
  </si>
  <si>
    <t>Net margin</t>
  </si>
  <si>
    <t>KPI:</t>
  </si>
  <si>
    <t>Daily seat occupied</t>
  </si>
  <si>
    <t>Occupancy rate</t>
  </si>
  <si>
    <t>Average spending</t>
  </si>
  <si>
    <t>Revenue growth</t>
  </si>
  <si>
    <t>Initial capital requirement (Sep/25):</t>
  </si>
  <si>
    <t>Tháng đầu tiên đang gánh thêm working capital của 2 tháng đầu.</t>
  </si>
  <si>
    <t xml:space="preserve">Total equity requirement in Sep/25 - Feb/26: </t>
  </si>
  <si>
    <t>Nhỏ hơn tổng mức đầu tư ban đầu do có doanh thu hoạt động gánh cùng.</t>
  </si>
  <si>
    <t>Cash flow</t>
  </si>
  <si>
    <t>Cashflow from operation</t>
  </si>
  <si>
    <t>Cashflow from investment</t>
  </si>
  <si>
    <t>Cashflow from financing</t>
  </si>
  <si>
    <t>Principal repayment</t>
  </si>
  <si>
    <t>Net cash flow</t>
  </si>
  <si>
    <t>Status</t>
  </si>
  <si>
    <t>KPI</t>
  </si>
  <si>
    <t>Daily order count</t>
  </si>
  <si>
    <t>Occupancy</t>
  </si>
  <si>
    <t>Initial Capex</t>
  </si>
  <si>
    <t>Unit Cost</t>
  </si>
  <si>
    <t>INITIAL OUTLAY</t>
  </si>
  <si>
    <t>Construction</t>
  </si>
  <si>
    <t>VND/sqm</t>
  </si>
  <si>
    <t>Equipments (all)</t>
  </si>
  <si>
    <t>Other costs</t>
  </si>
  <si>
    <t>months</t>
  </si>
  <si>
    <t>VND</t>
  </si>
  <si>
    <t>DATE</t>
  </si>
  <si>
    <t>YEAR</t>
  </si>
  <si>
    <t>MONTH</t>
  </si>
  <si>
    <t>WEEKDAY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</si>
  <si>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</si>
  <si>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</si>
  <si>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</si>
  <si>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</si>
  <si>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</si>
  <si>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</si>
  <si>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</si>
  <si>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</si>
  <si>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</si>
  <si>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</si>
  <si>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SCENARIO</t>
  </si>
  <si>
    <t>Base Case</t>
  </si>
  <si>
    <t>Best Case</t>
  </si>
  <si>
    <t>Worst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</si>
</sst>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;\(#,##0\);\-"/>
    <numFmt numFmtId="165" formatCode="&quot;Year &quot;0"/>
    <numFmt numFmtId="166" formatCode="0.0%;\(0.0%\)"/>
    <numFmt numFmtId="167" formatCode="0%;\(0%\)"/>
    <numFmt numFmtId="168" formatCode="&quot;+&quot;0%;\(0%\)"/>
    <numFmt numFmtId="169" formatCode="h:mm am/pm"/>
    <numFmt numFmtId="170" formatCode="&quot;FY&quot;0"/>
    <numFmt numFmtId="171" formatCode="0%;\(0%\);\-"/>
    <numFmt numFmtId="172" formatCode="0&quot; years&quot;"/>
    <numFmt numFmtId="173" formatCode="0.0%"/>
  </numFmts>
  <fonts count="46">
    <font>
      <sz val="10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BFBFBF"/>
      <name val="Arial"/>
    </font>
    <font>
      <sz val="10.0"/>
      <color rgb="FF0000FF"/>
      <name val="Arial"/>
    </font>
    <font>
      <sz val="10.0"/>
      <color rgb="FFCCCCCC"/>
      <name val="Arial"/>
    </font>
    <font>
      <sz val="10.0"/>
      <color rgb="FFD9D9D9"/>
      <name val="Arial"/>
    </font>
    <font>
      <b/>
      <sz val="10.0"/>
      <color rgb="FFBFBFBF"/>
      <name val="Arial"/>
    </font>
    <font>
      <b/>
      <sz val="10.0"/>
      <color rgb="FF980000"/>
      <name val="Arial"/>
    </font>
    <font>
      <i/>
      <sz val="10.0"/>
      <color theme="1"/>
      <name val="Arial"/>
    </font>
    <font>
      <color theme="1"/>
      <name val="Calibri"/>
      <scheme val="minor"/>
    </font>
    <font>
      <color theme="1"/>
      <name val="Calibri"/>
    </font>
    <font>
      <i/>
      <sz val="10.0"/>
      <color rgb="FF7F7F7F"/>
      <name val="Arial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  <font>
      <i/>
      <sz val="10.0"/>
      <color theme="0"/>
      <name val="Arial"/>
    </font>
    <font>
      <b/>
      <sz val="14.0"/>
      <color theme="0"/>
      <name val="Arial"/>
    </font>
    <font>
      <sz val="11.0"/>
      <color theme="0"/>
      <name val="Arial"/>
    </font>
    <font>
      <sz val="11.0"/>
      <color rgb="FF0000FF"/>
      <name val="Arial"/>
    </font>
    <font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i/>
      <sz val="11.0"/>
      <color theme="1"/>
      <name val="Arial"/>
    </font>
    <font>
      <b/>
      <i/>
      <sz val="11.0"/>
      <color theme="1"/>
      <name val="Arial"/>
    </font>
    <font>
      <b/>
      <sz val="11.0"/>
      <color rgb="FF980000"/>
      <name val="Arial"/>
    </font>
    <font>
      <sz val="11.0"/>
      <color rgb="FF980000"/>
      <name val="Arial"/>
    </font>
    <font>
      <color rgb="FF980000"/>
      <name val="Calibri"/>
    </font>
    <font>
      <b/>
      <sz val="11.0"/>
      <color theme="0"/>
      <name val="Arial"/>
    </font>
    <font/>
    <font>
      <b/>
      <sz val="12.0"/>
      <color theme="1"/>
      <name val="Calibri"/>
    </font>
    <font>
      <b/>
      <sz val="10.0"/>
      <color theme="0"/>
      <name val="Arial"/>
    </font>
    <font>
      <sz val="10.0"/>
      <color rgb="FF7F7F7F"/>
      <name val="Arial"/>
    </font>
    <font>
      <sz val="10.0"/>
      <color theme="0"/>
      <name val="Arial"/>
    </font>
    <font>
      <u/>
      <sz val="10.0"/>
      <color rgb="FFBFBFBF"/>
      <name val="Arial"/>
    </font>
    <font>
      <sz val="11.0"/>
      <color theme="1"/>
      <name val="Calibri"/>
    </font>
    <font>
      <b/>
      <u/>
      <sz val="11.0"/>
      <color theme="1"/>
      <name val="Calibri"/>
    </font>
    <font>
      <b/>
      <sz val="11.0"/>
      <color rgb="FFC00000"/>
      <name val="Calibri"/>
    </font>
    <font>
      <b/>
      <sz val="11.0"/>
      <color rgb="FF980000"/>
      <name val="Calibri"/>
    </font>
    <font>
      <b/>
      <i/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i/>
      <sz val="11.0"/>
      <color rgb="FF7F7F7F"/>
      <name val="Calibri"/>
    </font>
    <font>
      <sz val="11.0"/>
      <color rgb="FF0000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153D64"/>
        <bgColor rgb="FF153D64"/>
      </patternFill>
    </fill>
    <fill>
      <patternFill patternType="solid">
        <fgColor rgb="FF980000"/>
        <bgColor rgb="FF980000"/>
      </patternFill>
    </fill>
    <fill>
      <patternFill patternType="solid">
        <fgColor rgb="FF073763"/>
        <bgColor rgb="FF073763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9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theme="0"/>
      </right>
      <top style="thin">
        <color rgb="FF000000"/>
      </top>
    </border>
    <border>
      <left style="thin">
        <color theme="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rgb="FF000000"/>
      </right>
      <bottom style="thin">
        <color theme="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64" xfId="0" applyAlignment="1" applyBorder="1" applyFill="1" applyFont="1" applyNumberFormat="1">
      <alignment horizontal="center"/>
    </xf>
    <xf borderId="2" fillId="2" fontId="2" numFmtId="164" xfId="0" applyAlignment="1" applyBorder="1" applyFont="1" applyNumberFormat="1">
      <alignment horizontal="center"/>
    </xf>
    <xf borderId="3" fillId="2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2" numFmtId="164" xfId="0" applyFont="1" applyNumberFormat="1"/>
    <xf borderId="5" fillId="0" fontId="2" numFmtId="164" xfId="0" applyBorder="1" applyFont="1" applyNumberFormat="1"/>
    <xf borderId="0" fillId="0" fontId="2" numFmtId="0" xfId="0" applyFont="1"/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readingOrder="0"/>
    </xf>
    <xf borderId="4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3" numFmtId="164" xfId="0" applyFont="1" applyNumberFormat="1"/>
    <xf borderId="6" fillId="3" fontId="4" numFmtId="164" xfId="0" applyBorder="1" applyFill="1" applyFont="1" applyNumberFormat="1"/>
    <xf borderId="5" fillId="0" fontId="1" numFmtId="164" xfId="0" applyBorder="1" applyFont="1" applyNumberFormat="1"/>
    <xf borderId="0" fillId="4" fontId="5" numFmtId="164" xfId="0" applyFill="1" applyFont="1" applyNumberFormat="1"/>
    <xf borderId="5" fillId="0" fontId="4" numFmtId="164" xfId="0" applyBorder="1" applyFont="1" applyNumberFormat="1"/>
    <xf borderId="0" fillId="5" fontId="1" numFmtId="164" xfId="0" applyAlignment="1" applyFill="1" applyFont="1" applyNumberFormat="1">
      <alignment horizontal="left"/>
    </xf>
    <xf borderId="0" fillId="0" fontId="6" numFmtId="164" xfId="0" applyAlignment="1" applyFont="1" applyNumberFormat="1">
      <alignment horizontal="center"/>
    </xf>
    <xf borderId="0" fillId="3" fontId="4" numFmtId="164" xfId="0" applyFont="1" applyNumberFormat="1"/>
    <xf borderId="0" fillId="0" fontId="7" numFmtId="164" xfId="0" applyFont="1" applyNumberFormat="1"/>
    <xf borderId="0" fillId="0" fontId="8" numFmtId="164" xfId="0" applyAlignment="1" applyFont="1" applyNumberFormat="1">
      <alignment horizontal="right"/>
    </xf>
    <xf borderId="5" fillId="0" fontId="1" numFmtId="164" xfId="0" applyAlignment="1" applyBorder="1" applyFont="1" applyNumberFormat="1">
      <alignment horizontal="right"/>
    </xf>
    <xf borderId="7" fillId="0" fontId="2" numFmtId="0" xfId="0" applyAlignment="1" applyBorder="1" applyFont="1">
      <alignment horizontal="center"/>
    </xf>
    <xf borderId="8" fillId="0" fontId="2" numFmtId="164" xfId="0" applyBorder="1" applyFont="1" applyNumberFormat="1"/>
    <xf borderId="9" fillId="0" fontId="2" numFmtId="164" xfId="0" applyBorder="1" applyFont="1" applyNumberFormat="1"/>
    <xf borderId="0" fillId="0" fontId="1" numFmtId="165" xfId="0" applyAlignment="1" applyFont="1" applyNumberFormat="1">
      <alignment horizontal="left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7" fillId="0" fontId="2" numFmtId="0" xfId="0" applyBorder="1" applyFont="1"/>
    <xf borderId="8" fillId="0" fontId="1" numFmtId="0" xfId="0" applyBorder="1" applyFont="1"/>
    <xf borderId="8" fillId="0" fontId="2" numFmtId="3" xfId="0" applyBorder="1" applyFont="1" applyNumberFormat="1"/>
    <xf borderId="9" fillId="0" fontId="1" numFmtId="0" xfId="0" applyBorder="1" applyFont="1"/>
    <xf borderId="4" fillId="0" fontId="1" numFmtId="0" xfId="0" applyBorder="1" applyFont="1"/>
    <xf borderId="0" fillId="6" fontId="1" numFmtId="0" xfId="0" applyFill="1" applyFont="1"/>
    <xf borderId="0" fillId="6" fontId="1" numFmtId="3" xfId="0" applyFont="1" applyNumberForma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4" fontId="1" numFmtId="0" xfId="0" applyFont="1"/>
    <xf borderId="0" fillId="4" fontId="1" numFmtId="3" xfId="0" applyFont="1" applyNumberFormat="1"/>
    <xf borderId="0" fillId="7" fontId="1" numFmtId="164" xfId="0" applyAlignment="1" applyFill="1" applyFont="1" applyNumberFormat="1">
      <alignment horizontal="left" readingOrder="0"/>
    </xf>
    <xf borderId="0" fillId="7" fontId="1" numFmtId="0" xfId="0" applyFont="1"/>
    <xf borderId="0" fillId="7" fontId="1" numFmtId="3" xfId="0" applyAlignment="1" applyFont="1" applyNumberFormat="1">
      <alignment readingOrder="0"/>
    </xf>
    <xf borderId="11" fillId="0" fontId="1" numFmtId="3" xfId="0" applyBorder="1" applyFont="1" applyNumberFormat="1"/>
    <xf borderId="0" fillId="0" fontId="1" numFmtId="164" xfId="0" applyAlignment="1" applyFont="1" applyNumberFormat="1">
      <alignment horizontal="left" readingOrder="0"/>
    </xf>
    <xf borderId="11" fillId="0" fontId="2" numFmtId="0" xfId="0" applyAlignment="1" applyBorder="1" applyFont="1">
      <alignment horizontal="center"/>
    </xf>
    <xf borderId="11" fillId="0" fontId="2" numFmtId="164" xfId="0" applyBorder="1" applyFont="1" applyNumberFormat="1"/>
    <xf borderId="11" fillId="0" fontId="2" numFmtId="164" xfId="0" applyAlignment="1" applyBorder="1" applyFont="1" applyNumberFormat="1">
      <alignment horizontal="left"/>
    </xf>
    <xf borderId="11" fillId="0" fontId="2" numFmtId="164" xfId="0" applyAlignment="1" applyBorder="1" applyFont="1" applyNumberFormat="1">
      <alignment horizontal="center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6" fillId="3" fontId="4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horizontal="center"/>
    </xf>
    <xf borderId="0" fillId="0" fontId="9" numFmtId="164" xfId="0" applyAlignment="1" applyFont="1" applyNumberFormat="1">
      <alignment horizontal="left"/>
    </xf>
    <xf borderId="0" fillId="0" fontId="9" numFmtId="9" xfId="0" applyFont="1" applyNumberFormat="1"/>
    <xf borderId="5" fillId="0" fontId="9" numFmtId="9" xfId="0" applyBorder="1" applyFont="1" applyNumberFormat="1"/>
    <xf borderId="4" fillId="0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readingOrder="0"/>
    </xf>
    <xf borderId="5" fillId="0" fontId="4" numFmtId="166" xfId="0" applyBorder="1" applyFont="1" applyNumberFormat="1"/>
    <xf borderId="5" fillId="0" fontId="4" numFmtId="167" xfId="0" applyBorder="1" applyFont="1" applyNumberFormat="1"/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readingOrder="0"/>
    </xf>
    <xf borderId="8" fillId="0" fontId="3" numFmtId="164" xfId="0" applyBorder="1" applyFont="1" applyNumberFormat="1"/>
    <xf borderId="8" fillId="0" fontId="1" numFmtId="164" xfId="0" applyAlignment="1" applyBorder="1" applyFont="1" applyNumberFormat="1">
      <alignment horizontal="left"/>
    </xf>
    <xf borderId="8" fillId="0" fontId="1" numFmtId="164" xfId="0" applyBorder="1" applyFont="1" applyNumberFormat="1"/>
    <xf borderId="9" fillId="0" fontId="1" numFmtId="164" xfId="0" applyBorder="1" applyFont="1" applyNumberFormat="1"/>
    <xf borderId="10" fillId="0" fontId="1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left"/>
    </xf>
    <xf borderId="11" fillId="0" fontId="3" numFmtId="164" xfId="0" applyAlignment="1" applyBorder="1" applyFont="1" applyNumberFormat="1">
      <alignment horizontal="center"/>
    </xf>
    <xf borderId="12" fillId="0" fontId="4" numFmtId="166" xfId="0" applyBorder="1" applyFont="1" applyNumberFormat="1"/>
    <xf borderId="0" fillId="0" fontId="1" numFmtId="9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 shrinkToFit="0" wrapText="0"/>
    </xf>
    <xf borderId="0" fillId="0" fontId="1" numFmtId="164" xfId="0" applyAlignment="1" applyFont="1" applyNumberFormat="1">
      <alignment horizontal="left"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64" xfId="0" applyAlignment="1" applyFont="1" applyNumberFormat="1">
      <alignment shrinkToFit="0" wrapText="0"/>
    </xf>
    <xf borderId="10" fillId="0" fontId="2" numFmtId="164" xfId="0" applyAlignment="1" applyBorder="1" applyFont="1" applyNumberFormat="1">
      <alignment horizontal="center"/>
    </xf>
    <xf borderId="11" fillId="0" fontId="9" numFmtId="164" xfId="0" applyAlignment="1" applyBorder="1" applyFont="1" applyNumberFormat="1">
      <alignment horizontal="left"/>
    </xf>
    <xf borderId="11" fillId="0" fontId="3" numFmtId="164" xfId="0" applyBorder="1" applyFont="1" applyNumberFormat="1"/>
    <xf borderId="11" fillId="0" fontId="9" numFmtId="9" xfId="0" applyBorder="1" applyFont="1" applyNumberFormat="1"/>
    <xf borderId="12" fillId="0" fontId="9" numFmtId="9" xfId="0" applyBorder="1" applyFont="1" applyNumberFormat="1"/>
    <xf borderId="5" fillId="0" fontId="4" numFmtId="164" xfId="0" applyAlignment="1" applyBorder="1" applyFont="1" applyNumberFormat="1">
      <alignment readingOrder="0"/>
    </xf>
    <xf borderId="5" fillId="0" fontId="4" numFmtId="9" xfId="0" applyBorder="1" applyFont="1" applyNumberFormat="1"/>
    <xf borderId="0" fillId="0" fontId="1" numFmtId="164" xfId="0" applyAlignment="1" applyFont="1" applyNumberFormat="1">
      <alignment horizontal="center" readingOrder="0" shrinkToFit="0" wrapText="0"/>
    </xf>
    <xf borderId="11" fillId="0" fontId="1" numFmtId="164" xfId="0" applyBorder="1" applyFont="1" applyNumberFormat="1"/>
    <xf borderId="12" fillId="0" fontId="4" numFmtId="168" xfId="0" applyBorder="1" applyFont="1" applyNumberFormat="1"/>
    <xf borderId="0" fillId="0" fontId="10" numFmtId="0" xfId="0" applyAlignment="1" applyFont="1">
      <alignment readingOrder="0"/>
    </xf>
    <xf borderId="0" fillId="0" fontId="11" numFmtId="169" xfId="0" applyAlignment="1" applyFont="1" applyNumberFormat="1">
      <alignment horizontal="center" readingOrder="0" shrinkToFit="0" wrapText="0"/>
    </xf>
    <xf borderId="0" fillId="6" fontId="1" numFmtId="169" xfId="0" applyAlignment="1" applyFont="1" applyNumberFormat="1">
      <alignment readingOrder="0"/>
    </xf>
    <xf borderId="0" fillId="7" fontId="1" numFmtId="164" xfId="0" applyAlignment="1" applyFont="1" applyNumberFormat="1">
      <alignment readingOrder="0"/>
    </xf>
    <xf borderId="0" fillId="7" fontId="1" numFmtId="169" xfId="0" applyAlignment="1" applyFont="1" applyNumberFormat="1">
      <alignment readingOrder="0"/>
    </xf>
    <xf borderId="13" fillId="2" fontId="2" numFmtId="0" xfId="0" applyAlignment="1" applyBorder="1" applyFont="1">
      <alignment horizontal="center"/>
    </xf>
    <xf borderId="14" fillId="2" fontId="2" numFmtId="164" xfId="0" applyAlignment="1" applyBorder="1" applyFont="1" applyNumberFormat="1">
      <alignment horizontal="center"/>
    </xf>
    <xf borderId="15" fillId="2" fontId="2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9" fillId="0" fontId="4" numFmtId="164" xfId="0" applyBorder="1" applyFont="1" applyNumberFormat="1"/>
    <xf borderId="0" fillId="0" fontId="12" numFmtId="164" xfId="0" applyAlignment="1" applyFont="1" applyNumberFormat="1">
      <alignment horizontal="left"/>
    </xf>
    <xf borderId="5" fillId="0" fontId="4" numFmtId="166" xfId="0" applyAlignment="1" applyBorder="1" applyFont="1" applyNumberFormat="1">
      <alignment readingOrder="0"/>
    </xf>
    <xf borderId="4" fillId="0" fontId="13" numFmtId="0" xfId="0" applyAlignment="1" applyBorder="1" applyFont="1">
      <alignment horizontal="center"/>
    </xf>
    <xf borderId="0" fillId="0" fontId="13" numFmtId="0" xfId="0" applyFont="1"/>
    <xf borderId="0" fillId="0" fontId="14" numFmtId="0" xfId="0" applyFont="1"/>
    <xf borderId="10" fillId="0" fontId="14" numFmtId="0" xfId="0" applyBorder="1" applyFont="1"/>
    <xf borderId="11" fillId="0" fontId="12" numFmtId="164" xfId="0" applyAlignment="1" applyBorder="1" applyFont="1" applyNumberFormat="1">
      <alignment horizontal="left"/>
    </xf>
    <xf borderId="12" fillId="0" fontId="4" numFmtId="164" xfId="0" applyBorder="1" applyFont="1" applyNumberFormat="1"/>
    <xf borderId="9" fillId="0" fontId="15" numFmtId="164" xfId="0" applyBorder="1" applyFont="1" applyNumberFormat="1"/>
    <xf borderId="0" fillId="0" fontId="10" numFmtId="164" xfId="0" applyFont="1" applyNumberFormat="1"/>
    <xf borderId="0" fillId="0" fontId="10" numFmtId="169" xfId="0" applyFont="1" applyNumberFormat="1"/>
    <xf borderId="11" fillId="5" fontId="1" numFmtId="164" xfId="0" applyAlignment="1" applyBorder="1" applyFont="1" applyNumberFormat="1">
      <alignment horizontal="left"/>
    </xf>
    <xf borderId="12" fillId="0" fontId="4" numFmtId="167" xfId="0" applyBorder="1" applyFont="1" applyNumberFormat="1"/>
    <xf borderId="0" fillId="0" fontId="10" numFmtId="9" xfId="0" applyFont="1" applyNumberFormat="1"/>
    <xf borderId="10" fillId="0" fontId="1" numFmtId="164" xfId="0" applyAlignment="1" applyBorder="1" applyFont="1" applyNumberFormat="1">
      <alignment horizontal="center"/>
    </xf>
    <xf borderId="0" fillId="0" fontId="4" numFmtId="167" xfId="0" applyFont="1" applyNumberFormat="1"/>
    <xf borderId="0" fillId="0" fontId="2" numFmtId="164" xfId="0" applyAlignment="1" applyFont="1" applyNumberFormat="1">
      <alignment horizontal="center"/>
    </xf>
    <xf borderId="0" fillId="0" fontId="1" numFmtId="15" xfId="0" applyAlignment="1" applyFont="1" applyNumberFormat="1">
      <alignment horizontal="left"/>
    </xf>
    <xf borderId="16" fillId="8" fontId="16" numFmtId="0" xfId="0" applyBorder="1" applyFill="1" applyFont="1"/>
    <xf borderId="16" fillId="8" fontId="17" numFmtId="0" xfId="0" applyAlignment="1" applyBorder="1" applyFont="1">
      <alignment horizontal="left"/>
    </xf>
    <xf borderId="16" fillId="8" fontId="4" numFmtId="0" xfId="0" applyAlignment="1" applyBorder="1" applyFont="1">
      <alignment horizontal="right"/>
    </xf>
    <xf borderId="0" fillId="8" fontId="16" numFmtId="0" xfId="0" applyFont="1"/>
    <xf borderId="16" fillId="8" fontId="18" numFmtId="0" xfId="0" applyBorder="1" applyFont="1"/>
    <xf borderId="16" fillId="8" fontId="18" numFmtId="0" xfId="0" applyAlignment="1" applyBorder="1" applyFont="1">
      <alignment horizontal="left"/>
    </xf>
    <xf borderId="16" fillId="8" fontId="19" numFmtId="0" xfId="0" applyAlignment="1" applyBorder="1" applyFont="1">
      <alignment horizontal="right"/>
    </xf>
    <xf borderId="16" fillId="8" fontId="20" numFmtId="170" xfId="0" applyAlignment="1" applyBorder="1" applyFont="1" applyNumberFormat="1">
      <alignment horizontal="center"/>
    </xf>
    <xf borderId="16" fillId="8" fontId="18" numFmtId="170" xfId="0" applyAlignment="1" applyBorder="1" applyFont="1" applyNumberFormat="1">
      <alignment horizontal="center"/>
    </xf>
    <xf borderId="0" fillId="8" fontId="18" numFmtId="170" xfId="0" applyAlignment="1" applyFont="1" applyNumberFormat="1">
      <alignment horizontal="center"/>
    </xf>
    <xf borderId="16" fillId="8" fontId="18" numFmtId="0" xfId="0" applyAlignment="1" applyBorder="1" applyFont="1">
      <alignment horizontal="center"/>
    </xf>
    <xf borderId="0" fillId="8" fontId="18" numFmtId="0" xfId="0" applyAlignment="1" applyFont="1">
      <alignment horizontal="center"/>
    </xf>
    <xf borderId="16" fillId="9" fontId="20" numFmtId="17" xfId="0" applyAlignment="1" applyBorder="1" applyFill="1" applyFont="1" applyNumberFormat="1">
      <alignment horizontal="center" readingOrder="0"/>
    </xf>
    <xf borderId="16" fillId="8" fontId="18" numFmtId="17" xfId="0" applyAlignment="1" applyBorder="1" applyFont="1" applyNumberFormat="1">
      <alignment horizontal="center"/>
    </xf>
    <xf borderId="16" fillId="10" fontId="18" numFmtId="17" xfId="0" applyAlignment="1" applyBorder="1" applyFill="1" applyFont="1" applyNumberFormat="1">
      <alignment horizontal="center"/>
    </xf>
    <xf borderId="16" fillId="9" fontId="18" numFmtId="17" xfId="0" applyAlignment="1" applyBorder="1" applyFont="1" applyNumberFormat="1">
      <alignment horizontal="center"/>
    </xf>
    <xf borderId="0" fillId="8" fontId="18" numFmtId="17" xfId="0" applyAlignment="1" applyFont="1" applyNumberFormat="1">
      <alignment horizontal="center"/>
    </xf>
    <xf borderId="0" fillId="0" fontId="21" numFmtId="0" xfId="0" applyFont="1"/>
    <xf borderId="0" fillId="0" fontId="22" numFmtId="0" xfId="0" applyAlignment="1" applyFont="1">
      <alignment horizontal="center"/>
    </xf>
    <xf borderId="0" fillId="0" fontId="19" numFmtId="164" xfId="0" applyAlignment="1" applyFont="1" applyNumberFormat="1">
      <alignment horizontal="right"/>
    </xf>
    <xf borderId="0" fillId="0" fontId="21" numFmtId="164" xfId="0" applyFont="1" applyNumberFormat="1"/>
    <xf borderId="8" fillId="0" fontId="22" numFmtId="0" xfId="0" applyAlignment="1" applyBorder="1" applyFont="1">
      <alignment horizontal="center"/>
    </xf>
    <xf borderId="8" fillId="0" fontId="22" numFmtId="0" xfId="0" applyBorder="1" applyFont="1"/>
    <xf borderId="8" fillId="0" fontId="23" numFmtId="164" xfId="0" applyAlignment="1" applyBorder="1" applyFont="1" applyNumberFormat="1">
      <alignment horizontal="right"/>
    </xf>
    <xf borderId="8" fillId="0" fontId="22" numFmtId="164" xfId="0" applyBorder="1" applyFont="1" applyNumberFormat="1"/>
    <xf borderId="0" fillId="0" fontId="22" numFmtId="164" xfId="0" applyFont="1" applyNumberFormat="1"/>
    <xf borderId="0" fillId="0" fontId="22" numFmtId="0" xfId="0" applyFont="1"/>
    <xf borderId="0" fillId="0" fontId="23" numFmtId="164" xfId="0" applyAlignment="1" applyFont="1" applyNumberFormat="1">
      <alignment horizontal="right"/>
    </xf>
    <xf borderId="17" fillId="2" fontId="19" numFmtId="164" xfId="0" applyAlignment="1" applyBorder="1" applyFont="1" applyNumberFormat="1">
      <alignment horizontal="right"/>
    </xf>
    <xf borderId="17" fillId="2" fontId="19" numFmtId="9" xfId="0" applyAlignment="1" applyBorder="1" applyFont="1" applyNumberFormat="1">
      <alignment horizontal="right"/>
    </xf>
    <xf borderId="0" fillId="0" fontId="21" numFmtId="171" xfId="0" applyFont="1" applyNumberFormat="1"/>
    <xf borderId="0" fillId="0" fontId="22" numFmtId="171" xfId="0" applyFont="1" applyNumberFormat="1"/>
    <xf borderId="0" fillId="0" fontId="21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24" numFmtId="0" xfId="0" applyFont="1"/>
    <xf borderId="0" fillId="0" fontId="24" numFmtId="164" xfId="0" applyFont="1" applyNumberFormat="1"/>
    <xf borderId="0" fillId="0" fontId="24" numFmtId="9" xfId="0" applyFont="1" applyNumberFormat="1"/>
    <xf borderId="0" fillId="0" fontId="25" numFmtId="0" xfId="0" applyAlignment="1" applyFont="1">
      <alignment horizontal="center"/>
    </xf>
    <xf borderId="17" fillId="2" fontId="21" numFmtId="164" xfId="0" applyAlignment="1" applyBorder="1" applyFont="1" applyNumberFormat="1">
      <alignment horizontal="right"/>
    </xf>
    <xf borderId="17" fillId="2" fontId="19" numFmtId="172" xfId="0" applyAlignment="1" applyBorder="1" applyFont="1" applyNumberFormat="1">
      <alignment horizontal="right" readingOrder="0"/>
    </xf>
    <xf borderId="17" fillId="2" fontId="19" numFmtId="172" xfId="0" applyAlignment="1" applyBorder="1" applyFont="1" applyNumberFormat="1">
      <alignment horizontal="right"/>
    </xf>
    <xf borderId="0" fillId="0" fontId="24" numFmtId="173" xfId="0" applyFont="1" applyNumberFormat="1"/>
    <xf borderId="0" fillId="0" fontId="21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11" numFmtId="164" xfId="0" applyAlignment="1" applyFont="1" applyNumberFormat="1">
      <alignment vertical="bottom"/>
    </xf>
    <xf borderId="0" fillId="0" fontId="27" numFmtId="164" xfId="0" applyAlignment="1" applyFont="1" applyNumberFormat="1">
      <alignment horizontal="right" vertical="bottom"/>
    </xf>
    <xf borderId="0" fillId="5" fontId="27" numFmtId="164" xfId="0" applyAlignment="1" applyFont="1" applyNumberFormat="1">
      <alignment horizontal="right" vertical="bottom"/>
    </xf>
    <xf borderId="11" fillId="0" fontId="11" numFmtId="164" xfId="0" applyAlignment="1" applyBorder="1" applyFont="1" applyNumberFormat="1">
      <alignment vertical="bottom"/>
    </xf>
    <xf borderId="0" fillId="0" fontId="28" numFmtId="164" xfId="0" applyAlignment="1" applyFont="1" applyNumberFormat="1">
      <alignment vertical="bottom"/>
    </xf>
    <xf borderId="7" fillId="11" fontId="29" numFmtId="164" xfId="0" applyAlignment="1" applyBorder="1" applyFill="1" applyFont="1" applyNumberFormat="1">
      <alignment horizontal="center" vertical="center"/>
    </xf>
    <xf borderId="8" fillId="0" fontId="30" numFmtId="0" xfId="0" applyBorder="1" applyFont="1"/>
    <xf borderId="18" fillId="0" fontId="30" numFmtId="0" xfId="0" applyBorder="1" applyFont="1"/>
    <xf borderId="19" fillId="11" fontId="29" numFmtId="164" xfId="0" applyAlignment="1" applyBorder="1" applyFont="1" applyNumberFormat="1">
      <alignment horizontal="center" vertical="center"/>
    </xf>
    <xf borderId="20" fillId="0" fontId="30" numFmtId="0" xfId="0" applyBorder="1" applyFont="1"/>
    <xf borderId="21" fillId="0" fontId="30" numFmtId="0" xfId="0" applyBorder="1" applyFont="1"/>
    <xf borderId="22" fillId="11" fontId="29" numFmtId="164" xfId="0" applyAlignment="1" applyBorder="1" applyFont="1" applyNumberFormat="1">
      <alignment horizontal="center" vertical="center"/>
    </xf>
    <xf borderId="23" fillId="11" fontId="29" numFmtId="164" xfId="0" applyAlignment="1" applyBorder="1" applyFont="1" applyNumberFormat="1">
      <alignment horizontal="center" vertical="center"/>
    </xf>
    <xf borderId="24" fillId="0" fontId="30" numFmtId="0" xfId="0" applyBorder="1" applyFont="1"/>
    <xf borderId="25" fillId="0" fontId="30" numFmtId="0" xfId="0" applyBorder="1" applyFont="1"/>
    <xf borderId="26" fillId="0" fontId="30" numFmtId="0" xfId="0" applyBorder="1" applyFont="1"/>
    <xf borderId="27" fillId="11" fontId="29" numFmtId="164" xfId="0" applyAlignment="1" applyBorder="1" applyFont="1" applyNumberFormat="1">
      <alignment horizontal="center" shrinkToFit="0" vertical="center" wrapText="1"/>
    </xf>
    <xf borderId="27" fillId="11" fontId="29" numFmtId="164" xfId="0" applyAlignment="1" applyBorder="1" applyFont="1" applyNumberFormat="1">
      <alignment horizontal="center"/>
    </xf>
    <xf borderId="28" fillId="0" fontId="30" numFmtId="0" xfId="0" applyBorder="1" applyFont="1"/>
    <xf borderId="29" fillId="0" fontId="30" numFmtId="0" xfId="0" applyBorder="1" applyFont="1"/>
    <xf borderId="30" fillId="2" fontId="2" numFmtId="164" xfId="0" applyAlignment="1" applyBorder="1" applyFont="1" applyNumberFormat="1">
      <alignment horizontal="center"/>
    </xf>
    <xf borderId="16" fillId="2" fontId="22" numFmtId="164" xfId="0" applyBorder="1" applyFont="1" applyNumberFormat="1"/>
    <xf borderId="31" fillId="2" fontId="22" numFmtId="164" xfId="0" applyBorder="1" applyFont="1" applyNumberFormat="1"/>
    <xf borderId="5" fillId="0" fontId="4" numFmtId="3" xfId="0" applyBorder="1" applyFont="1" applyNumberFormat="1"/>
    <xf borderId="0" fillId="0" fontId="4" numFmtId="164" xfId="0" applyFont="1" applyNumberFormat="1"/>
    <xf borderId="5" fillId="0" fontId="4" numFmtId="3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4" fillId="0" fontId="11" numFmtId="0" xfId="0" applyBorder="1" applyFont="1"/>
    <xf borderId="0" fillId="0" fontId="31" numFmtId="164" xfId="0" applyFont="1" applyNumberFormat="1"/>
    <xf borderId="5" fillId="0" fontId="22" numFmtId="164" xfId="0" applyBorder="1" applyFont="1" applyNumberFormat="1"/>
    <xf borderId="11" fillId="0" fontId="11" numFmtId="0" xfId="0" applyBorder="1" applyFont="1"/>
    <xf borderId="1" fillId="2" fontId="22" numFmtId="164" xfId="0" applyBorder="1" applyFont="1" applyNumberFormat="1"/>
    <xf borderId="32" fillId="2" fontId="22" numFmtId="164" xfId="0" applyBorder="1" applyFont="1" applyNumberFormat="1"/>
    <xf borderId="2" fillId="2" fontId="22" numFmtId="164" xfId="0" applyBorder="1" applyFont="1" applyNumberFormat="1"/>
    <xf borderId="3" fillId="2" fontId="22" numFmtId="164" xfId="0" applyBorder="1" applyFont="1" applyNumberFormat="1"/>
    <xf borderId="0" fillId="0" fontId="4" numFmtId="0" xfId="0" applyFont="1"/>
    <xf borderId="11" fillId="0" fontId="22" numFmtId="164" xfId="0" applyBorder="1" applyFont="1" applyNumberFormat="1"/>
    <xf borderId="12" fillId="0" fontId="22" numFmtId="164" xfId="0" applyBorder="1" applyFont="1" applyNumberFormat="1"/>
    <xf borderId="10" fillId="12" fontId="2" numFmtId="164" xfId="0" applyAlignment="1" applyBorder="1" applyFill="1" applyFont="1" applyNumberFormat="1">
      <alignment horizontal="center"/>
    </xf>
    <xf borderId="11" fillId="12" fontId="22" numFmtId="164" xfId="0" applyBorder="1" applyFont="1" applyNumberFormat="1"/>
    <xf borderId="12" fillId="12" fontId="22" numFmtId="164" xfId="0" applyBorder="1" applyFont="1" applyNumberFormat="1"/>
    <xf borderId="0" fillId="0" fontId="26" numFmtId="164" xfId="0" applyFont="1" applyNumberFormat="1"/>
    <xf borderId="1" fillId="8" fontId="32" numFmtId="0" xfId="0" applyAlignment="1" applyBorder="1" applyFont="1">
      <alignment horizontal="left"/>
    </xf>
    <xf borderId="2" fillId="8" fontId="3" numFmtId="0" xfId="0" applyAlignment="1" applyBorder="1" applyFont="1">
      <alignment horizontal="center"/>
    </xf>
    <xf borderId="2" fillId="8" fontId="33" numFmtId="0" xfId="0" applyAlignment="1" applyBorder="1" applyFont="1">
      <alignment horizontal="center"/>
    </xf>
    <xf borderId="3" fillId="8" fontId="33" numFmtId="0" xfId="0" applyAlignment="1" applyBorder="1" applyFont="1">
      <alignment horizontal="center"/>
    </xf>
    <xf borderId="30" fillId="8" fontId="34" numFmtId="0" xfId="0" applyAlignment="1" applyBorder="1" applyFont="1">
      <alignment horizontal="left"/>
    </xf>
    <xf borderId="16" fillId="8" fontId="3" numFmtId="0" xfId="0" applyAlignment="1" applyBorder="1" applyFont="1">
      <alignment horizontal="center"/>
    </xf>
    <xf borderId="16" fillId="8" fontId="34" numFmtId="170" xfId="0" applyAlignment="1" applyBorder="1" applyFont="1" applyNumberFormat="1">
      <alignment horizontal="center"/>
    </xf>
    <xf borderId="31" fillId="8" fontId="34" numFmtId="170" xfId="0" applyAlignment="1" applyBorder="1" applyFont="1" applyNumberFormat="1">
      <alignment horizontal="center"/>
    </xf>
    <xf borderId="16" fillId="8" fontId="34" numFmtId="17" xfId="0" applyAlignment="1" applyBorder="1" applyFont="1" applyNumberFormat="1">
      <alignment horizontal="center"/>
    </xf>
    <xf borderId="31" fillId="8" fontId="34" numFmtId="17" xfId="0" applyAlignment="1" applyBorder="1" applyFont="1" applyNumberFormat="1">
      <alignment horizontal="center"/>
    </xf>
    <xf borderId="1" fillId="2" fontId="2" numFmtId="164" xfId="0" applyBorder="1" applyFont="1" applyNumberFormat="1"/>
    <xf borderId="2" fillId="2" fontId="35" numFmtId="164" xfId="0" applyBorder="1" applyFont="1" applyNumberFormat="1"/>
    <xf borderId="2" fillId="2" fontId="1" numFmtId="164" xfId="0" applyBorder="1" applyFont="1" applyNumberFormat="1"/>
    <xf borderId="3" fillId="2" fontId="1" numFmtId="164" xfId="0" applyBorder="1" applyFont="1" applyNumberFormat="1"/>
    <xf borderId="4" fillId="0" fontId="2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0" fillId="0" fontId="9" numFmtId="164" xfId="0" applyFont="1" applyNumberFormat="1"/>
    <xf borderId="7" fillId="0" fontId="2" numFmtId="0" xfId="0" applyAlignment="1" applyBorder="1" applyFont="1">
      <alignment horizontal="left"/>
    </xf>
    <xf borderId="10" fillId="0" fontId="9" numFmtId="0" xfId="0" applyAlignment="1" applyBorder="1" applyFont="1">
      <alignment horizontal="left"/>
    </xf>
    <xf borderId="11" fillId="0" fontId="9" numFmtId="171" xfId="0" applyBorder="1" applyFont="1" applyNumberFormat="1"/>
    <xf borderId="12" fillId="0" fontId="9" numFmtId="171" xfId="0" applyBorder="1" applyFont="1" applyNumberFormat="1"/>
    <xf borderId="7" fillId="0" fontId="1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12" fillId="0" fontId="1" numFmtId="164" xfId="0" applyBorder="1" applyFont="1" applyNumberFormat="1"/>
    <xf borderId="4" fillId="0" fontId="9" numFmtId="0" xfId="0" applyAlignment="1" applyBorder="1" applyFont="1">
      <alignment horizontal="left"/>
    </xf>
    <xf borderId="0" fillId="0" fontId="9" numFmtId="171" xfId="0" applyFont="1" applyNumberFormat="1"/>
    <xf borderId="5" fillId="0" fontId="9" numFmtId="171" xfId="0" applyBorder="1" applyFont="1" applyNumberFormat="1"/>
    <xf borderId="4" fillId="0" fontId="1" numFmtId="164" xfId="0" applyAlignment="1" applyBorder="1" applyFont="1" applyNumberFormat="1">
      <alignment horizontal="left"/>
    </xf>
    <xf borderId="5" fillId="0" fontId="1" numFmtId="9" xfId="0" applyBorder="1" applyFont="1" applyNumberFormat="1"/>
    <xf borderId="10" fillId="0" fontId="1" numFmtId="164" xfId="0" applyAlignment="1" applyBorder="1" applyFont="1" applyNumberFormat="1">
      <alignment horizontal="left"/>
    </xf>
    <xf borderId="11" fillId="0" fontId="1" numFmtId="9" xfId="0" applyBorder="1" applyFont="1" applyNumberFormat="1"/>
    <xf borderId="12" fillId="0" fontId="1" numFmtId="9" xfId="0" applyBorder="1" applyFont="1" applyNumberFormat="1"/>
    <xf borderId="0" fillId="0" fontId="36" numFmtId="0" xfId="0" applyFont="1"/>
    <xf borderId="0" fillId="0" fontId="36" numFmtId="0" xfId="0" applyAlignment="1" applyFont="1">
      <alignment horizontal="center"/>
    </xf>
    <xf borderId="0" fillId="0" fontId="36" numFmtId="164" xfId="0" applyFont="1" applyNumberFormat="1"/>
    <xf borderId="0" fillId="0" fontId="37" numFmtId="0" xfId="0" applyAlignment="1" applyFont="1">
      <alignment horizontal="left"/>
    </xf>
    <xf borderId="16" fillId="3" fontId="38" numFmtId="164" xfId="0" applyBorder="1" applyFont="1" applyNumberFormat="1"/>
    <xf borderId="0" fillId="0" fontId="39" numFmtId="164" xfId="0" applyFont="1" applyNumberFormat="1"/>
    <xf borderId="0" fillId="0" fontId="40" numFmtId="0" xfId="0" applyAlignment="1" applyFont="1">
      <alignment horizontal="center"/>
    </xf>
    <xf borderId="33" fillId="8" fontId="41" numFmtId="0" xfId="0" applyAlignment="1" applyBorder="1" applyFont="1">
      <alignment horizontal="center"/>
    </xf>
    <xf borderId="34" fillId="0" fontId="30" numFmtId="0" xfId="0" applyBorder="1" applyFont="1"/>
    <xf borderId="35" fillId="8" fontId="42" numFmtId="17" xfId="0" applyAlignment="1" applyBorder="1" applyFont="1" applyNumberFormat="1">
      <alignment horizontal="center" readingOrder="0"/>
    </xf>
    <xf borderId="35" fillId="8" fontId="41" numFmtId="17" xfId="0" applyAlignment="1" applyBorder="1" applyFont="1" applyNumberFormat="1">
      <alignment horizontal="center"/>
    </xf>
    <xf borderId="36" fillId="8" fontId="41" numFmtId="17" xfId="0" applyAlignment="1" applyBorder="1" applyFont="1" applyNumberFormat="1">
      <alignment horizontal="center"/>
    </xf>
    <xf borderId="0" fillId="0" fontId="40" numFmtId="164" xfId="0" applyAlignment="1" applyFont="1" applyNumberFormat="1">
      <alignment horizontal="center"/>
    </xf>
    <xf borderId="1" fillId="2" fontId="43" numFmtId="0" xfId="0" applyAlignment="1" applyBorder="1" applyFont="1">
      <alignment horizontal="center"/>
    </xf>
    <xf borderId="2" fillId="2" fontId="43" numFmtId="0" xfId="0" applyBorder="1" applyFont="1"/>
    <xf borderId="8" fillId="0" fontId="43" numFmtId="164" xfId="0" applyBorder="1" applyFont="1" applyNumberFormat="1"/>
    <xf borderId="9" fillId="0" fontId="43" numFmtId="164" xfId="0" applyBorder="1" applyFont="1" applyNumberFormat="1"/>
    <xf borderId="30" fillId="2" fontId="36" numFmtId="0" xfId="0" applyAlignment="1" applyBorder="1" applyFont="1">
      <alignment horizontal="center"/>
    </xf>
    <xf borderId="16" fillId="2" fontId="36" numFmtId="0" xfId="0" applyBorder="1" applyFont="1"/>
    <xf borderId="5" fillId="0" fontId="36" numFmtId="164" xfId="0" applyBorder="1" applyFont="1" applyNumberFormat="1"/>
    <xf borderId="0" fillId="0" fontId="43" numFmtId="0" xfId="0" applyFont="1"/>
    <xf borderId="0" fillId="0" fontId="43" numFmtId="164" xfId="0" applyFont="1" applyNumberFormat="1"/>
    <xf borderId="30" fillId="2" fontId="43" numFmtId="0" xfId="0" applyBorder="1" applyFont="1"/>
    <xf borderId="16" fillId="2" fontId="43" numFmtId="0" xfId="0" applyBorder="1" applyFont="1"/>
    <xf borderId="5" fillId="0" fontId="43" numFmtId="164" xfId="0" applyBorder="1" applyFont="1" applyNumberFormat="1"/>
    <xf borderId="0" fillId="13" fontId="1" numFmtId="164" xfId="0" applyAlignment="1" applyFill="1" applyFont="1" applyNumberFormat="1">
      <alignment horizontal="left" readingOrder="0"/>
    </xf>
    <xf borderId="0" fillId="13" fontId="1" numFmtId="164" xfId="0" applyAlignment="1" applyFont="1" applyNumberFormat="1">
      <alignment horizontal="left"/>
    </xf>
    <xf borderId="30" fillId="2" fontId="43" numFmtId="0" xfId="0" applyAlignment="1" applyBorder="1" applyFont="1">
      <alignment horizontal="center"/>
    </xf>
    <xf borderId="37" fillId="2" fontId="43" numFmtId="0" xfId="0" applyAlignment="1" applyBorder="1" applyFont="1">
      <alignment horizontal="center"/>
    </xf>
    <xf borderId="38" fillId="2" fontId="43" numFmtId="0" xfId="0" applyBorder="1" applyFont="1"/>
    <xf borderId="11" fillId="0" fontId="43" numFmtId="164" xfId="0" applyBorder="1" applyFont="1" applyNumberFormat="1"/>
    <xf borderId="12" fillId="0" fontId="43" numFmtId="164" xfId="0" applyBorder="1" applyFont="1" applyNumberFormat="1"/>
    <xf borderId="37" fillId="2" fontId="36" numFmtId="0" xfId="0" applyAlignment="1" applyBorder="1" applyFont="1">
      <alignment horizontal="center"/>
    </xf>
    <xf borderId="38" fillId="2" fontId="36" numFmtId="0" xfId="0" applyBorder="1" applyFont="1"/>
    <xf borderId="11" fillId="0" fontId="36" numFmtId="164" xfId="0" applyAlignment="1" applyBorder="1" applyFont="1" applyNumberFormat="1">
      <alignment horizontal="center"/>
    </xf>
    <xf borderId="12" fillId="0" fontId="36" numFmtId="164" xfId="0" applyAlignment="1" applyBorder="1" applyFont="1" applyNumberFormat="1">
      <alignment horizontal="center"/>
    </xf>
    <xf borderId="8" fillId="0" fontId="36" numFmtId="164" xfId="0" applyBorder="1" applyFont="1" applyNumberFormat="1"/>
    <xf borderId="9" fillId="0" fontId="36" numFmtId="164" xfId="0" applyBorder="1" applyFont="1" applyNumberFormat="1"/>
    <xf borderId="5" fillId="5" fontId="36" numFmtId="164" xfId="0" applyBorder="1" applyFont="1" applyNumberFormat="1"/>
    <xf borderId="0" fillId="0" fontId="36" numFmtId="9" xfId="0" applyFont="1" applyNumberFormat="1"/>
    <xf borderId="5" fillId="0" fontId="36" numFmtId="9" xfId="0" applyBorder="1" applyFont="1" applyNumberFormat="1"/>
    <xf borderId="11" fillId="0" fontId="36" numFmtId="164" xfId="0" applyBorder="1" applyFont="1" applyNumberFormat="1"/>
    <xf borderId="12" fillId="0" fontId="36" numFmtId="164" xfId="0" applyBorder="1" applyFont="1" applyNumberFormat="1"/>
    <xf borderId="1" fillId="8" fontId="41" numFmtId="164" xfId="0" applyAlignment="1" applyBorder="1" applyFont="1" applyNumberFormat="1">
      <alignment horizontal="center"/>
    </xf>
    <xf borderId="2" fillId="8" fontId="41" numFmtId="164" xfId="0" applyAlignment="1" applyBorder="1" applyFont="1" applyNumberFormat="1">
      <alignment horizontal="center"/>
    </xf>
    <xf borderId="2" fillId="2" fontId="43" numFmtId="164" xfId="0" applyBorder="1" applyFont="1" applyNumberFormat="1"/>
    <xf borderId="2" fillId="2" fontId="43" numFmtId="164" xfId="0" applyAlignment="1" applyBorder="1" applyFont="1" applyNumberFormat="1">
      <alignment horizontal="left"/>
    </xf>
    <xf borderId="3" fillId="2" fontId="43" numFmtId="164" xfId="0" applyBorder="1" applyFont="1" applyNumberFormat="1"/>
    <xf borderId="4" fillId="0" fontId="36" numFmtId="164" xfId="0" applyAlignment="1" applyBorder="1" applyFont="1" applyNumberFormat="1">
      <alignment horizontal="center"/>
    </xf>
    <xf borderId="0" fillId="0" fontId="36" numFmtId="164" xfId="0" applyAlignment="1" applyFont="1" applyNumberFormat="1">
      <alignment horizontal="left"/>
    </xf>
    <xf borderId="0" fillId="0" fontId="44" numFmtId="164" xfId="0" applyAlignment="1" applyFont="1" applyNumberFormat="1">
      <alignment horizontal="left"/>
    </xf>
    <xf borderId="0" fillId="0" fontId="45" numFmtId="164" xfId="0" applyAlignment="1" applyFont="1" applyNumberFormat="1">
      <alignment horizontal="right"/>
    </xf>
    <xf borderId="5" fillId="0" fontId="45" numFmtId="164" xfId="0" applyBorder="1" applyFont="1" applyNumberFormat="1"/>
    <xf borderId="0" fillId="0" fontId="45" numFmtId="167" xfId="0" applyAlignment="1" applyFont="1" applyNumberFormat="1">
      <alignment horizontal="right"/>
    </xf>
    <xf borderId="0" fillId="0" fontId="45" numFmtId="164" xfId="0" applyFont="1" applyNumberFormat="1"/>
    <xf borderId="10" fillId="0" fontId="36" numFmtId="164" xfId="0" applyAlignment="1" applyBorder="1" applyFont="1" applyNumberFormat="1">
      <alignment horizontal="center"/>
    </xf>
    <xf borderId="11" fillId="0" fontId="44" numFmtId="164" xfId="0" applyAlignment="1" applyBorder="1" applyFont="1" applyNumberFormat="1">
      <alignment horizontal="left"/>
    </xf>
    <xf borderId="12" fillId="0" fontId="43" numFmtId="164" xfId="0" applyAlignment="1" applyBorder="1" applyFont="1" applyNumberFormat="1">
      <alignment horizontal="right"/>
    </xf>
    <xf borderId="16" fillId="8" fontId="41" numFmtId="0" xfId="0" applyAlignment="1" applyBorder="1" applyFont="1">
      <alignment horizontal="center"/>
    </xf>
    <xf borderId="0" fillId="0" fontId="43" numFmtId="0" xfId="0" applyAlignment="1" applyFont="1">
      <alignment horizontal="center"/>
    </xf>
    <xf borderId="0" fillId="0" fontId="36" numFmtId="14" xfId="0" applyAlignment="1" applyFont="1" applyNumberFormat="1">
      <alignment horizontal="center" readingOrder="0"/>
    </xf>
    <xf borderId="0" fillId="0" fontId="36" numFmtId="0" xfId="0" applyAlignment="1" applyFont="1">
      <alignment horizontal="right"/>
    </xf>
    <xf borderId="0" fillId="0" fontId="36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4.43" defaultRowHeight="15.0"/>
  <cols>
    <col customWidth="1" min="1" max="2" width="3.71"/>
    <col customWidth="1" min="3" max="3" width="30.0"/>
    <col customWidth="1" min="4" max="4" width="18.0"/>
    <col customWidth="1" min="5" max="5" width="15.86"/>
    <col customWidth="1" min="6" max="6" width="3.71"/>
    <col customWidth="1" min="7" max="7" width="14.0"/>
    <col customWidth="1" min="8" max="26" width="8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2" t="s">
        <v>0</v>
      </c>
      <c r="C2" s="3" t="s">
        <v>1</v>
      </c>
      <c r="D2" s="3" t="s">
        <v>2</v>
      </c>
      <c r="E2" s="3" t="s">
        <v>3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5" t="s">
        <v>4</v>
      </c>
      <c r="C3" s="6" t="s">
        <v>5</v>
      </c>
      <c r="D3" s="6"/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8"/>
      <c r="B4" s="9">
        <v>1.0</v>
      </c>
      <c r="C4" s="6" t="s">
        <v>1</v>
      </c>
      <c r="D4" s="6"/>
      <c r="E4" s="10">
        <v>2.9592E9</v>
      </c>
      <c r="F4" s="7"/>
      <c r="G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0" customHeight="1">
      <c r="A5" s="1"/>
      <c r="B5" s="11"/>
      <c r="C5" s="12" t="s">
        <v>6</v>
      </c>
      <c r="D5" s="13" t="s">
        <v>7</v>
      </c>
      <c r="E5" s="14"/>
      <c r="F5" s="15"/>
      <c r="G5" s="16">
        <f>SUM(E5:E9)</f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1"/>
      <c r="C6" s="12" t="s">
        <v>8</v>
      </c>
      <c r="D6" s="13" t="s">
        <v>7</v>
      </c>
      <c r="E6" s="14"/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1"/>
      <c r="C7" s="12" t="s">
        <v>9</v>
      </c>
      <c r="D7" s="13" t="s">
        <v>7</v>
      </c>
      <c r="E7" s="14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1"/>
      <c r="C8" s="18" t="s">
        <v>10</v>
      </c>
      <c r="D8" s="13" t="s">
        <v>7</v>
      </c>
      <c r="E8" s="14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1"/>
      <c r="C9" s="12" t="s">
        <v>11</v>
      </c>
      <c r="D9" s="13" t="s">
        <v>7</v>
      </c>
      <c r="E9" s="14"/>
      <c r="F9" s="1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1"/>
      <c r="C10" s="12" t="s">
        <v>12</v>
      </c>
      <c r="D10" s="13" t="s">
        <v>7</v>
      </c>
      <c r="E10" s="14"/>
      <c r="F10" s="15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1"/>
      <c r="C11" s="18" t="s">
        <v>13</v>
      </c>
      <c r="D11" s="13" t="s">
        <v>7</v>
      </c>
      <c r="E11" s="14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1"/>
      <c r="C12" s="18" t="s">
        <v>14</v>
      </c>
      <c r="D12" s="13" t="s">
        <v>7</v>
      </c>
      <c r="E12" s="14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1"/>
      <c r="C13" s="12" t="s">
        <v>15</v>
      </c>
      <c r="D13" s="13" t="s">
        <v>7</v>
      </c>
      <c r="E13" s="14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1"/>
      <c r="C14" s="12" t="s">
        <v>16</v>
      </c>
      <c r="D14" s="13" t="s">
        <v>7</v>
      </c>
      <c r="E14" s="14"/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1"/>
      <c r="C15" s="12" t="s">
        <v>17</v>
      </c>
      <c r="D15" s="13"/>
      <c r="E15" s="20"/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8"/>
      <c r="B16" s="9">
        <v>2.0</v>
      </c>
      <c r="C16" s="6" t="s">
        <v>18</v>
      </c>
      <c r="D16" s="21" t="s">
        <v>7</v>
      </c>
      <c r="E16" s="6">
        <f>E52</f>
        <v>734641702.6</v>
      </c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0" customHeight="1">
      <c r="A17" s="1"/>
      <c r="B17" s="11"/>
      <c r="C17" s="12"/>
      <c r="D17" s="13"/>
      <c r="E17" s="14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1"/>
      <c r="C18" s="12"/>
      <c r="D18" s="13"/>
      <c r="E18" s="14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1"/>
      <c r="C19" s="12"/>
      <c r="D19" s="13"/>
      <c r="E19" s="14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1"/>
      <c r="C20" s="12"/>
      <c r="D20" s="13"/>
      <c r="E20" s="14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1"/>
      <c r="C21" s="12"/>
      <c r="D21" s="13"/>
      <c r="E21" s="14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8"/>
      <c r="B22" s="9">
        <v>3.0</v>
      </c>
      <c r="C22" s="6" t="s">
        <v>19</v>
      </c>
      <c r="D22" s="21" t="s">
        <v>7</v>
      </c>
      <c r="E22" s="6">
        <f>E40</f>
        <v>368000000</v>
      </c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0" customHeight="1">
      <c r="A23" s="1"/>
      <c r="B23" s="11"/>
      <c r="C23" s="12"/>
      <c r="D23" s="13"/>
      <c r="E23" s="14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1"/>
      <c r="D24" s="13"/>
      <c r="E24" s="14"/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1"/>
      <c r="C25" s="12"/>
      <c r="D25" s="13"/>
      <c r="E25" s="14"/>
      <c r="F25" s="1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1"/>
      <c r="C26" s="12"/>
      <c r="D26" s="13"/>
      <c r="E26" s="14"/>
      <c r="F26" s="1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1"/>
      <c r="C27" s="12"/>
      <c r="D27" s="13"/>
      <c r="E27" s="14"/>
      <c r="F27" s="1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1"/>
      <c r="C28" s="12"/>
      <c r="D28" s="13"/>
      <c r="E28" s="14"/>
      <c r="F28" s="1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1"/>
      <c r="C29" s="12"/>
      <c r="D29" s="13"/>
      <c r="E29" s="20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1"/>
      <c r="C30" s="6"/>
      <c r="D30" s="13"/>
      <c r="E30" s="22"/>
      <c r="F30" s="2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1"/>
      <c r="C31" s="10" t="s">
        <v>20</v>
      </c>
      <c r="D31" s="13" t="s">
        <v>7</v>
      </c>
      <c r="E31" s="22">
        <f>E4+E16+E22</f>
        <v>4061841703</v>
      </c>
      <c r="F31" s="2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24" t="s">
        <v>21</v>
      </c>
      <c r="C32" s="25" t="s">
        <v>22</v>
      </c>
      <c r="D32" s="25"/>
      <c r="E32" s="25"/>
      <c r="F32" s="2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1"/>
      <c r="C33" s="27">
        <v>1.0</v>
      </c>
      <c r="D33" s="13" t="s">
        <v>7</v>
      </c>
      <c r="E33" s="14">
        <v>0.0</v>
      </c>
      <c r="F33" s="1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1"/>
      <c r="C34" s="27">
        <f t="shared" ref="C34:C37" si="1">C33+1</f>
        <v>2</v>
      </c>
      <c r="D34" s="13" t="s">
        <v>7</v>
      </c>
      <c r="E34" s="14"/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1"/>
      <c r="C35" s="27">
        <f t="shared" si="1"/>
        <v>3</v>
      </c>
      <c r="D35" s="13" t="s">
        <v>7</v>
      </c>
      <c r="E35" s="14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1"/>
      <c r="C36" s="27">
        <f t="shared" si="1"/>
        <v>4</v>
      </c>
      <c r="D36" s="13" t="s">
        <v>7</v>
      </c>
      <c r="E36" s="14"/>
      <c r="F36" s="1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1"/>
      <c r="C37" s="27">
        <f t="shared" si="1"/>
        <v>5</v>
      </c>
      <c r="D37" s="13" t="s">
        <v>7</v>
      </c>
      <c r="E37" s="14"/>
      <c r="F37" s="1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28"/>
      <c r="C38" s="29"/>
      <c r="D38" s="29"/>
      <c r="E38" s="29"/>
      <c r="F38" s="3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31" t="s">
        <v>23</v>
      </c>
      <c r="C40" s="32"/>
      <c r="D40" s="32"/>
      <c r="E40" s="33">
        <f>SUM(E41:E50)</f>
        <v>368000000</v>
      </c>
      <c r="F40" s="3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35"/>
      <c r="C41" s="36" t="s">
        <v>24</v>
      </c>
      <c r="D41" s="36"/>
      <c r="E41" s="37">
        <v>1.42E8</v>
      </c>
      <c r="F41" s="38"/>
      <c r="G41" s="39" t="s">
        <v>25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35"/>
      <c r="C42" s="1" t="s">
        <v>26</v>
      </c>
      <c r="D42" s="1"/>
      <c r="E42" s="40">
        <f>Assumption!G39</f>
        <v>10000000</v>
      </c>
      <c r="F42" s="3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35"/>
      <c r="C43" s="1" t="s">
        <v>27</v>
      </c>
      <c r="D43" s="1"/>
      <c r="E43" s="40">
        <f>Assumption!G40</f>
        <v>5000000</v>
      </c>
      <c r="F43" s="3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35"/>
      <c r="C44" s="1" t="s">
        <v>16</v>
      </c>
      <c r="D44" s="1"/>
      <c r="E44" s="40">
        <f>Assumption!G45</f>
        <v>10000000</v>
      </c>
      <c r="F44" s="3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35"/>
      <c r="C45" s="1" t="s">
        <v>28</v>
      </c>
      <c r="D45" s="1"/>
      <c r="E45" s="40">
        <f>Assumption!G37</f>
        <v>1000000</v>
      </c>
      <c r="F45" s="3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35"/>
      <c r="C46" s="41" t="s">
        <v>29</v>
      </c>
      <c r="D46" s="41"/>
      <c r="E46" s="42">
        <v>7.5E7</v>
      </c>
      <c r="F46" s="3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35"/>
      <c r="C47" s="43" t="s">
        <v>30</v>
      </c>
      <c r="D47" s="44"/>
      <c r="E47" s="45">
        <v>7.5E7</v>
      </c>
      <c r="F47" s="3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35"/>
      <c r="C48" s="12" t="s">
        <v>31</v>
      </c>
      <c r="D48" s="1"/>
      <c r="E48" s="40">
        <v>5.0E7</v>
      </c>
      <c r="F48" s="3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35"/>
      <c r="C49" s="1"/>
      <c r="D49" s="1"/>
      <c r="E49" s="40"/>
      <c r="F49" s="3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28"/>
      <c r="C50" s="29"/>
      <c r="D50" s="29"/>
      <c r="E50" s="46"/>
      <c r="F50" s="3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4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31" t="s">
        <v>32</v>
      </c>
      <c r="C52" s="32"/>
      <c r="D52" s="32"/>
      <c r="E52" s="33">
        <f>SUM(E53:E61)*2</f>
        <v>734641702.6</v>
      </c>
      <c r="F52" s="34"/>
      <c r="G52" s="39" t="s">
        <v>33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35"/>
      <c r="C53" s="1" t="s">
        <v>34</v>
      </c>
      <c r="D53" s="1"/>
      <c r="E53" s="40">
        <f>Assumption!G36</f>
        <v>317320851.3</v>
      </c>
      <c r="F53" s="3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35"/>
      <c r="C54" s="12" t="s">
        <v>35</v>
      </c>
      <c r="D54" s="1"/>
      <c r="E54" s="40">
        <f>Assumption!G41</f>
        <v>30000000</v>
      </c>
      <c r="F54" s="3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35"/>
      <c r="C55" s="12" t="s">
        <v>36</v>
      </c>
      <c r="D55" s="1"/>
      <c r="E55" s="40">
        <f>Assumption!G42</f>
        <v>5000000</v>
      </c>
      <c r="F55" s="3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35"/>
      <c r="C56" s="47" t="s">
        <v>37</v>
      </c>
      <c r="D56" s="1"/>
      <c r="E56" s="40">
        <f>Assumption!G43</f>
        <v>10000000</v>
      </c>
      <c r="F56" s="3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35"/>
      <c r="C57" s="12" t="s">
        <v>38</v>
      </c>
      <c r="D57" s="1"/>
      <c r="E57" s="40">
        <f>Assumption!G44</f>
        <v>5000000</v>
      </c>
      <c r="F57" s="3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35"/>
      <c r="C58" s="1"/>
      <c r="D58" s="1"/>
      <c r="F58" s="3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35"/>
      <c r="F59" s="3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35"/>
      <c r="C60" s="1"/>
      <c r="D60" s="1"/>
      <c r="E60" s="40"/>
      <c r="F60" s="3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35"/>
      <c r="C61" s="1"/>
      <c r="D61" s="1"/>
      <c r="E61" s="40"/>
      <c r="F61" s="3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28"/>
      <c r="C62" s="29"/>
      <c r="D62" s="29"/>
      <c r="E62" s="46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0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0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0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0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0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0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1">
    <mergeCell ref="G4:H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xSplit="7.0" ySplit="15.0" topLeftCell="H16" activePane="bottomRight" state="frozen"/>
      <selection activeCell="H1" sqref="H1" pane="topRight"/>
      <selection activeCell="A16" sqref="A16" pane="bottomLeft"/>
      <selection activeCell="H16" sqref="H16" pane="bottomRight"/>
    </sheetView>
  </sheetViews>
  <sheetFormatPr customHeight="1" defaultColWidth="14.43" defaultRowHeight="15.0"/>
  <cols>
    <col customWidth="1" min="1" max="1" width="3.57"/>
    <col customWidth="1" min="2" max="2" width="3.71"/>
    <col customWidth="1" min="3" max="3" width="25.86"/>
    <col customWidth="1" min="4" max="4" width="16.86"/>
    <col customWidth="1" min="5" max="7" width="15.0"/>
    <col customWidth="1" min="8" max="8" width="4.29"/>
    <col customWidth="1" min="9" max="9" width="3.71"/>
    <col customWidth="1" min="10" max="10" width="21.14"/>
    <col customWidth="1" min="11" max="11" width="8.71"/>
    <col customWidth="1" min="12" max="12" width="10.57"/>
    <col customWidth="1" min="13" max="13" width="8.86"/>
    <col customWidth="1" min="14" max="16" width="8.71"/>
    <col customWidth="1" min="17" max="17" width="19.86"/>
    <col customWidth="1" min="18" max="25" width="8.71"/>
  </cols>
  <sheetData>
    <row r="1" ht="12.75" customHeight="1">
      <c r="A1" s="6"/>
      <c r="B1" s="48" t="s">
        <v>39</v>
      </c>
      <c r="C1" s="49" t="s">
        <v>40</v>
      </c>
      <c r="D1" s="49"/>
      <c r="E1" s="49"/>
      <c r="F1" s="50"/>
      <c r="G1" s="49"/>
      <c r="H1" s="6"/>
      <c r="I1" s="51" t="s">
        <v>41</v>
      </c>
      <c r="J1" s="49" t="s">
        <v>42</v>
      </c>
      <c r="K1" s="51"/>
      <c r="L1" s="49"/>
      <c r="M1" s="52"/>
      <c r="N1" s="52"/>
      <c r="O1" s="52"/>
      <c r="P1" s="52"/>
      <c r="Q1" s="6"/>
      <c r="R1" s="6"/>
      <c r="S1" s="6"/>
      <c r="T1" s="6"/>
      <c r="U1" s="6"/>
      <c r="V1" s="6"/>
      <c r="W1" s="6"/>
      <c r="X1" s="6"/>
      <c r="Y1" s="6"/>
    </row>
    <row r="2" ht="12.75" customHeight="1">
      <c r="A2" s="1"/>
      <c r="B2" s="53"/>
      <c r="C2" s="1"/>
      <c r="D2" s="1"/>
      <c r="E2" s="1"/>
      <c r="F2" s="54"/>
      <c r="G2" s="1"/>
      <c r="H2" s="1"/>
      <c r="I2" s="55"/>
      <c r="J2" s="1"/>
      <c r="K2" s="5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2.75" customHeight="1">
      <c r="A3" s="52"/>
      <c r="B3" s="2" t="s">
        <v>0</v>
      </c>
      <c r="C3" s="3" t="s">
        <v>43</v>
      </c>
      <c r="D3" s="3" t="s">
        <v>2</v>
      </c>
      <c r="E3" s="3" t="s">
        <v>44</v>
      </c>
      <c r="F3" s="3" t="s">
        <v>45</v>
      </c>
      <c r="G3" s="4" t="s">
        <v>46</v>
      </c>
      <c r="H3" s="52"/>
      <c r="I3" s="56" t="s">
        <v>0</v>
      </c>
      <c r="J3" s="3" t="s">
        <v>47</v>
      </c>
      <c r="K3" s="3" t="s">
        <v>2</v>
      </c>
      <c r="L3" s="4" t="s">
        <v>48</v>
      </c>
      <c r="M3" s="52"/>
      <c r="N3" s="52"/>
      <c r="O3" s="52"/>
      <c r="P3" s="52"/>
      <c r="R3" s="52"/>
      <c r="S3" s="52"/>
      <c r="T3" s="52"/>
      <c r="U3" s="52"/>
      <c r="V3" s="52"/>
      <c r="W3" s="52"/>
      <c r="X3" s="52"/>
      <c r="Y3" s="52"/>
    </row>
    <row r="4" ht="12.75" customHeight="1">
      <c r="A4" s="52"/>
      <c r="B4" s="9">
        <v>1.0</v>
      </c>
      <c r="C4" s="10" t="s">
        <v>49</v>
      </c>
      <c r="D4" s="13"/>
      <c r="E4" s="12"/>
      <c r="F4" s="52"/>
      <c r="G4" s="15"/>
      <c r="H4" s="52"/>
      <c r="I4" s="9">
        <v>1.0</v>
      </c>
      <c r="J4" s="6" t="s">
        <v>50</v>
      </c>
      <c r="K4" s="57"/>
      <c r="L4" s="17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ht="12.75" customHeight="1">
      <c r="A5" s="52"/>
      <c r="B5" s="9"/>
      <c r="C5" s="52" t="s">
        <v>51</v>
      </c>
      <c r="D5" s="13" t="s">
        <v>7</v>
      </c>
      <c r="E5" s="58">
        <v>200000.0</v>
      </c>
      <c r="F5" s="14">
        <v>0.0</v>
      </c>
      <c r="G5" s="15"/>
      <c r="H5" s="52"/>
      <c r="I5" s="11"/>
      <c r="J5" s="12" t="s">
        <v>52</v>
      </c>
      <c r="K5" s="59" t="s">
        <v>7</v>
      </c>
      <c r="L5" s="17">
        <v>0.0</v>
      </c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ht="12.75" customHeight="1">
      <c r="A6" s="52"/>
      <c r="B6" s="9"/>
      <c r="C6" s="52" t="s">
        <v>53</v>
      </c>
      <c r="D6" s="13" t="s">
        <v>54</v>
      </c>
      <c r="E6" s="58">
        <v>125.0</v>
      </c>
      <c r="F6" s="14">
        <v>0.0</v>
      </c>
      <c r="G6" s="15">
        <f>SUM(E6:F6)</f>
        <v>125</v>
      </c>
      <c r="H6" s="52"/>
      <c r="I6" s="11"/>
      <c r="J6" s="12" t="s">
        <v>55</v>
      </c>
      <c r="K6" s="59" t="s">
        <v>56</v>
      </c>
      <c r="L6" s="17">
        <v>0.0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ht="12.75" customHeight="1">
      <c r="A7" s="52"/>
      <c r="B7" s="9"/>
      <c r="C7" s="60" t="s">
        <v>57</v>
      </c>
      <c r="D7" s="13" t="s">
        <v>58</v>
      </c>
      <c r="E7" s="61">
        <f t="shared" ref="E7:G7" si="1">E6/$G$20</f>
        <v>1.666666667</v>
      </c>
      <c r="F7" s="61">
        <f t="shared" si="1"/>
        <v>0</v>
      </c>
      <c r="G7" s="62">
        <f t="shared" si="1"/>
        <v>1.666666667</v>
      </c>
      <c r="H7" s="52"/>
      <c r="I7" s="63"/>
      <c r="J7" s="12" t="s">
        <v>59</v>
      </c>
      <c r="K7" s="59" t="s">
        <v>56</v>
      </c>
      <c r="L7" s="17">
        <v>0.0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ht="12.75" customHeight="1">
      <c r="A8" s="52"/>
      <c r="B8" s="9"/>
      <c r="C8" s="52" t="s">
        <v>60</v>
      </c>
      <c r="D8" s="13" t="s">
        <v>54</v>
      </c>
      <c r="E8" s="58">
        <v>0.0</v>
      </c>
      <c r="F8" s="14">
        <v>0.0</v>
      </c>
      <c r="G8" s="64">
        <v>0.0</v>
      </c>
      <c r="H8" s="52"/>
      <c r="I8" s="63"/>
      <c r="J8" s="12" t="s">
        <v>61</v>
      </c>
      <c r="K8" s="59" t="s">
        <v>58</v>
      </c>
      <c r="L8" s="65">
        <v>0.0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ht="12.75" customHeight="1">
      <c r="A9" s="52"/>
      <c r="B9" s="9"/>
      <c r="C9" s="52" t="s">
        <v>62</v>
      </c>
      <c r="D9" s="13" t="s">
        <v>54</v>
      </c>
      <c r="E9" s="58">
        <v>70.0</v>
      </c>
      <c r="F9" s="14">
        <v>0.0</v>
      </c>
      <c r="G9" s="15">
        <f>SUM(E9:F9)</f>
        <v>70</v>
      </c>
      <c r="H9" s="52"/>
      <c r="I9" s="5">
        <v>2.0</v>
      </c>
      <c r="J9" s="6" t="s">
        <v>63</v>
      </c>
      <c r="K9" s="57"/>
      <c r="L9" s="17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ht="12.75" customHeight="1">
      <c r="A10" s="52"/>
      <c r="B10" s="9"/>
      <c r="C10" s="60" t="s">
        <v>57</v>
      </c>
      <c r="D10" s="13" t="s">
        <v>58</v>
      </c>
      <c r="E10" s="61">
        <f t="shared" ref="E10:G10" si="2">E9/$G$20</f>
        <v>0.9333333333</v>
      </c>
      <c r="F10" s="61">
        <f t="shared" si="2"/>
        <v>0</v>
      </c>
      <c r="G10" s="62">
        <f t="shared" si="2"/>
        <v>0.9333333333</v>
      </c>
      <c r="H10" s="52"/>
      <c r="I10" s="63"/>
      <c r="J10" s="12" t="s">
        <v>64</v>
      </c>
      <c r="K10" s="59" t="s">
        <v>58</v>
      </c>
      <c r="L10" s="66">
        <v>0.0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ht="12.75" customHeight="1">
      <c r="A11" s="52"/>
      <c r="B11" s="67">
        <v>2.0</v>
      </c>
      <c r="C11" s="68" t="s">
        <v>65</v>
      </c>
      <c r="D11" s="69"/>
      <c r="E11" s="70"/>
      <c r="F11" s="71"/>
      <c r="G11" s="72"/>
      <c r="H11" s="52"/>
      <c r="I11" s="63"/>
      <c r="J11" s="12" t="s">
        <v>66</v>
      </c>
      <c r="K11" s="59" t="s">
        <v>58</v>
      </c>
      <c r="L11" s="65">
        <v>0.0</v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ht="12.75" customHeight="1">
      <c r="A12" s="52"/>
      <c r="B12" s="9"/>
      <c r="C12" s="52" t="s">
        <v>51</v>
      </c>
      <c r="D12" s="13" t="s">
        <v>7</v>
      </c>
      <c r="E12" s="58">
        <v>700000.0</v>
      </c>
      <c r="F12" s="14">
        <v>0.0</v>
      </c>
      <c r="G12" s="15"/>
      <c r="H12" s="52"/>
      <c r="I12" s="63"/>
      <c r="J12" s="12" t="s">
        <v>67</v>
      </c>
      <c r="K12" s="59" t="s">
        <v>58</v>
      </c>
      <c r="L12" s="66">
        <v>0.0</v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ht="12.75" customHeight="1">
      <c r="A13" s="52"/>
      <c r="B13" s="9"/>
      <c r="C13" s="52" t="s">
        <v>53</v>
      </c>
      <c r="D13" s="13" t="s">
        <v>54</v>
      </c>
      <c r="E13" s="58">
        <v>150.0</v>
      </c>
      <c r="F13" s="14">
        <v>0.0</v>
      </c>
      <c r="G13" s="15">
        <f>SUM(E13:F13)</f>
        <v>150</v>
      </c>
      <c r="H13" s="52"/>
      <c r="I13" s="63"/>
      <c r="J13" s="12" t="s">
        <v>68</v>
      </c>
      <c r="K13" s="59" t="s">
        <v>58</v>
      </c>
      <c r="L13" s="65">
        <v>0.0</v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ht="12.75" customHeight="1">
      <c r="A14" s="52"/>
      <c r="B14" s="9"/>
      <c r="C14" s="60" t="s">
        <v>57</v>
      </c>
      <c r="D14" s="13" t="s">
        <v>58</v>
      </c>
      <c r="E14" s="61">
        <f t="shared" ref="E14:G14" si="3">E13/$G$20</f>
        <v>2</v>
      </c>
      <c r="F14" s="61">
        <f t="shared" si="3"/>
        <v>0</v>
      </c>
      <c r="G14" s="62">
        <f t="shared" si="3"/>
        <v>2</v>
      </c>
      <c r="H14" s="6"/>
      <c r="I14" s="73"/>
      <c r="J14" s="74" t="s">
        <v>69</v>
      </c>
      <c r="K14" s="75" t="s">
        <v>58</v>
      </c>
      <c r="L14" s="76">
        <v>0.0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ht="12.75" customHeight="1">
      <c r="A15" s="52"/>
      <c r="B15" s="9"/>
      <c r="C15" s="52" t="s">
        <v>60</v>
      </c>
      <c r="D15" s="13" t="s">
        <v>54</v>
      </c>
      <c r="E15" s="58">
        <v>0.0</v>
      </c>
      <c r="F15" s="14">
        <v>0.0</v>
      </c>
      <c r="G15" s="64">
        <v>0.0</v>
      </c>
      <c r="H15" s="77"/>
      <c r="I15" s="52"/>
      <c r="J15" s="52"/>
      <c r="K15" s="57"/>
      <c r="L15" s="52"/>
      <c r="M15" s="52"/>
      <c r="N15" s="52"/>
      <c r="O15" s="52"/>
      <c r="P15" s="52"/>
      <c r="Q15" s="78" t="s">
        <v>70</v>
      </c>
      <c r="R15" s="52"/>
      <c r="S15" s="52"/>
      <c r="T15" s="52"/>
      <c r="U15" s="52"/>
      <c r="V15" s="52"/>
      <c r="W15" s="52"/>
      <c r="X15" s="52"/>
      <c r="Y15" s="52"/>
    </row>
    <row r="16" ht="12.75" customHeight="1">
      <c r="A16" s="52"/>
      <c r="B16" s="9"/>
      <c r="C16" s="52" t="s">
        <v>62</v>
      </c>
      <c r="D16" s="13" t="s">
        <v>54</v>
      </c>
      <c r="E16" s="58">
        <v>70.0</v>
      </c>
      <c r="F16" s="14">
        <v>0.0</v>
      </c>
      <c r="G16" s="15">
        <f>SUM(E16:F16)</f>
        <v>70</v>
      </c>
      <c r="H16" s="77"/>
      <c r="I16" s="79" t="s">
        <v>71</v>
      </c>
      <c r="J16" s="80"/>
      <c r="K16" s="81"/>
      <c r="L16" s="82"/>
      <c r="M16" s="52"/>
      <c r="N16" s="52"/>
      <c r="O16" s="52"/>
      <c r="P16" s="52"/>
      <c r="Q16" s="78" t="s">
        <v>72</v>
      </c>
      <c r="R16" s="52"/>
      <c r="S16" s="52"/>
      <c r="T16" s="52"/>
      <c r="U16" s="52"/>
      <c r="V16" s="52"/>
      <c r="W16" s="52"/>
      <c r="X16" s="52"/>
      <c r="Y16" s="52"/>
    </row>
    <row r="17" ht="12.75" customHeight="1">
      <c r="A17" s="52"/>
      <c r="B17" s="83"/>
      <c r="C17" s="84" t="s">
        <v>57</v>
      </c>
      <c r="D17" s="85" t="s">
        <v>58</v>
      </c>
      <c r="E17" s="86">
        <f t="shared" ref="E17:G17" si="4">E16/$G$20</f>
        <v>0.9333333333</v>
      </c>
      <c r="F17" s="86">
        <f t="shared" si="4"/>
        <v>0</v>
      </c>
      <c r="G17" s="87">
        <f t="shared" si="4"/>
        <v>0.9333333333</v>
      </c>
      <c r="H17" s="77"/>
      <c r="I17" s="79" t="s">
        <v>73</v>
      </c>
      <c r="J17" s="80"/>
      <c r="K17" s="81"/>
      <c r="L17" s="82"/>
      <c r="M17" s="52"/>
      <c r="N17" s="52"/>
      <c r="O17" s="52"/>
      <c r="P17" s="52"/>
      <c r="Q17" s="78" t="s">
        <v>74</v>
      </c>
      <c r="R17" s="52"/>
      <c r="S17" s="52"/>
      <c r="T17" s="52"/>
      <c r="U17" s="52"/>
      <c r="V17" s="52"/>
      <c r="W17" s="52"/>
      <c r="X17" s="52"/>
      <c r="Y17" s="52"/>
    </row>
    <row r="18" ht="12.75" customHeight="1">
      <c r="A18" s="52"/>
      <c r="B18" s="67">
        <v>3.0</v>
      </c>
      <c r="C18" s="25" t="s">
        <v>75</v>
      </c>
      <c r="D18" s="69"/>
      <c r="E18" s="71"/>
      <c r="F18" s="71"/>
      <c r="G18" s="72"/>
      <c r="H18" s="77"/>
      <c r="I18" s="79" t="s">
        <v>76</v>
      </c>
      <c r="J18" s="80"/>
      <c r="K18" s="81"/>
      <c r="L18" s="82"/>
      <c r="M18" s="52"/>
      <c r="N18" s="52"/>
      <c r="O18" s="52"/>
      <c r="P18" s="52"/>
      <c r="R18" s="52"/>
      <c r="S18" s="52"/>
      <c r="T18" s="52"/>
      <c r="U18" s="52"/>
      <c r="V18" s="52"/>
      <c r="W18" s="52"/>
      <c r="X18" s="52"/>
      <c r="Y18" s="52"/>
    </row>
    <row r="19" ht="12.75" customHeight="1">
      <c r="A19" s="52"/>
      <c r="B19" s="5"/>
      <c r="C19" s="52" t="s">
        <v>77</v>
      </c>
      <c r="D19" s="13" t="s">
        <v>78</v>
      </c>
      <c r="E19" s="52"/>
      <c r="F19" s="12"/>
      <c r="G19" s="88">
        <v>150.0</v>
      </c>
      <c r="H19" s="77"/>
      <c r="I19" s="79" t="s">
        <v>79</v>
      </c>
      <c r="J19" s="80"/>
      <c r="K19" s="81"/>
      <c r="L19" s="8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ht="12.75" customHeight="1">
      <c r="A20" s="52"/>
      <c r="B20" s="5"/>
      <c r="C20" s="52" t="s">
        <v>80</v>
      </c>
      <c r="D20" s="13" t="s">
        <v>54</v>
      </c>
      <c r="E20" s="52"/>
      <c r="F20" s="12"/>
      <c r="G20" s="17">
        <v>75.0</v>
      </c>
      <c r="H20" s="52"/>
      <c r="I20" s="79" t="s">
        <v>81</v>
      </c>
      <c r="J20" s="80"/>
      <c r="K20" s="81"/>
      <c r="L20" s="8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ht="12.75" customHeight="1">
      <c r="A21" s="52"/>
      <c r="B21" s="9"/>
      <c r="C21" s="52" t="s">
        <v>82</v>
      </c>
      <c r="D21" s="13" t="s">
        <v>58</v>
      </c>
      <c r="E21" s="52"/>
      <c r="F21" s="52"/>
      <c r="G21" s="89">
        <v>0.05</v>
      </c>
      <c r="H21" s="52"/>
      <c r="I21" s="79" t="s">
        <v>83</v>
      </c>
      <c r="J21" s="80"/>
      <c r="K21" s="81"/>
      <c r="L21" s="8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ht="12.75" customHeight="1">
      <c r="A22" s="52"/>
      <c r="B22" s="9"/>
      <c r="C22" s="52" t="s">
        <v>84</v>
      </c>
      <c r="D22" s="13" t="s">
        <v>85</v>
      </c>
      <c r="E22" s="52"/>
      <c r="F22" s="52"/>
      <c r="G22" s="88">
        <v>6.0</v>
      </c>
      <c r="H22" s="52"/>
      <c r="I22" s="79" t="s">
        <v>86</v>
      </c>
      <c r="J22" s="80"/>
      <c r="K22" s="81"/>
      <c r="L22" s="8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ht="12.75" customHeight="1">
      <c r="A23" s="57"/>
      <c r="B23" s="9"/>
      <c r="C23" s="52" t="s">
        <v>87</v>
      </c>
      <c r="D23" s="13" t="s">
        <v>58</v>
      </c>
      <c r="E23" s="52"/>
      <c r="F23" s="52"/>
      <c r="G23" s="89">
        <v>-0.6</v>
      </c>
      <c r="H23" s="57"/>
      <c r="I23" s="79"/>
      <c r="J23" s="90" t="s">
        <v>88</v>
      </c>
      <c r="K23" s="81"/>
      <c r="L23" s="81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ht="12.75" customHeight="1">
      <c r="A24" s="52"/>
      <c r="B24" s="83"/>
      <c r="C24" s="91" t="s">
        <v>89</v>
      </c>
      <c r="D24" s="85" t="s">
        <v>58</v>
      </c>
      <c r="E24" s="91"/>
      <c r="F24" s="91"/>
      <c r="G24" s="92">
        <v>0.2</v>
      </c>
      <c r="H24" s="52"/>
      <c r="I24" s="52"/>
      <c r="J24" s="52"/>
      <c r="K24" s="57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78" t="s">
        <v>88</v>
      </c>
    </row>
    <row r="25" ht="12.75" customHeight="1">
      <c r="A25" s="52"/>
      <c r="B25" s="52"/>
      <c r="C25" s="52"/>
      <c r="D25" s="52"/>
      <c r="E25" s="52"/>
      <c r="F25" s="52"/>
      <c r="G25" s="52"/>
      <c r="H25" s="52"/>
      <c r="J25" s="93" t="s">
        <v>90</v>
      </c>
      <c r="K25" s="94"/>
      <c r="L25" s="94"/>
      <c r="M25" s="52"/>
      <c r="N25" s="52"/>
      <c r="O25" s="52"/>
      <c r="P25" s="52"/>
      <c r="Q25" s="78" t="s">
        <v>91</v>
      </c>
      <c r="R25" s="95">
        <v>0.8541666666666666</v>
      </c>
      <c r="S25" s="95">
        <v>0.9166666666666666</v>
      </c>
      <c r="T25" s="96" t="s">
        <v>92</v>
      </c>
      <c r="U25" s="97">
        <v>0.041666666666666664</v>
      </c>
      <c r="V25" s="52"/>
      <c r="W25" s="52"/>
      <c r="X25" s="52"/>
      <c r="Y25" s="52"/>
    </row>
    <row r="26" ht="12.75" customHeight="1">
      <c r="A26" s="52"/>
      <c r="B26" s="98" t="s">
        <v>0</v>
      </c>
      <c r="C26" s="99" t="s">
        <v>93</v>
      </c>
      <c r="D26" s="99"/>
      <c r="E26" s="99" t="s">
        <v>2</v>
      </c>
      <c r="F26" s="99"/>
      <c r="G26" s="100" t="s">
        <v>48</v>
      </c>
      <c r="H26" s="52"/>
      <c r="I26" s="2" t="s">
        <v>0</v>
      </c>
      <c r="J26" s="3" t="s">
        <v>43</v>
      </c>
      <c r="K26" s="3" t="s">
        <v>2</v>
      </c>
      <c r="L26" s="3" t="s">
        <v>44</v>
      </c>
      <c r="M26" s="3" t="s">
        <v>45</v>
      </c>
      <c r="N26" s="4" t="s">
        <v>46</v>
      </c>
      <c r="O26" s="52"/>
      <c r="P26" s="2" t="s">
        <v>0</v>
      </c>
      <c r="Q26" s="3" t="s">
        <v>43</v>
      </c>
      <c r="R26" s="3" t="s">
        <v>2</v>
      </c>
      <c r="S26" s="3" t="s">
        <v>44</v>
      </c>
      <c r="T26" s="3" t="s">
        <v>45</v>
      </c>
      <c r="U26" s="4" t="s">
        <v>46</v>
      </c>
      <c r="V26" s="52"/>
      <c r="W26" s="52"/>
      <c r="X26" s="52"/>
      <c r="Y26" s="52"/>
    </row>
    <row r="27" ht="12.75" customHeight="1">
      <c r="A27" s="52"/>
      <c r="B27" s="24">
        <v>1.0</v>
      </c>
      <c r="C27" s="25" t="s">
        <v>94</v>
      </c>
      <c r="D27" s="101"/>
      <c r="E27" s="71"/>
      <c r="F27" s="71"/>
      <c r="G27" s="102"/>
      <c r="H27" s="52"/>
      <c r="I27" s="9">
        <v>1.0</v>
      </c>
      <c r="J27" s="10" t="s">
        <v>95</v>
      </c>
      <c r="K27" s="13"/>
      <c r="L27" s="12"/>
      <c r="M27" s="52"/>
      <c r="N27" s="15"/>
      <c r="O27" s="52"/>
      <c r="P27" s="9">
        <v>1.0</v>
      </c>
      <c r="Q27" s="10"/>
      <c r="R27" s="13"/>
      <c r="S27" s="12"/>
      <c r="T27" s="52"/>
      <c r="U27" s="15"/>
      <c r="V27" s="52"/>
      <c r="W27" s="52"/>
      <c r="X27" s="52"/>
      <c r="Y27" s="52"/>
    </row>
    <row r="28" ht="12.75" customHeight="1">
      <c r="A28" s="52"/>
      <c r="B28" s="63"/>
      <c r="C28" s="12" t="s">
        <v>96</v>
      </c>
      <c r="D28" s="103"/>
      <c r="E28" s="13" t="s">
        <v>58</v>
      </c>
      <c r="F28" s="52"/>
      <c r="G28" s="65">
        <v>0.01</v>
      </c>
      <c r="H28" s="52"/>
      <c r="I28" s="9"/>
      <c r="J28" s="52" t="s">
        <v>51</v>
      </c>
      <c r="K28" s="13" t="s">
        <v>7</v>
      </c>
      <c r="L28" s="58">
        <v>160000.0</v>
      </c>
      <c r="M28" s="14">
        <v>0.0</v>
      </c>
      <c r="N28" s="15"/>
      <c r="O28" s="52"/>
      <c r="P28" s="9"/>
      <c r="Q28" s="52" t="s">
        <v>51</v>
      </c>
      <c r="R28" s="13" t="s">
        <v>7</v>
      </c>
      <c r="S28" s="58"/>
      <c r="T28" s="14">
        <v>0.0</v>
      </c>
      <c r="U28" s="15"/>
      <c r="V28" s="52"/>
      <c r="W28" s="52"/>
      <c r="X28" s="52"/>
      <c r="Y28" s="52"/>
    </row>
    <row r="29" ht="12.75" customHeight="1">
      <c r="A29" s="52"/>
      <c r="B29" s="63"/>
      <c r="C29" s="12" t="s">
        <v>97</v>
      </c>
      <c r="D29" s="103"/>
      <c r="E29" s="13" t="s">
        <v>58</v>
      </c>
      <c r="F29" s="52"/>
      <c r="G29" s="65">
        <v>0.02</v>
      </c>
      <c r="H29" s="52"/>
      <c r="I29" s="9"/>
      <c r="J29" s="52" t="s">
        <v>53</v>
      </c>
      <c r="K29" s="13" t="s">
        <v>54</v>
      </c>
      <c r="L29" s="58">
        <v>75.0</v>
      </c>
      <c r="M29" s="14">
        <v>0.0</v>
      </c>
      <c r="N29" s="15">
        <f>SUM(L29:M29)</f>
        <v>75</v>
      </c>
      <c r="O29" s="52"/>
      <c r="P29" s="9"/>
      <c r="Q29" s="52" t="s">
        <v>53</v>
      </c>
      <c r="R29" s="13" t="s">
        <v>54</v>
      </c>
      <c r="S29" s="58">
        <v>50.0</v>
      </c>
      <c r="T29" s="14">
        <v>0.0</v>
      </c>
      <c r="U29" s="15">
        <f>SUM(S29:T29)</f>
        <v>50</v>
      </c>
      <c r="V29" s="52"/>
      <c r="W29" s="52"/>
      <c r="X29" s="52"/>
      <c r="Y29" s="52"/>
    </row>
    <row r="30" ht="12.75" customHeight="1">
      <c r="A30" s="52"/>
      <c r="B30" s="5">
        <v>2.0</v>
      </c>
      <c r="C30" s="6" t="s">
        <v>98</v>
      </c>
      <c r="D30" s="12"/>
      <c r="E30" s="52"/>
      <c r="F30" s="52"/>
      <c r="G30" s="17"/>
      <c r="H30" s="52"/>
      <c r="I30" s="9"/>
      <c r="J30" s="60" t="s">
        <v>57</v>
      </c>
      <c r="K30" s="13" t="s">
        <v>58</v>
      </c>
      <c r="L30" s="61">
        <f t="shared" ref="L30:N30" si="5">L29/$G$20</f>
        <v>1</v>
      </c>
      <c r="M30" s="61">
        <f t="shared" si="5"/>
        <v>0</v>
      </c>
      <c r="N30" s="62">
        <f t="shared" si="5"/>
        <v>1</v>
      </c>
      <c r="O30" s="52"/>
      <c r="P30" s="9"/>
      <c r="Q30" s="60" t="s">
        <v>57</v>
      </c>
      <c r="R30" s="13" t="s">
        <v>58</v>
      </c>
      <c r="S30" s="61">
        <f t="shared" ref="S30:U30" si="6">S29/$G$20</f>
        <v>0.6666666667</v>
      </c>
      <c r="T30" s="61">
        <f t="shared" si="6"/>
        <v>0</v>
      </c>
      <c r="U30" s="62">
        <f t="shared" si="6"/>
        <v>0.6666666667</v>
      </c>
      <c r="V30" s="52"/>
      <c r="W30" s="52"/>
      <c r="X30" s="52"/>
      <c r="Y30" s="52"/>
    </row>
    <row r="31" ht="12.75" customHeight="1">
      <c r="A31" s="52"/>
      <c r="B31" s="63"/>
      <c r="C31" s="12" t="s">
        <v>96</v>
      </c>
      <c r="D31" s="103"/>
      <c r="E31" s="13" t="s">
        <v>58</v>
      </c>
      <c r="F31" s="12"/>
      <c r="G31" s="104">
        <v>0.35</v>
      </c>
      <c r="H31" s="52"/>
      <c r="I31" s="9"/>
      <c r="J31" s="52" t="s">
        <v>60</v>
      </c>
      <c r="K31" s="13" t="s">
        <v>54</v>
      </c>
      <c r="L31" s="58">
        <v>0.0</v>
      </c>
      <c r="M31" s="14">
        <v>0.0</v>
      </c>
      <c r="N31" s="64">
        <v>0.0</v>
      </c>
      <c r="O31" s="52"/>
      <c r="P31" s="9"/>
      <c r="Q31" s="52" t="s">
        <v>60</v>
      </c>
      <c r="R31" s="13" t="s">
        <v>54</v>
      </c>
      <c r="S31" s="58">
        <v>0.0</v>
      </c>
      <c r="T31" s="14">
        <v>0.0</v>
      </c>
      <c r="U31" s="64">
        <v>0.0</v>
      </c>
      <c r="V31" s="52"/>
      <c r="W31" s="52"/>
      <c r="X31" s="52"/>
      <c r="Y31" s="52"/>
    </row>
    <row r="32" ht="12.75" customHeight="1">
      <c r="A32" s="52"/>
      <c r="B32" s="63"/>
      <c r="C32" s="12" t="s">
        <v>97</v>
      </c>
      <c r="D32" s="103"/>
      <c r="E32" s="13" t="s">
        <v>58</v>
      </c>
      <c r="F32" s="12"/>
      <c r="G32" s="65">
        <v>0.26</v>
      </c>
      <c r="H32" s="52"/>
      <c r="I32" s="9"/>
      <c r="J32" s="52" t="s">
        <v>62</v>
      </c>
      <c r="K32" s="13" t="s">
        <v>54</v>
      </c>
      <c r="L32" s="58">
        <v>75.0</v>
      </c>
      <c r="M32" s="14">
        <v>0.0</v>
      </c>
      <c r="N32" s="15">
        <f>SUM(L32:M32)</f>
        <v>75</v>
      </c>
      <c r="O32" s="52"/>
      <c r="P32" s="9"/>
      <c r="Q32" s="52" t="s">
        <v>62</v>
      </c>
      <c r="R32" s="13" t="s">
        <v>54</v>
      </c>
      <c r="S32" s="58">
        <v>75.0</v>
      </c>
      <c r="T32" s="14">
        <v>0.0</v>
      </c>
      <c r="U32" s="15">
        <f>SUM(S32:T32)</f>
        <v>75</v>
      </c>
      <c r="V32" s="52"/>
      <c r="W32" s="52"/>
      <c r="X32" s="52"/>
      <c r="Y32" s="52"/>
    </row>
    <row r="33" ht="12.75" customHeight="1">
      <c r="A33" s="52"/>
      <c r="B33" s="5">
        <v>3.0</v>
      </c>
      <c r="C33" s="6" t="s">
        <v>99</v>
      </c>
      <c r="D33" s="12"/>
      <c r="E33" s="52"/>
      <c r="F33" s="12"/>
      <c r="G33" s="17"/>
      <c r="H33" s="52"/>
      <c r="I33" s="9"/>
      <c r="J33" s="60" t="s">
        <v>57</v>
      </c>
      <c r="K33" s="13" t="s">
        <v>58</v>
      </c>
      <c r="L33" s="61">
        <f t="shared" ref="L33:N33" si="7">L32/$G$20</f>
        <v>1</v>
      </c>
      <c r="M33" s="61">
        <f t="shared" si="7"/>
        <v>0</v>
      </c>
      <c r="N33" s="62">
        <f t="shared" si="7"/>
        <v>1</v>
      </c>
      <c r="O33" s="52"/>
      <c r="P33" s="9"/>
      <c r="Q33" s="60" t="s">
        <v>57</v>
      </c>
      <c r="R33" s="13" t="s">
        <v>58</v>
      </c>
      <c r="S33" s="61">
        <f t="shared" ref="S33:U33" si="8">S32/$G$20</f>
        <v>1</v>
      </c>
      <c r="T33" s="61">
        <f t="shared" si="8"/>
        <v>0</v>
      </c>
      <c r="U33" s="62">
        <f t="shared" si="8"/>
        <v>1</v>
      </c>
      <c r="V33" s="52"/>
      <c r="W33" s="52"/>
      <c r="X33" s="52"/>
      <c r="Y33" s="52"/>
    </row>
    <row r="34" ht="12.75" customHeight="1">
      <c r="A34" s="52"/>
      <c r="B34" s="63"/>
      <c r="C34" s="12" t="s">
        <v>100</v>
      </c>
      <c r="D34" s="103"/>
      <c r="E34" s="13" t="s">
        <v>101</v>
      </c>
      <c r="F34" s="12"/>
      <c r="G34" s="17">
        <v>7.5E7</v>
      </c>
      <c r="H34" s="52"/>
      <c r="I34" s="67">
        <v>2.0</v>
      </c>
      <c r="J34" s="68" t="s">
        <v>102</v>
      </c>
      <c r="K34" s="69"/>
      <c r="L34" s="70"/>
      <c r="M34" s="71"/>
      <c r="N34" s="72"/>
      <c r="O34" s="52"/>
      <c r="P34" s="67">
        <v>2.0</v>
      </c>
      <c r="Q34" s="25" t="s">
        <v>103</v>
      </c>
      <c r="R34" s="69"/>
      <c r="S34" s="70"/>
      <c r="T34" s="71"/>
      <c r="U34" s="72"/>
      <c r="V34" s="52"/>
      <c r="W34" s="52"/>
      <c r="X34" s="52"/>
      <c r="Y34" s="52"/>
    </row>
    <row r="35" ht="12.75" customHeight="1">
      <c r="A35" s="52"/>
      <c r="B35" s="63"/>
      <c r="C35" s="12" t="s">
        <v>104</v>
      </c>
      <c r="D35" s="103"/>
      <c r="E35" s="13" t="s">
        <v>58</v>
      </c>
      <c r="F35" s="12"/>
      <c r="G35" s="66">
        <v>0.08</v>
      </c>
      <c r="H35" s="52"/>
      <c r="I35" s="9"/>
      <c r="J35" s="52" t="s">
        <v>51</v>
      </c>
      <c r="K35" s="13" t="s">
        <v>7</v>
      </c>
      <c r="L35" s="58">
        <v>200000.0</v>
      </c>
      <c r="M35" s="14">
        <v>0.0</v>
      </c>
      <c r="N35" s="15"/>
      <c r="O35" s="52"/>
      <c r="P35" s="9"/>
      <c r="Q35" s="52" t="s">
        <v>51</v>
      </c>
      <c r="R35" s="13" t="s">
        <v>7</v>
      </c>
      <c r="S35" s="58">
        <v>800000.0</v>
      </c>
      <c r="T35" s="14">
        <v>0.0</v>
      </c>
      <c r="U35" s="15"/>
      <c r="V35" s="52"/>
      <c r="W35" s="52"/>
      <c r="X35" s="52"/>
      <c r="Y35" s="52"/>
    </row>
    <row r="36" ht="12.75" customHeight="1">
      <c r="A36" s="52"/>
      <c r="B36" s="105">
        <v>4.0</v>
      </c>
      <c r="C36" s="106" t="s">
        <v>105</v>
      </c>
      <c r="D36" s="107"/>
      <c r="E36" s="13" t="s">
        <v>101</v>
      </c>
      <c r="F36" s="107"/>
      <c r="G36" s="17">
        <f>Model!O154</f>
        <v>317320851.3</v>
      </c>
      <c r="H36" s="52"/>
      <c r="I36" s="9"/>
      <c r="J36" s="52" t="s">
        <v>53</v>
      </c>
      <c r="K36" s="13" t="s">
        <v>54</v>
      </c>
      <c r="L36" s="58">
        <v>75.0</v>
      </c>
      <c r="M36" s="14">
        <v>0.0</v>
      </c>
      <c r="N36" s="15">
        <f>SUM(L36:M36)</f>
        <v>75</v>
      </c>
      <c r="O36" s="52"/>
      <c r="P36" s="9"/>
      <c r="Q36" s="52" t="s">
        <v>53</v>
      </c>
      <c r="R36" s="13" t="s">
        <v>54</v>
      </c>
      <c r="S36" s="58">
        <v>125.0</v>
      </c>
      <c r="T36" s="14">
        <v>0.0</v>
      </c>
      <c r="U36" s="15">
        <f>SUM(S36:T36)</f>
        <v>125</v>
      </c>
      <c r="V36" s="52"/>
      <c r="W36" s="52"/>
      <c r="X36" s="52"/>
      <c r="Y36" s="52"/>
    </row>
    <row r="37" ht="12.75" customHeight="1">
      <c r="A37" s="52"/>
      <c r="B37" s="108"/>
      <c r="C37" s="74" t="s">
        <v>106</v>
      </c>
      <c r="D37" s="109"/>
      <c r="E37" s="85" t="s">
        <v>101</v>
      </c>
      <c r="F37" s="74"/>
      <c r="G37" s="110">
        <v>1000000.0</v>
      </c>
      <c r="H37" s="52"/>
      <c r="I37" s="9"/>
      <c r="J37" s="60" t="s">
        <v>57</v>
      </c>
      <c r="K37" s="13" t="s">
        <v>58</v>
      </c>
      <c r="L37" s="61">
        <f t="shared" ref="L37:N37" si="9">L36/$G$20</f>
        <v>1</v>
      </c>
      <c r="M37" s="61">
        <f t="shared" si="9"/>
        <v>0</v>
      </c>
      <c r="N37" s="62">
        <f t="shared" si="9"/>
        <v>1</v>
      </c>
      <c r="O37" s="52"/>
      <c r="P37" s="9"/>
      <c r="Q37" s="60" t="s">
        <v>57</v>
      </c>
      <c r="R37" s="13" t="s">
        <v>58</v>
      </c>
      <c r="S37" s="61">
        <f t="shared" ref="S37:U37" si="10">S36/$G$20</f>
        <v>1.666666667</v>
      </c>
      <c r="T37" s="61">
        <f t="shared" si="10"/>
        <v>0</v>
      </c>
      <c r="U37" s="62">
        <f t="shared" si="10"/>
        <v>1.666666667</v>
      </c>
      <c r="V37" s="52"/>
      <c r="W37" s="52"/>
      <c r="X37" s="52"/>
      <c r="Y37" s="52"/>
    </row>
    <row r="38" ht="12.75" customHeight="1">
      <c r="A38" s="52"/>
      <c r="B38" s="24">
        <v>5.0</v>
      </c>
      <c r="C38" s="25" t="s">
        <v>107</v>
      </c>
      <c r="D38" s="70"/>
      <c r="E38" s="71"/>
      <c r="F38" s="70"/>
      <c r="G38" s="111">
        <f>SUM(G39:G45)</f>
        <v>75000000</v>
      </c>
      <c r="H38" s="52"/>
      <c r="I38" s="9"/>
      <c r="J38" s="52" t="s">
        <v>60</v>
      </c>
      <c r="K38" s="13" t="s">
        <v>54</v>
      </c>
      <c r="L38" s="58">
        <v>0.0</v>
      </c>
      <c r="M38" s="14">
        <v>0.0</v>
      </c>
      <c r="N38" s="64">
        <v>0.0</v>
      </c>
      <c r="O38" s="52"/>
      <c r="P38" s="9"/>
      <c r="Q38" s="52" t="s">
        <v>60</v>
      </c>
      <c r="R38" s="13" t="s">
        <v>54</v>
      </c>
      <c r="S38" s="58">
        <v>0.0</v>
      </c>
      <c r="T38" s="14">
        <v>0.0</v>
      </c>
      <c r="U38" s="64">
        <v>0.0</v>
      </c>
      <c r="V38" s="52"/>
      <c r="W38" s="52"/>
      <c r="X38" s="52"/>
      <c r="Y38" s="52"/>
    </row>
    <row r="39" ht="12.75" customHeight="1">
      <c r="A39" s="52"/>
      <c r="B39" s="63"/>
      <c r="C39" s="12" t="s">
        <v>108</v>
      </c>
      <c r="D39" s="103"/>
      <c r="E39" s="13" t="s">
        <v>101</v>
      </c>
      <c r="F39" s="12"/>
      <c r="G39" s="17">
        <v>1.0E7</v>
      </c>
      <c r="H39" s="52"/>
      <c r="I39" s="9"/>
      <c r="J39" s="52" t="s">
        <v>62</v>
      </c>
      <c r="K39" s="13" t="s">
        <v>54</v>
      </c>
      <c r="L39" s="58">
        <v>75.0</v>
      </c>
      <c r="M39" s="14">
        <v>0.0</v>
      </c>
      <c r="N39" s="15">
        <f>SUM(L39:M39)</f>
        <v>75</v>
      </c>
      <c r="O39" s="52"/>
      <c r="P39" s="9"/>
      <c r="Q39" s="52" t="s">
        <v>62</v>
      </c>
      <c r="R39" s="13" t="s">
        <v>54</v>
      </c>
      <c r="S39" s="58">
        <v>75.0</v>
      </c>
      <c r="T39" s="14">
        <v>0.0</v>
      </c>
      <c r="U39" s="15">
        <f>SUM(S39:T39)</f>
        <v>75</v>
      </c>
      <c r="V39" s="52"/>
      <c r="W39" s="52"/>
      <c r="X39" s="52"/>
      <c r="Y39" s="52"/>
    </row>
    <row r="40" ht="12.75" customHeight="1">
      <c r="A40" s="52"/>
      <c r="B40" s="63"/>
      <c r="C40" s="12" t="s">
        <v>109</v>
      </c>
      <c r="D40" s="103"/>
      <c r="E40" s="13" t="s">
        <v>101</v>
      </c>
      <c r="F40" s="12"/>
      <c r="G40" s="17">
        <v>5000000.0</v>
      </c>
      <c r="H40" s="52"/>
      <c r="I40" s="83"/>
      <c r="J40" s="84" t="s">
        <v>57</v>
      </c>
      <c r="K40" s="85" t="s">
        <v>58</v>
      </c>
      <c r="L40" s="86">
        <f t="shared" ref="L40:N40" si="11">L39/$G$20</f>
        <v>1</v>
      </c>
      <c r="M40" s="86">
        <f t="shared" si="11"/>
        <v>0</v>
      </c>
      <c r="N40" s="87">
        <f t="shared" si="11"/>
        <v>1</v>
      </c>
      <c r="O40" s="52"/>
      <c r="P40" s="83"/>
      <c r="Q40" s="84" t="s">
        <v>57</v>
      </c>
      <c r="R40" s="85" t="s">
        <v>58</v>
      </c>
      <c r="S40" s="86">
        <f t="shared" ref="S40:U40" si="12">S39/$G$20</f>
        <v>1</v>
      </c>
      <c r="T40" s="86">
        <f t="shared" si="12"/>
        <v>0</v>
      </c>
      <c r="U40" s="87">
        <f t="shared" si="12"/>
        <v>1</v>
      </c>
      <c r="V40" s="52"/>
      <c r="W40" s="52"/>
      <c r="X40" s="52"/>
      <c r="Y40" s="52"/>
    </row>
    <row r="41" ht="12.75" customHeight="1">
      <c r="A41" s="52"/>
      <c r="B41" s="63"/>
      <c r="C41" s="12" t="s">
        <v>35</v>
      </c>
      <c r="D41" s="103"/>
      <c r="E41" s="13" t="s">
        <v>101</v>
      </c>
      <c r="F41" s="12"/>
      <c r="G41" s="17">
        <v>3.0E7</v>
      </c>
      <c r="H41" s="52"/>
      <c r="I41" s="57"/>
      <c r="J41" s="52"/>
      <c r="K41" s="57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ht="12.75" customHeight="1">
      <c r="A42" s="52"/>
      <c r="B42" s="63"/>
      <c r="C42" s="12" t="s">
        <v>36</v>
      </c>
      <c r="D42" s="103"/>
      <c r="E42" s="13" t="s">
        <v>101</v>
      </c>
      <c r="F42" s="12"/>
      <c r="G42" s="17">
        <v>5000000.0</v>
      </c>
      <c r="H42" s="52"/>
      <c r="I42" s="57"/>
      <c r="J42" s="52"/>
      <c r="K42" s="57"/>
      <c r="L42" s="52"/>
      <c r="M42" s="52"/>
      <c r="N42" s="52"/>
      <c r="O42" s="112"/>
      <c r="R42" s="113"/>
      <c r="S42" s="113"/>
      <c r="V42" s="112"/>
      <c r="W42" s="52"/>
      <c r="X42" s="52"/>
      <c r="Y42" s="52"/>
    </row>
    <row r="43" ht="12.75" customHeight="1">
      <c r="A43" s="52"/>
      <c r="B43" s="63"/>
      <c r="C43" s="47" t="s">
        <v>37</v>
      </c>
      <c r="D43" s="103"/>
      <c r="E43" s="13" t="s">
        <v>101</v>
      </c>
      <c r="F43" s="12"/>
      <c r="G43" s="88">
        <v>1.0E7</v>
      </c>
      <c r="I43" s="57"/>
      <c r="J43" s="52"/>
      <c r="K43" s="57"/>
      <c r="L43" s="52"/>
      <c r="M43" s="52"/>
      <c r="N43" s="52"/>
      <c r="O43" s="112"/>
      <c r="P43" s="112"/>
      <c r="Q43" s="112"/>
      <c r="R43" s="112"/>
      <c r="S43" s="112"/>
      <c r="T43" s="112"/>
      <c r="U43" s="112"/>
      <c r="V43" s="112"/>
      <c r="W43" s="52"/>
      <c r="X43" s="52"/>
      <c r="Y43" s="52"/>
    </row>
    <row r="44" ht="12.75" customHeight="1">
      <c r="A44" s="52"/>
      <c r="B44" s="63"/>
      <c r="C44" s="12" t="s">
        <v>38</v>
      </c>
      <c r="D44" s="103"/>
      <c r="E44" s="13" t="s">
        <v>101</v>
      </c>
      <c r="F44" s="12"/>
      <c r="G44" s="17">
        <v>5000000.0</v>
      </c>
      <c r="H44" s="52" t="s">
        <v>110</v>
      </c>
      <c r="I44" s="57"/>
      <c r="J44" s="52"/>
      <c r="K44" s="57"/>
      <c r="L44" s="52"/>
      <c r="M44" s="52"/>
      <c r="N44" s="52"/>
      <c r="O44" s="112"/>
      <c r="P44" s="112"/>
      <c r="Q44" s="112"/>
      <c r="R44" s="112"/>
      <c r="S44" s="112"/>
      <c r="T44" s="112"/>
      <c r="U44" s="112"/>
      <c r="V44" s="112"/>
      <c r="W44" s="52"/>
      <c r="X44" s="52"/>
      <c r="Y44" s="52"/>
    </row>
    <row r="45" ht="12.75" customHeight="1">
      <c r="A45" s="52"/>
      <c r="B45" s="63"/>
      <c r="C45" s="12" t="s">
        <v>111</v>
      </c>
      <c r="D45" s="103"/>
      <c r="E45" s="13" t="s">
        <v>101</v>
      </c>
      <c r="F45" s="12"/>
      <c r="G45" s="17">
        <v>1.0E7</v>
      </c>
      <c r="K45" s="57"/>
      <c r="L45" s="52"/>
      <c r="M45" s="52"/>
      <c r="N45" s="52"/>
      <c r="O45" s="112"/>
      <c r="P45" s="112"/>
      <c r="Q45" s="112"/>
      <c r="R45" s="112"/>
      <c r="S45" s="112"/>
      <c r="T45" s="112"/>
      <c r="U45" s="112"/>
      <c r="V45" s="112"/>
      <c r="W45" s="52"/>
      <c r="X45" s="52"/>
      <c r="Y45" s="52"/>
    </row>
    <row r="46" ht="12.75" customHeight="1">
      <c r="A46" s="52"/>
      <c r="B46" s="73"/>
      <c r="C46" s="114" t="s">
        <v>112</v>
      </c>
      <c r="D46" s="109"/>
      <c r="E46" s="85" t="s">
        <v>58</v>
      </c>
      <c r="F46" s="74"/>
      <c r="G46" s="115">
        <v>0.04</v>
      </c>
      <c r="H46" s="52" t="s">
        <v>113</v>
      </c>
      <c r="I46" s="57"/>
      <c r="J46" s="52"/>
      <c r="K46" s="57"/>
      <c r="L46" s="52"/>
      <c r="M46" s="52"/>
      <c r="N46" s="52"/>
      <c r="O46" s="112"/>
      <c r="P46" s="112"/>
      <c r="Q46" s="112"/>
      <c r="R46" s="112"/>
      <c r="S46" s="112"/>
      <c r="T46" s="112"/>
      <c r="U46" s="112"/>
      <c r="V46" s="112"/>
      <c r="W46" s="52"/>
      <c r="X46" s="52"/>
      <c r="Y46" s="52"/>
    </row>
    <row r="47" ht="12.75" customHeight="1">
      <c r="A47" s="52"/>
      <c r="B47" s="9">
        <v>6.0</v>
      </c>
      <c r="C47" s="6" t="s">
        <v>114</v>
      </c>
      <c r="D47" s="52"/>
      <c r="E47" s="52"/>
      <c r="F47" s="12"/>
      <c r="G47" s="17"/>
      <c r="H47" s="52"/>
      <c r="I47" s="57"/>
      <c r="J47" s="52"/>
      <c r="K47" s="57"/>
      <c r="L47" s="52"/>
      <c r="M47" s="52"/>
      <c r="N47" s="52"/>
      <c r="O47" s="112"/>
      <c r="P47" s="112"/>
      <c r="Q47" s="112"/>
      <c r="R47" s="112"/>
      <c r="S47" s="116"/>
      <c r="T47" s="116"/>
      <c r="U47" s="116"/>
      <c r="V47" s="112"/>
      <c r="W47" s="52"/>
      <c r="X47" s="52"/>
      <c r="Y47" s="52"/>
    </row>
    <row r="48" ht="12.75" customHeight="1">
      <c r="A48" s="52"/>
      <c r="B48" s="11"/>
      <c r="C48" s="12" t="s">
        <v>115</v>
      </c>
      <c r="D48" s="103"/>
      <c r="E48" s="13" t="s">
        <v>58</v>
      </c>
      <c r="F48" s="12"/>
      <c r="G48" s="66">
        <v>0.05</v>
      </c>
      <c r="H48" s="52"/>
      <c r="I48" s="57"/>
      <c r="J48" s="52"/>
      <c r="K48" s="57"/>
      <c r="L48" s="52"/>
      <c r="M48" s="52"/>
      <c r="N48" s="52"/>
      <c r="O48" s="112"/>
      <c r="P48" s="112"/>
      <c r="Q48" s="112"/>
      <c r="R48" s="112"/>
      <c r="S48" s="112"/>
      <c r="T48" s="112"/>
      <c r="U48" s="112"/>
      <c r="V48" s="112"/>
      <c r="W48" s="52"/>
      <c r="X48" s="52"/>
      <c r="Y48" s="52"/>
    </row>
    <row r="49" ht="12.75" customHeight="1">
      <c r="A49" s="52"/>
      <c r="B49" s="11"/>
      <c r="C49" s="12" t="s">
        <v>116</v>
      </c>
      <c r="D49" s="103"/>
      <c r="E49" s="13" t="s">
        <v>58</v>
      </c>
      <c r="F49" s="12"/>
      <c r="G49" s="89">
        <v>0.05</v>
      </c>
      <c r="H49" s="52"/>
      <c r="I49" s="57"/>
      <c r="J49" s="52"/>
      <c r="K49" s="57"/>
      <c r="L49" s="52"/>
      <c r="M49" s="52"/>
      <c r="N49" s="52"/>
      <c r="O49" s="112"/>
      <c r="P49" s="112"/>
      <c r="Q49" s="112"/>
      <c r="R49" s="112"/>
      <c r="S49" s="112"/>
      <c r="T49" s="112"/>
      <c r="U49" s="112"/>
      <c r="V49" s="112"/>
      <c r="W49" s="52"/>
      <c r="X49" s="52"/>
      <c r="Y49" s="52"/>
    </row>
    <row r="50" ht="12.75" customHeight="1">
      <c r="A50" s="52"/>
      <c r="B50" s="11"/>
      <c r="C50" s="12" t="s">
        <v>117</v>
      </c>
      <c r="D50" s="103"/>
      <c r="E50" s="13" t="s">
        <v>58</v>
      </c>
      <c r="F50" s="12"/>
      <c r="G50" s="66">
        <v>0.05</v>
      </c>
      <c r="I50" s="57"/>
      <c r="J50" s="52"/>
      <c r="K50" s="57"/>
      <c r="L50" s="52"/>
      <c r="M50" s="52"/>
      <c r="N50" s="52"/>
      <c r="O50" s="112"/>
      <c r="P50" s="112"/>
      <c r="Q50" s="112"/>
      <c r="R50" s="112"/>
      <c r="S50" s="116"/>
      <c r="T50" s="116"/>
      <c r="U50" s="116"/>
      <c r="V50" s="112"/>
      <c r="W50" s="52"/>
      <c r="X50" s="52"/>
      <c r="Y50" s="52"/>
    </row>
    <row r="51" ht="12.75" customHeight="1">
      <c r="A51" s="52"/>
      <c r="B51" s="117"/>
      <c r="C51" s="74" t="s">
        <v>118</v>
      </c>
      <c r="D51" s="109"/>
      <c r="E51" s="85" t="s">
        <v>58</v>
      </c>
      <c r="F51" s="74"/>
      <c r="G51" s="115">
        <v>0.01</v>
      </c>
      <c r="H51" s="52"/>
      <c r="I51" s="57"/>
      <c r="J51" s="52"/>
      <c r="K51" s="57"/>
      <c r="L51" s="52"/>
      <c r="M51" s="52"/>
      <c r="N51" s="52"/>
      <c r="O51" s="112"/>
      <c r="P51" s="112"/>
      <c r="Q51" s="112"/>
      <c r="R51" s="112"/>
      <c r="S51" s="112"/>
      <c r="T51" s="112"/>
      <c r="U51" s="112"/>
      <c r="V51" s="112"/>
      <c r="W51" s="52"/>
      <c r="X51" s="52"/>
      <c r="Y51" s="52"/>
    </row>
    <row r="52" ht="12.75" customHeight="1">
      <c r="A52" s="52"/>
      <c r="H52" s="52"/>
      <c r="I52" s="57"/>
      <c r="J52" s="52"/>
      <c r="K52" s="57"/>
      <c r="L52" s="12"/>
      <c r="M52" s="52"/>
      <c r="N52" s="52"/>
      <c r="O52" s="112"/>
      <c r="P52" s="112"/>
      <c r="Q52" s="112"/>
      <c r="R52" s="112"/>
      <c r="S52" s="112"/>
      <c r="T52" s="112"/>
      <c r="U52" s="112"/>
      <c r="V52" s="112"/>
      <c r="W52" s="52"/>
      <c r="X52" s="52"/>
      <c r="Y52" s="52"/>
    </row>
    <row r="53" ht="12.75" customHeight="1">
      <c r="A53" s="52"/>
      <c r="H53" s="52"/>
      <c r="I53" s="57"/>
      <c r="J53" s="52"/>
      <c r="K53" s="57"/>
      <c r="L53" s="52"/>
      <c r="M53" s="52"/>
      <c r="N53" s="52"/>
      <c r="O53" s="112"/>
      <c r="P53" s="112"/>
      <c r="Q53" s="112"/>
      <c r="R53" s="112"/>
      <c r="S53" s="112"/>
      <c r="T53" s="112"/>
      <c r="U53" s="112"/>
      <c r="V53" s="112"/>
      <c r="W53" s="52"/>
      <c r="X53" s="52"/>
      <c r="Y53" s="52"/>
    </row>
    <row r="54" ht="12.75" customHeight="1">
      <c r="A54" s="52"/>
      <c r="H54" s="52"/>
      <c r="I54" s="57"/>
      <c r="J54" s="52"/>
      <c r="K54" s="57"/>
      <c r="L54" s="52"/>
      <c r="M54" s="52"/>
      <c r="N54" s="52"/>
      <c r="O54" s="112"/>
      <c r="P54" s="112"/>
      <c r="Q54" s="112"/>
      <c r="R54" s="112"/>
      <c r="S54" s="116"/>
      <c r="T54" s="116"/>
      <c r="U54" s="116"/>
      <c r="V54" s="112"/>
      <c r="W54" s="52"/>
      <c r="X54" s="52"/>
      <c r="Y54" s="52"/>
    </row>
    <row r="55" ht="12.75" customHeight="1">
      <c r="A55" s="52"/>
      <c r="H55" s="52"/>
      <c r="I55" s="57"/>
      <c r="J55" s="52"/>
      <c r="K55" s="57"/>
      <c r="L55" s="52"/>
      <c r="M55" s="52"/>
      <c r="N55" s="52"/>
      <c r="O55" s="112"/>
      <c r="P55" s="112"/>
      <c r="Q55" s="112"/>
      <c r="R55" s="112"/>
      <c r="S55" s="112"/>
      <c r="T55" s="112"/>
      <c r="U55" s="112"/>
      <c r="V55" s="112"/>
      <c r="W55" s="52"/>
      <c r="X55" s="52"/>
      <c r="Y55" s="52"/>
    </row>
    <row r="56" ht="12.75" customHeight="1">
      <c r="A56" s="52"/>
      <c r="H56" s="52"/>
      <c r="I56" s="57"/>
      <c r="J56" s="52"/>
      <c r="K56" s="57"/>
      <c r="L56" s="52"/>
      <c r="M56" s="52"/>
      <c r="N56" s="52"/>
      <c r="O56" s="112"/>
      <c r="P56" s="112"/>
      <c r="Q56" s="112"/>
      <c r="R56" s="112"/>
      <c r="S56" s="112"/>
      <c r="T56" s="112"/>
      <c r="U56" s="112"/>
      <c r="V56" s="112"/>
      <c r="W56" s="52"/>
      <c r="X56" s="52"/>
      <c r="Y56" s="52"/>
    </row>
    <row r="57" ht="12.75" customHeight="1">
      <c r="A57" s="52"/>
      <c r="H57" s="52"/>
      <c r="I57" s="57"/>
      <c r="J57" s="52"/>
      <c r="K57" s="57"/>
      <c r="L57" s="52"/>
      <c r="M57" s="52"/>
      <c r="N57" s="52"/>
      <c r="O57" s="112"/>
      <c r="P57" s="112"/>
      <c r="Q57" s="112"/>
      <c r="R57" s="112"/>
      <c r="S57" s="116"/>
      <c r="T57" s="116"/>
      <c r="U57" s="116"/>
      <c r="V57" s="112"/>
      <c r="W57" s="52"/>
      <c r="X57" s="52"/>
      <c r="Y57" s="52"/>
    </row>
    <row r="58" ht="12.75" customHeight="1">
      <c r="A58" s="52"/>
      <c r="B58" s="57"/>
      <c r="C58" s="12"/>
      <c r="D58" s="103"/>
      <c r="E58" s="13"/>
      <c r="F58" s="12"/>
      <c r="G58" s="118"/>
      <c r="H58" s="52"/>
      <c r="I58" s="57"/>
      <c r="J58" s="52"/>
      <c r="K58" s="57"/>
      <c r="L58" s="52"/>
      <c r="M58" s="52"/>
      <c r="N58" s="52"/>
      <c r="O58" s="112"/>
      <c r="P58" s="112"/>
      <c r="Q58" s="112"/>
      <c r="R58" s="112"/>
      <c r="S58" s="112"/>
      <c r="T58" s="112"/>
      <c r="U58" s="112"/>
      <c r="V58" s="112"/>
      <c r="W58" s="52"/>
      <c r="X58" s="52"/>
      <c r="Y58" s="52"/>
    </row>
    <row r="59" ht="12.75" customHeight="1">
      <c r="A59" s="52"/>
      <c r="B59" s="57"/>
      <c r="C59" s="12"/>
      <c r="D59" s="103"/>
      <c r="E59" s="13"/>
      <c r="F59" s="12"/>
      <c r="G59" s="118"/>
      <c r="H59" s="52"/>
      <c r="I59" s="57"/>
      <c r="J59" s="52"/>
      <c r="K59" s="57"/>
      <c r="L59" s="52"/>
      <c r="M59" s="52"/>
      <c r="N59" s="52"/>
      <c r="O59" s="112"/>
      <c r="P59" s="112"/>
      <c r="Q59" s="112"/>
      <c r="R59" s="112"/>
      <c r="S59" s="112"/>
      <c r="T59" s="112"/>
      <c r="U59" s="112"/>
      <c r="V59" s="112"/>
      <c r="W59" s="52"/>
      <c r="X59" s="52"/>
      <c r="Y59" s="52"/>
    </row>
    <row r="60" ht="12.75" customHeight="1">
      <c r="A60" s="52"/>
      <c r="B60" s="53"/>
      <c r="C60" s="52"/>
      <c r="D60" s="52"/>
      <c r="E60" s="52"/>
      <c r="F60" s="12"/>
      <c r="G60" s="52"/>
      <c r="H60" s="52"/>
      <c r="I60" s="57"/>
      <c r="J60" s="52"/>
      <c r="K60" s="57"/>
      <c r="L60" s="52"/>
      <c r="M60" s="52"/>
      <c r="N60" s="52"/>
      <c r="O60" s="112"/>
      <c r="P60" s="112"/>
      <c r="Q60" s="112"/>
      <c r="R60" s="112"/>
      <c r="S60" s="112"/>
      <c r="T60" s="112"/>
      <c r="U60" s="112"/>
      <c r="V60" s="112"/>
      <c r="W60" s="52"/>
      <c r="X60" s="52"/>
      <c r="Y60" s="52"/>
    </row>
    <row r="61" ht="12.75" customHeight="1">
      <c r="A61" s="52"/>
      <c r="B61" s="53"/>
      <c r="C61" s="52"/>
      <c r="D61" s="52"/>
      <c r="E61" s="52"/>
      <c r="F61" s="12"/>
      <c r="G61" s="52"/>
      <c r="H61" s="52"/>
      <c r="I61" s="57"/>
      <c r="J61" s="52"/>
      <c r="K61" s="57"/>
      <c r="L61" s="52"/>
      <c r="M61" s="52"/>
      <c r="N61" s="52"/>
      <c r="O61" s="112"/>
      <c r="P61" s="112"/>
      <c r="Q61" s="112"/>
      <c r="R61" s="112"/>
      <c r="S61" s="112"/>
      <c r="T61" s="112"/>
      <c r="U61" s="112"/>
      <c r="V61" s="112"/>
      <c r="W61" s="52"/>
      <c r="X61" s="52"/>
      <c r="Y61" s="52"/>
    </row>
    <row r="62" ht="12.75" customHeight="1">
      <c r="A62" s="52"/>
      <c r="B62" s="53"/>
      <c r="C62" s="52"/>
      <c r="D62" s="52"/>
      <c r="E62" s="52"/>
      <c r="F62" s="12"/>
      <c r="G62" s="52"/>
      <c r="H62" s="52"/>
      <c r="I62" s="57"/>
      <c r="J62" s="52"/>
      <c r="K62" s="57"/>
      <c r="L62" s="52"/>
      <c r="M62" s="52"/>
      <c r="N62" s="52"/>
      <c r="O62" s="112"/>
      <c r="P62" s="112"/>
      <c r="Q62" s="112"/>
      <c r="R62" s="112"/>
      <c r="S62" s="112"/>
      <c r="T62" s="112"/>
      <c r="U62" s="112"/>
      <c r="V62" s="112"/>
      <c r="W62" s="52"/>
      <c r="X62" s="52"/>
      <c r="Y62" s="52"/>
    </row>
    <row r="63" ht="12.75" customHeight="1">
      <c r="A63" s="52"/>
      <c r="B63" s="53"/>
      <c r="C63" s="52"/>
      <c r="D63" s="52"/>
      <c r="E63" s="52"/>
      <c r="F63" s="12"/>
      <c r="G63" s="52"/>
      <c r="H63" s="52"/>
      <c r="I63" s="57"/>
      <c r="J63" s="52"/>
      <c r="K63" s="57"/>
      <c r="L63" s="52"/>
      <c r="M63" s="52"/>
      <c r="N63" s="52"/>
      <c r="O63" s="112"/>
      <c r="P63" s="112"/>
      <c r="Q63" s="112"/>
      <c r="R63" s="112"/>
      <c r="S63" s="112"/>
      <c r="T63" s="112"/>
      <c r="U63" s="112"/>
      <c r="V63" s="112"/>
      <c r="W63" s="52"/>
      <c r="X63" s="52"/>
      <c r="Y63" s="52"/>
    </row>
    <row r="64" ht="12.75" customHeight="1">
      <c r="A64" s="52"/>
      <c r="B64" s="53"/>
      <c r="C64" s="52"/>
      <c r="D64" s="52"/>
      <c r="E64" s="52"/>
      <c r="F64" s="12"/>
      <c r="G64" s="52"/>
      <c r="H64" s="52"/>
      <c r="I64" s="57"/>
      <c r="J64" s="52"/>
      <c r="K64" s="57"/>
      <c r="L64" s="52"/>
      <c r="M64" s="52"/>
      <c r="N64" s="52"/>
      <c r="O64" s="112"/>
      <c r="P64" s="112"/>
      <c r="Q64" s="112"/>
      <c r="R64" s="112"/>
      <c r="S64" s="112"/>
      <c r="T64" s="112"/>
      <c r="U64" s="112"/>
      <c r="V64" s="112"/>
      <c r="W64" s="52"/>
      <c r="X64" s="52"/>
      <c r="Y64" s="52"/>
    </row>
    <row r="65" ht="12.75" customHeight="1">
      <c r="A65" s="52"/>
      <c r="B65" s="119"/>
      <c r="C65" s="52"/>
      <c r="D65" s="52"/>
      <c r="E65" s="52"/>
      <c r="F65" s="52"/>
      <c r="G65" s="52"/>
      <c r="H65" s="52"/>
      <c r="I65" s="57"/>
      <c r="J65" s="52"/>
      <c r="K65" s="57"/>
      <c r="L65" s="52"/>
      <c r="M65" s="52"/>
      <c r="N65" s="52"/>
      <c r="O65" s="112"/>
      <c r="P65" s="112"/>
      <c r="Q65" s="112"/>
      <c r="R65" s="112"/>
      <c r="S65" s="112"/>
      <c r="T65" s="112"/>
      <c r="U65" s="112"/>
      <c r="V65" s="112"/>
      <c r="W65" s="52"/>
      <c r="X65" s="52"/>
      <c r="Y65" s="52"/>
    </row>
    <row r="66" ht="12.75" customHeight="1">
      <c r="A66" s="52"/>
      <c r="B66" s="119"/>
      <c r="C66" s="52"/>
      <c r="D66" s="52"/>
      <c r="E66" s="52"/>
      <c r="F66" s="52"/>
      <c r="G66" s="52"/>
      <c r="H66" s="52"/>
      <c r="I66" s="57"/>
      <c r="J66" s="52"/>
      <c r="K66" s="57"/>
      <c r="L66" s="52"/>
      <c r="M66" s="52"/>
      <c r="N66" s="52"/>
      <c r="O66" s="112"/>
      <c r="P66" s="112"/>
      <c r="Q66" s="112"/>
      <c r="R66" s="112"/>
      <c r="S66" s="112"/>
      <c r="T66" s="112"/>
      <c r="U66" s="112"/>
      <c r="V66" s="112"/>
      <c r="W66" s="52"/>
      <c r="X66" s="52"/>
      <c r="Y66" s="52"/>
    </row>
    <row r="67" ht="12.75" customHeight="1">
      <c r="A67" s="52"/>
      <c r="B67" s="119"/>
      <c r="C67" s="52"/>
      <c r="D67" s="52"/>
      <c r="E67" s="52"/>
      <c r="F67" s="52"/>
      <c r="G67" s="52"/>
      <c r="H67" s="52"/>
      <c r="I67" s="57"/>
      <c r="J67" s="52"/>
      <c r="K67" s="57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ht="12.75" customHeight="1">
      <c r="A68" s="52"/>
      <c r="B68" s="119"/>
      <c r="C68" s="52"/>
      <c r="D68" s="52"/>
      <c r="E68" s="52"/>
      <c r="F68" s="52"/>
      <c r="G68" s="52"/>
      <c r="H68" s="52"/>
      <c r="I68" s="57"/>
      <c r="J68" s="52"/>
      <c r="K68" s="57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ht="12.75" customHeight="1">
      <c r="A69" s="52"/>
      <c r="B69" s="119"/>
      <c r="C69" s="52"/>
      <c r="D69" s="52"/>
      <c r="E69" s="52"/>
      <c r="F69" s="52"/>
      <c r="G69" s="52"/>
      <c r="H69" s="52"/>
      <c r="I69" s="57"/>
      <c r="J69" s="52"/>
      <c r="K69" s="57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ht="12.75" customHeight="1">
      <c r="A70" s="52"/>
      <c r="B70" s="119"/>
      <c r="C70" s="52"/>
      <c r="D70" s="52"/>
      <c r="E70" s="52"/>
      <c r="F70" s="52"/>
      <c r="G70" s="52"/>
      <c r="H70" s="52"/>
      <c r="I70" s="57"/>
      <c r="J70" s="52"/>
      <c r="K70" s="57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ht="12.75" customHeight="1">
      <c r="A71" s="52"/>
      <c r="B71" s="119"/>
      <c r="C71" s="52"/>
      <c r="D71" s="52"/>
      <c r="E71" s="52"/>
      <c r="F71" s="52"/>
      <c r="G71" s="52"/>
      <c r="H71" s="52"/>
      <c r="I71" s="57"/>
      <c r="J71" s="52"/>
      <c r="K71" s="57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ht="12.75" customHeight="1">
      <c r="A72" s="52"/>
      <c r="B72" s="119"/>
      <c r="C72" s="52"/>
      <c r="D72" s="52"/>
      <c r="E72" s="52"/>
      <c r="F72" s="52"/>
      <c r="G72" s="52"/>
      <c r="H72" s="52"/>
      <c r="I72" s="57"/>
      <c r="J72" s="52"/>
      <c r="K72" s="57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ht="12.75" customHeight="1">
      <c r="A73" s="52"/>
      <c r="B73" s="119"/>
      <c r="C73" s="52"/>
      <c r="D73" s="52"/>
      <c r="E73" s="52"/>
      <c r="F73" s="52"/>
      <c r="G73" s="52"/>
      <c r="H73" s="52"/>
      <c r="I73" s="57"/>
      <c r="J73" s="52"/>
      <c r="K73" s="57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ht="12.75" customHeight="1">
      <c r="A74" s="52"/>
      <c r="B74" s="53"/>
      <c r="C74" s="52"/>
      <c r="D74" s="52"/>
      <c r="E74" s="52"/>
      <c r="F74" s="12"/>
      <c r="G74" s="52"/>
      <c r="H74" s="52"/>
      <c r="I74" s="57"/>
      <c r="J74" s="52"/>
      <c r="K74" s="57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ht="12.75" customHeight="1">
      <c r="A75" s="52"/>
      <c r="B75" s="53"/>
      <c r="C75" s="52"/>
      <c r="D75" s="52"/>
      <c r="E75" s="52"/>
      <c r="F75" s="120"/>
      <c r="G75" s="52"/>
      <c r="H75" s="52"/>
      <c r="I75" s="57"/>
      <c r="J75" s="52"/>
      <c r="K75" s="57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ht="12.75" customHeight="1">
      <c r="A76" s="52"/>
      <c r="B76" s="53"/>
      <c r="C76" s="52"/>
      <c r="D76" s="52"/>
      <c r="E76" s="52"/>
      <c r="F76" s="120"/>
      <c r="G76" s="52"/>
      <c r="H76" s="52"/>
      <c r="I76" s="57"/>
      <c r="J76" s="52"/>
      <c r="K76" s="57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ht="12.75" customHeight="1">
      <c r="A77" s="52"/>
      <c r="B77" s="53"/>
      <c r="C77" s="52"/>
      <c r="D77" s="52"/>
      <c r="E77" s="52"/>
      <c r="F77" s="12"/>
      <c r="G77" s="52"/>
      <c r="H77" s="52"/>
      <c r="I77" s="57"/>
      <c r="J77" s="52"/>
      <c r="K77" s="57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ht="12.75" customHeight="1">
      <c r="A78" s="52"/>
      <c r="B78" s="53"/>
      <c r="C78" s="52"/>
      <c r="D78" s="52"/>
      <c r="E78" s="52"/>
      <c r="F78" s="12"/>
      <c r="G78" s="52"/>
      <c r="H78" s="52"/>
      <c r="I78" s="57"/>
      <c r="J78" s="52"/>
      <c r="K78" s="57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ht="12.75" customHeight="1">
      <c r="A79" s="52"/>
      <c r="B79" s="53"/>
      <c r="C79" s="52"/>
      <c r="D79" s="52"/>
      <c r="E79" s="52"/>
      <c r="F79" s="12"/>
      <c r="G79" s="52"/>
      <c r="H79" s="52"/>
      <c r="I79" s="57"/>
      <c r="J79" s="52"/>
      <c r="K79" s="57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ht="12.75" customHeight="1">
      <c r="A80" s="52"/>
      <c r="B80" s="53"/>
      <c r="C80" s="52"/>
      <c r="D80" s="52"/>
      <c r="E80" s="52"/>
      <c r="F80" s="12"/>
      <c r="G80" s="52"/>
      <c r="H80" s="52"/>
      <c r="I80" s="57"/>
      <c r="J80" s="52"/>
      <c r="K80" s="57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ht="12.75" customHeight="1">
      <c r="A81" s="52"/>
      <c r="B81" s="53"/>
      <c r="C81" s="52"/>
      <c r="D81" s="52"/>
      <c r="E81" s="52"/>
      <c r="F81" s="12"/>
      <c r="G81" s="52"/>
      <c r="H81" s="52"/>
      <c r="I81" s="57"/>
      <c r="J81" s="52"/>
      <c r="K81" s="57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ht="12.75" customHeight="1">
      <c r="A82" s="52"/>
      <c r="B82" s="53"/>
      <c r="C82" s="52"/>
      <c r="D82" s="52"/>
      <c r="E82" s="52"/>
      <c r="F82" s="12"/>
      <c r="G82" s="52"/>
      <c r="H82" s="52"/>
      <c r="I82" s="57"/>
      <c r="J82" s="52"/>
      <c r="K82" s="57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ht="12.75" customHeight="1">
      <c r="A83" s="52"/>
      <c r="B83" s="53"/>
      <c r="C83" s="52"/>
      <c r="D83" s="52"/>
      <c r="E83" s="52"/>
      <c r="F83" s="12"/>
      <c r="G83" s="52"/>
      <c r="H83" s="52"/>
      <c r="I83" s="57"/>
      <c r="J83" s="52"/>
      <c r="K83" s="57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ht="12.75" customHeight="1">
      <c r="A84" s="52"/>
      <c r="B84" s="53"/>
      <c r="C84" s="52"/>
      <c r="D84" s="52"/>
      <c r="E84" s="52"/>
      <c r="F84" s="12"/>
      <c r="G84" s="52"/>
      <c r="H84" s="52"/>
      <c r="I84" s="57"/>
      <c r="J84" s="52"/>
      <c r="K84" s="57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ht="12.75" customHeight="1">
      <c r="A85" s="52"/>
      <c r="B85" s="53"/>
      <c r="C85" s="52"/>
      <c r="D85" s="52"/>
      <c r="E85" s="52"/>
      <c r="F85" s="12"/>
      <c r="G85" s="52"/>
      <c r="H85" s="52"/>
      <c r="I85" s="57"/>
      <c r="J85" s="52"/>
      <c r="K85" s="57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ht="12.75" customHeight="1">
      <c r="A86" s="52"/>
      <c r="B86" s="53"/>
      <c r="C86" s="52"/>
      <c r="D86" s="52"/>
      <c r="E86" s="52"/>
      <c r="F86" s="12"/>
      <c r="G86" s="52"/>
      <c r="H86" s="52"/>
      <c r="I86" s="57"/>
      <c r="J86" s="52"/>
      <c r="K86" s="57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ht="12.75" customHeight="1">
      <c r="A87" s="52"/>
      <c r="B87" s="53"/>
      <c r="C87" s="52"/>
      <c r="D87" s="52"/>
      <c r="E87" s="52"/>
      <c r="F87" s="12"/>
      <c r="G87" s="52"/>
      <c r="H87" s="52"/>
      <c r="I87" s="57"/>
      <c r="J87" s="52"/>
      <c r="K87" s="57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ht="12.75" customHeight="1">
      <c r="A88" s="52"/>
      <c r="B88" s="53"/>
      <c r="C88" s="52"/>
      <c r="D88" s="52"/>
      <c r="E88" s="52"/>
      <c r="F88" s="12"/>
      <c r="G88" s="52"/>
      <c r="H88" s="52"/>
      <c r="I88" s="57"/>
      <c r="J88" s="52"/>
      <c r="K88" s="57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ht="12.75" customHeight="1">
      <c r="A89" s="52"/>
      <c r="B89" s="53"/>
      <c r="C89" s="52"/>
      <c r="D89" s="52"/>
      <c r="E89" s="52"/>
      <c r="F89" s="12"/>
      <c r="G89" s="52"/>
      <c r="H89" s="52"/>
      <c r="I89" s="57"/>
      <c r="J89" s="52"/>
      <c r="K89" s="57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ht="12.75" customHeight="1">
      <c r="A90" s="52"/>
      <c r="B90" s="53"/>
      <c r="C90" s="52"/>
      <c r="D90" s="52"/>
      <c r="E90" s="52"/>
      <c r="F90" s="12"/>
      <c r="G90" s="52"/>
      <c r="H90" s="52"/>
      <c r="I90" s="57"/>
      <c r="J90" s="52"/>
      <c r="K90" s="57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ht="12.75" customHeight="1">
      <c r="A91" s="52"/>
      <c r="B91" s="53"/>
      <c r="C91" s="52"/>
      <c r="D91" s="52"/>
      <c r="E91" s="52"/>
      <c r="F91" s="12"/>
      <c r="G91" s="52"/>
      <c r="H91" s="52"/>
      <c r="I91" s="57"/>
      <c r="J91" s="52"/>
      <c r="K91" s="57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ht="12.75" customHeight="1">
      <c r="A92" s="52"/>
      <c r="B92" s="53"/>
      <c r="C92" s="52"/>
      <c r="D92" s="52"/>
      <c r="E92" s="52"/>
      <c r="F92" s="12"/>
      <c r="G92" s="52"/>
      <c r="H92" s="52"/>
      <c r="I92" s="57"/>
      <c r="J92" s="52"/>
      <c r="K92" s="57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ht="12.75" customHeight="1">
      <c r="A93" s="52"/>
      <c r="B93" s="53"/>
      <c r="C93" s="52"/>
      <c r="D93" s="52"/>
      <c r="E93" s="52"/>
      <c r="F93" s="12"/>
      <c r="G93" s="52"/>
      <c r="H93" s="52"/>
      <c r="I93" s="57"/>
      <c r="J93" s="52"/>
      <c r="K93" s="57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ht="12.75" customHeight="1">
      <c r="A94" s="52"/>
      <c r="B94" s="53"/>
      <c r="C94" s="52"/>
      <c r="D94" s="52"/>
      <c r="E94" s="52"/>
      <c r="F94" s="12"/>
      <c r="G94" s="52"/>
      <c r="H94" s="52"/>
      <c r="I94" s="57"/>
      <c r="J94" s="52"/>
      <c r="K94" s="57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ht="12.75" customHeight="1">
      <c r="A95" s="52"/>
      <c r="B95" s="53"/>
      <c r="C95" s="52"/>
      <c r="D95" s="52"/>
      <c r="E95" s="52"/>
      <c r="F95" s="12"/>
      <c r="G95" s="52"/>
      <c r="H95" s="52"/>
      <c r="I95" s="57"/>
      <c r="J95" s="52"/>
      <c r="K95" s="57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ht="12.75" customHeight="1">
      <c r="A96" s="52"/>
      <c r="B96" s="53"/>
      <c r="C96" s="52"/>
      <c r="D96" s="52"/>
      <c r="E96" s="52"/>
      <c r="F96" s="12"/>
      <c r="G96" s="52"/>
      <c r="H96" s="52"/>
      <c r="I96" s="57"/>
      <c r="J96" s="52"/>
      <c r="K96" s="57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ht="12.75" customHeight="1">
      <c r="A97" s="52"/>
      <c r="B97" s="53"/>
      <c r="C97" s="52"/>
      <c r="D97" s="52"/>
      <c r="E97" s="52"/>
      <c r="F97" s="12"/>
      <c r="G97" s="52"/>
      <c r="H97" s="52"/>
      <c r="I97" s="57"/>
      <c r="J97" s="52"/>
      <c r="K97" s="57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ht="12.75" customHeight="1">
      <c r="A98" s="52"/>
      <c r="B98" s="53"/>
      <c r="C98" s="52"/>
      <c r="D98" s="52"/>
      <c r="E98" s="52"/>
      <c r="F98" s="12"/>
      <c r="G98" s="52"/>
      <c r="H98" s="52"/>
      <c r="I98" s="57"/>
      <c r="J98" s="52"/>
      <c r="K98" s="57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ht="12.75" customHeight="1">
      <c r="A99" s="52"/>
      <c r="B99" s="53"/>
      <c r="C99" s="52"/>
      <c r="D99" s="52"/>
      <c r="E99" s="52"/>
      <c r="F99" s="12"/>
      <c r="G99" s="52"/>
      <c r="H99" s="52"/>
      <c r="I99" s="57"/>
      <c r="J99" s="52"/>
      <c r="K99" s="57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ht="12.75" customHeight="1">
      <c r="A100" s="52"/>
      <c r="B100" s="53"/>
      <c r="C100" s="52"/>
      <c r="D100" s="52"/>
      <c r="E100" s="52"/>
      <c r="F100" s="12"/>
      <c r="G100" s="52"/>
      <c r="H100" s="52"/>
      <c r="I100" s="57"/>
      <c r="J100" s="52"/>
      <c r="K100" s="57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ht="12.75" customHeight="1">
      <c r="A101" s="52"/>
      <c r="B101" s="53"/>
      <c r="C101" s="52"/>
      <c r="D101" s="52"/>
      <c r="E101" s="52"/>
      <c r="F101" s="12"/>
      <c r="G101" s="52"/>
      <c r="H101" s="52"/>
      <c r="I101" s="57"/>
      <c r="J101" s="52"/>
      <c r="K101" s="57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ht="12.75" customHeight="1">
      <c r="A102" s="52"/>
      <c r="B102" s="53"/>
      <c r="C102" s="52"/>
      <c r="D102" s="52"/>
      <c r="E102" s="52"/>
      <c r="F102" s="12"/>
      <c r="G102" s="52"/>
      <c r="H102" s="52"/>
      <c r="I102" s="57"/>
      <c r="J102" s="52"/>
      <c r="K102" s="57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ht="12.75" customHeight="1">
      <c r="A103" s="52"/>
      <c r="B103" s="53"/>
      <c r="C103" s="52"/>
      <c r="D103" s="52"/>
      <c r="E103" s="52"/>
      <c r="F103" s="12"/>
      <c r="G103" s="52"/>
      <c r="H103" s="52"/>
      <c r="I103" s="57"/>
      <c r="J103" s="52"/>
      <c r="K103" s="57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ht="12.75" customHeight="1">
      <c r="A104" s="52"/>
      <c r="B104" s="53"/>
      <c r="C104" s="52"/>
      <c r="D104" s="52"/>
      <c r="E104" s="52"/>
      <c r="F104" s="12"/>
      <c r="G104" s="52"/>
      <c r="H104" s="52"/>
      <c r="I104" s="57"/>
      <c r="J104" s="52"/>
      <c r="K104" s="57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ht="12.75" customHeight="1">
      <c r="A105" s="52"/>
      <c r="B105" s="53"/>
      <c r="C105" s="52"/>
      <c r="D105" s="52"/>
      <c r="E105" s="52"/>
      <c r="F105" s="12"/>
      <c r="G105" s="52"/>
      <c r="H105" s="52"/>
      <c r="I105" s="57"/>
      <c r="J105" s="52"/>
      <c r="K105" s="57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ht="12.75" customHeight="1">
      <c r="A106" s="52"/>
      <c r="B106" s="53"/>
      <c r="C106" s="52"/>
      <c r="D106" s="52"/>
      <c r="E106" s="52"/>
      <c r="F106" s="12"/>
      <c r="G106" s="52"/>
      <c r="H106" s="52"/>
      <c r="I106" s="57"/>
      <c r="J106" s="52"/>
      <c r="K106" s="57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ht="12.75" customHeight="1">
      <c r="A107" s="52"/>
      <c r="B107" s="53"/>
      <c r="C107" s="52"/>
      <c r="D107" s="52"/>
      <c r="E107" s="52"/>
      <c r="F107" s="12"/>
      <c r="G107" s="52"/>
      <c r="H107" s="52"/>
      <c r="I107" s="57"/>
      <c r="J107" s="52"/>
      <c r="K107" s="57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ht="12.75" customHeight="1">
      <c r="A108" s="52"/>
      <c r="B108" s="53"/>
      <c r="C108" s="52"/>
      <c r="D108" s="52"/>
      <c r="E108" s="52"/>
      <c r="F108" s="12"/>
      <c r="G108" s="52"/>
      <c r="H108" s="52"/>
      <c r="I108" s="57"/>
      <c r="J108" s="52"/>
      <c r="K108" s="57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ht="12.75" customHeight="1">
      <c r="A109" s="52"/>
      <c r="B109" s="53"/>
      <c r="C109" s="52"/>
      <c r="D109" s="52"/>
      <c r="E109" s="52"/>
      <c r="F109" s="12"/>
      <c r="G109" s="52"/>
      <c r="H109" s="52"/>
      <c r="I109" s="57"/>
      <c r="J109" s="52"/>
      <c r="K109" s="57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ht="12.75" customHeight="1">
      <c r="A110" s="52"/>
      <c r="B110" s="53"/>
      <c r="C110" s="52"/>
      <c r="D110" s="52"/>
      <c r="E110" s="52"/>
      <c r="F110" s="12"/>
      <c r="G110" s="52"/>
      <c r="H110" s="52"/>
      <c r="I110" s="57"/>
      <c r="J110" s="52"/>
      <c r="K110" s="57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ht="12.75" customHeight="1">
      <c r="A111" s="52"/>
      <c r="B111" s="53"/>
      <c r="C111" s="52"/>
      <c r="D111" s="52"/>
      <c r="E111" s="52"/>
      <c r="F111" s="12"/>
      <c r="G111" s="52"/>
      <c r="H111" s="52"/>
      <c r="I111" s="57"/>
      <c r="J111" s="52"/>
      <c r="K111" s="57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ht="12.75" customHeight="1">
      <c r="A112" s="52"/>
      <c r="B112" s="53"/>
      <c r="C112" s="52"/>
      <c r="D112" s="52"/>
      <c r="E112" s="52"/>
      <c r="F112" s="12"/>
      <c r="G112" s="52"/>
      <c r="H112" s="52"/>
      <c r="I112" s="57"/>
      <c r="J112" s="52"/>
      <c r="K112" s="57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ht="12.75" customHeight="1">
      <c r="A113" s="52"/>
      <c r="B113" s="53"/>
      <c r="C113" s="52"/>
      <c r="D113" s="52"/>
      <c r="E113" s="52"/>
      <c r="F113" s="12"/>
      <c r="G113" s="52"/>
      <c r="H113" s="52"/>
      <c r="I113" s="57"/>
      <c r="J113" s="52"/>
      <c r="K113" s="57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ht="12.75" customHeight="1">
      <c r="A114" s="52"/>
      <c r="B114" s="53"/>
      <c r="C114" s="52"/>
      <c r="D114" s="52"/>
      <c r="E114" s="52"/>
      <c r="F114" s="12"/>
      <c r="G114" s="52"/>
      <c r="H114" s="52"/>
      <c r="I114" s="57"/>
      <c r="J114" s="52"/>
      <c r="K114" s="57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ht="12.75" customHeight="1">
      <c r="A115" s="52"/>
      <c r="B115" s="53"/>
      <c r="C115" s="52"/>
      <c r="D115" s="52"/>
      <c r="E115" s="52"/>
      <c r="F115" s="12"/>
      <c r="G115" s="52"/>
      <c r="H115" s="52"/>
      <c r="I115" s="57"/>
      <c r="J115" s="52"/>
      <c r="K115" s="57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ht="12.75" customHeight="1">
      <c r="A116" s="52"/>
      <c r="B116" s="53"/>
      <c r="C116" s="52"/>
      <c r="D116" s="52"/>
      <c r="E116" s="52"/>
      <c r="F116" s="12"/>
      <c r="G116" s="52"/>
      <c r="H116" s="52"/>
      <c r="I116" s="57"/>
      <c r="J116" s="52"/>
      <c r="K116" s="57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ht="12.75" customHeight="1">
      <c r="A117" s="52"/>
      <c r="B117" s="53"/>
      <c r="C117" s="52"/>
      <c r="D117" s="52"/>
      <c r="E117" s="52"/>
      <c r="F117" s="12"/>
      <c r="G117" s="52"/>
      <c r="H117" s="52"/>
      <c r="I117" s="57"/>
      <c r="J117" s="52"/>
      <c r="K117" s="57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ht="12.75" customHeight="1">
      <c r="A118" s="52"/>
      <c r="B118" s="53"/>
      <c r="C118" s="52"/>
      <c r="D118" s="52"/>
      <c r="E118" s="52"/>
      <c r="F118" s="12"/>
      <c r="G118" s="52"/>
      <c r="H118" s="52"/>
      <c r="I118" s="57"/>
      <c r="J118" s="52"/>
      <c r="K118" s="57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ht="12.75" customHeight="1">
      <c r="A119" s="52"/>
      <c r="B119" s="53"/>
      <c r="C119" s="52"/>
      <c r="D119" s="52"/>
      <c r="E119" s="52"/>
      <c r="F119" s="12"/>
      <c r="G119" s="52"/>
      <c r="H119" s="52"/>
      <c r="I119" s="57"/>
      <c r="J119" s="52"/>
      <c r="K119" s="57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ht="12.75" customHeight="1">
      <c r="A120" s="52"/>
      <c r="B120" s="53"/>
      <c r="C120" s="52"/>
      <c r="D120" s="52"/>
      <c r="E120" s="52"/>
      <c r="F120" s="12"/>
      <c r="G120" s="52"/>
      <c r="H120" s="52"/>
      <c r="I120" s="57"/>
      <c r="J120" s="52"/>
      <c r="K120" s="57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ht="12.75" customHeight="1">
      <c r="A121" s="52"/>
      <c r="B121" s="53"/>
      <c r="C121" s="52"/>
      <c r="D121" s="52"/>
      <c r="E121" s="52"/>
      <c r="F121" s="12"/>
      <c r="G121" s="52"/>
      <c r="H121" s="52"/>
      <c r="I121" s="57"/>
      <c r="J121" s="52"/>
      <c r="K121" s="57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ht="12.75" customHeight="1">
      <c r="A122" s="52"/>
      <c r="B122" s="53"/>
      <c r="C122" s="52"/>
      <c r="D122" s="52"/>
      <c r="E122" s="52"/>
      <c r="F122" s="12"/>
      <c r="G122" s="52"/>
      <c r="H122" s="52"/>
      <c r="I122" s="57"/>
      <c r="J122" s="52"/>
      <c r="K122" s="57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ht="12.75" customHeight="1">
      <c r="A123" s="52"/>
      <c r="B123" s="53"/>
      <c r="C123" s="52"/>
      <c r="D123" s="52"/>
      <c r="E123" s="52"/>
      <c r="F123" s="12"/>
      <c r="G123" s="52"/>
      <c r="H123" s="52"/>
      <c r="I123" s="57"/>
      <c r="J123" s="52"/>
      <c r="K123" s="57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ht="12.75" customHeight="1">
      <c r="A124" s="52"/>
      <c r="B124" s="53"/>
      <c r="C124" s="52"/>
      <c r="D124" s="52"/>
      <c r="E124" s="52"/>
      <c r="F124" s="12"/>
      <c r="G124" s="52"/>
      <c r="H124" s="52"/>
      <c r="I124" s="57"/>
      <c r="J124" s="52"/>
      <c r="K124" s="57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ht="12.75" customHeight="1">
      <c r="A125" s="52"/>
      <c r="B125" s="53"/>
      <c r="C125" s="52"/>
      <c r="D125" s="52"/>
      <c r="E125" s="52"/>
      <c r="F125" s="12"/>
      <c r="G125" s="52"/>
      <c r="H125" s="52"/>
      <c r="I125" s="57"/>
      <c r="J125" s="52"/>
      <c r="K125" s="57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ht="12.75" customHeight="1">
      <c r="A126" s="52"/>
      <c r="B126" s="53"/>
      <c r="C126" s="52"/>
      <c r="D126" s="52"/>
      <c r="E126" s="52"/>
      <c r="F126" s="12"/>
      <c r="G126" s="52"/>
      <c r="H126" s="52"/>
      <c r="I126" s="57"/>
      <c r="J126" s="52"/>
      <c r="K126" s="57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ht="12.75" customHeight="1">
      <c r="A127" s="52"/>
      <c r="B127" s="53"/>
      <c r="C127" s="52"/>
      <c r="D127" s="52"/>
      <c r="E127" s="52"/>
      <c r="F127" s="12"/>
      <c r="G127" s="52"/>
      <c r="H127" s="52"/>
      <c r="I127" s="57"/>
      <c r="J127" s="52"/>
      <c r="K127" s="57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ht="12.75" customHeight="1">
      <c r="A128" s="52"/>
      <c r="B128" s="53"/>
      <c r="C128" s="52"/>
      <c r="D128" s="52"/>
      <c r="E128" s="52"/>
      <c r="F128" s="12"/>
      <c r="G128" s="52"/>
      <c r="H128" s="52"/>
      <c r="I128" s="57"/>
      <c r="J128" s="52"/>
      <c r="K128" s="57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ht="12.75" customHeight="1">
      <c r="A129" s="52"/>
      <c r="B129" s="53"/>
      <c r="C129" s="52"/>
      <c r="D129" s="52"/>
      <c r="E129" s="52"/>
      <c r="F129" s="12"/>
      <c r="G129" s="52"/>
      <c r="H129" s="52"/>
      <c r="I129" s="57"/>
      <c r="J129" s="52"/>
      <c r="K129" s="57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ht="12.75" customHeight="1">
      <c r="A130" s="52"/>
      <c r="B130" s="53"/>
      <c r="C130" s="52"/>
      <c r="D130" s="52"/>
      <c r="E130" s="52"/>
      <c r="F130" s="12"/>
      <c r="G130" s="52"/>
      <c r="H130" s="52"/>
      <c r="I130" s="57"/>
      <c r="J130" s="52"/>
      <c r="K130" s="57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ht="12.75" customHeight="1">
      <c r="A131" s="52"/>
      <c r="B131" s="53"/>
      <c r="C131" s="52"/>
      <c r="D131" s="52"/>
      <c r="E131" s="52"/>
      <c r="F131" s="12"/>
      <c r="G131" s="52"/>
      <c r="H131" s="52"/>
      <c r="I131" s="57"/>
      <c r="J131" s="52"/>
      <c r="K131" s="57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ht="12.75" customHeight="1">
      <c r="A132" s="52"/>
      <c r="B132" s="53"/>
      <c r="C132" s="52"/>
      <c r="D132" s="52"/>
      <c r="E132" s="52"/>
      <c r="F132" s="12"/>
      <c r="G132" s="52"/>
      <c r="H132" s="52"/>
      <c r="I132" s="57"/>
      <c r="J132" s="52"/>
      <c r="K132" s="57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ht="12.75" customHeight="1">
      <c r="A133" s="52"/>
      <c r="B133" s="53"/>
      <c r="C133" s="52"/>
      <c r="D133" s="52"/>
      <c r="E133" s="52"/>
      <c r="F133" s="12"/>
      <c r="G133" s="52"/>
      <c r="H133" s="52"/>
      <c r="I133" s="57"/>
      <c r="J133" s="52"/>
      <c r="K133" s="57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ht="12.75" customHeight="1">
      <c r="A134" s="52"/>
      <c r="B134" s="53"/>
      <c r="C134" s="52"/>
      <c r="D134" s="52"/>
      <c r="E134" s="52"/>
      <c r="F134" s="12"/>
      <c r="G134" s="52"/>
      <c r="H134" s="52"/>
      <c r="I134" s="57"/>
      <c r="J134" s="52"/>
      <c r="K134" s="57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ht="12.75" customHeight="1">
      <c r="A135" s="52"/>
      <c r="B135" s="53"/>
      <c r="C135" s="52"/>
      <c r="D135" s="52"/>
      <c r="E135" s="52"/>
      <c r="F135" s="12"/>
      <c r="G135" s="52"/>
      <c r="H135" s="52"/>
      <c r="I135" s="57"/>
      <c r="J135" s="52"/>
      <c r="K135" s="57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ht="12.75" customHeight="1">
      <c r="A136" s="52"/>
      <c r="B136" s="53"/>
      <c r="C136" s="52"/>
      <c r="D136" s="52"/>
      <c r="E136" s="52"/>
      <c r="F136" s="12"/>
      <c r="G136" s="52"/>
      <c r="H136" s="52"/>
      <c r="I136" s="57"/>
      <c r="J136" s="52"/>
      <c r="K136" s="57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ht="12.75" customHeight="1">
      <c r="A137" s="52"/>
      <c r="B137" s="53"/>
      <c r="C137" s="52"/>
      <c r="D137" s="52"/>
      <c r="E137" s="52"/>
      <c r="F137" s="12"/>
      <c r="G137" s="52"/>
      <c r="H137" s="52"/>
      <c r="I137" s="57"/>
      <c r="J137" s="52"/>
      <c r="K137" s="57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ht="12.75" customHeight="1">
      <c r="A138" s="52"/>
      <c r="B138" s="53"/>
      <c r="C138" s="52"/>
      <c r="D138" s="52"/>
      <c r="E138" s="52"/>
      <c r="F138" s="12"/>
      <c r="G138" s="52"/>
      <c r="H138" s="52"/>
      <c r="I138" s="57"/>
      <c r="J138" s="52"/>
      <c r="K138" s="57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ht="12.75" customHeight="1">
      <c r="A139" s="52"/>
      <c r="B139" s="53"/>
      <c r="C139" s="52"/>
      <c r="D139" s="52"/>
      <c r="E139" s="52"/>
      <c r="F139" s="12"/>
      <c r="G139" s="52"/>
      <c r="H139" s="52"/>
      <c r="I139" s="57"/>
      <c r="J139" s="52"/>
      <c r="K139" s="57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ht="12.75" customHeight="1">
      <c r="A140" s="52"/>
      <c r="B140" s="53"/>
      <c r="C140" s="52"/>
      <c r="D140" s="52"/>
      <c r="E140" s="52"/>
      <c r="F140" s="12"/>
      <c r="G140" s="52"/>
      <c r="H140" s="52"/>
      <c r="I140" s="57"/>
      <c r="J140" s="52"/>
      <c r="K140" s="57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ht="12.75" customHeight="1">
      <c r="A141" s="52"/>
      <c r="B141" s="53"/>
      <c r="C141" s="52"/>
      <c r="D141" s="52"/>
      <c r="E141" s="52"/>
      <c r="F141" s="12"/>
      <c r="G141" s="52"/>
      <c r="H141" s="52"/>
      <c r="I141" s="57"/>
      <c r="J141" s="52"/>
      <c r="K141" s="57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ht="12.75" customHeight="1">
      <c r="A142" s="52"/>
      <c r="B142" s="53"/>
      <c r="C142" s="52"/>
      <c r="D142" s="52"/>
      <c r="E142" s="52"/>
      <c r="F142" s="12"/>
      <c r="G142" s="52"/>
      <c r="H142" s="52"/>
      <c r="I142" s="57"/>
      <c r="J142" s="52"/>
      <c r="K142" s="57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ht="12.75" customHeight="1">
      <c r="A143" s="52"/>
      <c r="B143" s="53"/>
      <c r="C143" s="52"/>
      <c r="D143" s="52"/>
      <c r="E143" s="52"/>
      <c r="F143" s="12"/>
      <c r="G143" s="52"/>
      <c r="H143" s="52"/>
      <c r="I143" s="57"/>
      <c r="J143" s="52"/>
      <c r="K143" s="57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ht="12.75" customHeight="1">
      <c r="A144" s="52"/>
      <c r="B144" s="53"/>
      <c r="C144" s="52"/>
      <c r="D144" s="52"/>
      <c r="E144" s="52"/>
      <c r="F144" s="12"/>
      <c r="G144" s="52"/>
      <c r="H144" s="52"/>
      <c r="I144" s="57"/>
      <c r="J144" s="52"/>
      <c r="K144" s="57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ht="12.75" customHeight="1">
      <c r="A145" s="52"/>
      <c r="B145" s="53"/>
      <c r="C145" s="52"/>
      <c r="D145" s="52"/>
      <c r="E145" s="52"/>
      <c r="F145" s="12"/>
      <c r="G145" s="52"/>
      <c r="H145" s="52"/>
      <c r="I145" s="57"/>
      <c r="J145" s="52"/>
      <c r="K145" s="57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ht="12.75" customHeight="1">
      <c r="A146" s="52"/>
      <c r="B146" s="53"/>
      <c r="C146" s="52"/>
      <c r="D146" s="52"/>
      <c r="E146" s="52"/>
      <c r="F146" s="12"/>
      <c r="G146" s="52"/>
      <c r="H146" s="52"/>
      <c r="I146" s="57"/>
      <c r="J146" s="52"/>
      <c r="K146" s="57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ht="12.75" customHeight="1">
      <c r="A147" s="52"/>
      <c r="B147" s="53"/>
      <c r="C147" s="52"/>
      <c r="D147" s="52"/>
      <c r="E147" s="52"/>
      <c r="F147" s="12"/>
      <c r="G147" s="52"/>
      <c r="H147" s="52"/>
      <c r="I147" s="57"/>
      <c r="J147" s="52"/>
      <c r="K147" s="57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ht="12.75" customHeight="1">
      <c r="A148" s="52"/>
      <c r="B148" s="53"/>
      <c r="C148" s="52"/>
      <c r="D148" s="52"/>
      <c r="E148" s="52"/>
      <c r="F148" s="12"/>
      <c r="G148" s="52"/>
      <c r="H148" s="52"/>
      <c r="I148" s="57"/>
      <c r="J148" s="52"/>
      <c r="K148" s="57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ht="12.75" customHeight="1">
      <c r="A149" s="52"/>
      <c r="B149" s="53"/>
      <c r="C149" s="52"/>
      <c r="D149" s="52"/>
      <c r="E149" s="52"/>
      <c r="F149" s="12"/>
      <c r="G149" s="52"/>
      <c r="H149" s="52"/>
      <c r="I149" s="57"/>
      <c r="J149" s="52"/>
      <c r="K149" s="57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ht="12.75" customHeight="1">
      <c r="A150" s="52"/>
      <c r="B150" s="53"/>
      <c r="C150" s="52"/>
      <c r="D150" s="52"/>
      <c r="E150" s="52"/>
      <c r="F150" s="12"/>
      <c r="G150" s="52"/>
      <c r="H150" s="52"/>
      <c r="I150" s="57"/>
      <c r="J150" s="52"/>
      <c r="K150" s="57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ht="12.75" customHeight="1">
      <c r="A151" s="52"/>
      <c r="B151" s="53"/>
      <c r="C151" s="52"/>
      <c r="D151" s="52"/>
      <c r="E151" s="52"/>
      <c r="F151" s="12"/>
      <c r="G151" s="52"/>
      <c r="H151" s="52"/>
      <c r="I151" s="57"/>
      <c r="J151" s="52"/>
      <c r="K151" s="57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ht="12.75" customHeight="1">
      <c r="A152" s="52"/>
      <c r="B152" s="53"/>
      <c r="C152" s="52"/>
      <c r="D152" s="52"/>
      <c r="E152" s="52"/>
      <c r="F152" s="12"/>
      <c r="G152" s="52"/>
      <c r="H152" s="52"/>
      <c r="I152" s="57"/>
      <c r="J152" s="52"/>
      <c r="K152" s="57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ht="12.75" customHeight="1">
      <c r="A153" s="52"/>
      <c r="B153" s="53"/>
      <c r="C153" s="52"/>
      <c r="D153" s="52"/>
      <c r="E153" s="52"/>
      <c r="F153" s="12"/>
      <c r="G153" s="52"/>
      <c r="H153" s="52"/>
      <c r="I153" s="57"/>
      <c r="J153" s="52"/>
      <c r="K153" s="57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ht="12.75" customHeight="1">
      <c r="A154" s="52"/>
      <c r="B154" s="53"/>
      <c r="C154" s="52"/>
      <c r="D154" s="52"/>
      <c r="E154" s="52"/>
      <c r="F154" s="12"/>
      <c r="G154" s="52"/>
      <c r="H154" s="52"/>
      <c r="I154" s="57"/>
      <c r="J154" s="52"/>
      <c r="K154" s="57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ht="12.75" customHeight="1">
      <c r="A155" s="52"/>
      <c r="B155" s="53"/>
      <c r="C155" s="52"/>
      <c r="D155" s="52"/>
      <c r="E155" s="52"/>
      <c r="F155" s="12"/>
      <c r="G155" s="52"/>
      <c r="H155" s="52"/>
      <c r="I155" s="57"/>
      <c r="J155" s="52"/>
      <c r="K155" s="57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ht="12.75" customHeight="1">
      <c r="A156" s="52"/>
      <c r="B156" s="53"/>
      <c r="C156" s="52"/>
      <c r="D156" s="52"/>
      <c r="E156" s="52"/>
      <c r="F156" s="12"/>
      <c r="G156" s="52"/>
      <c r="H156" s="52"/>
      <c r="I156" s="57"/>
      <c r="J156" s="52"/>
      <c r="K156" s="57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ht="12.75" customHeight="1">
      <c r="A157" s="52"/>
      <c r="B157" s="53"/>
      <c r="C157" s="52"/>
      <c r="D157" s="52"/>
      <c r="E157" s="52"/>
      <c r="F157" s="12"/>
      <c r="G157" s="52"/>
      <c r="H157" s="52"/>
      <c r="I157" s="57"/>
      <c r="J157" s="52"/>
      <c r="K157" s="57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ht="12.75" customHeight="1">
      <c r="A158" s="52"/>
      <c r="B158" s="53"/>
      <c r="C158" s="52"/>
      <c r="D158" s="52"/>
      <c r="E158" s="52"/>
      <c r="F158" s="12"/>
      <c r="G158" s="52"/>
      <c r="H158" s="52"/>
      <c r="I158" s="57"/>
      <c r="J158" s="52"/>
      <c r="K158" s="57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ht="12.75" customHeight="1">
      <c r="A159" s="52"/>
      <c r="B159" s="53"/>
      <c r="C159" s="52"/>
      <c r="D159" s="52"/>
      <c r="E159" s="52"/>
      <c r="F159" s="12"/>
      <c r="G159" s="52"/>
      <c r="H159" s="52"/>
      <c r="I159" s="57"/>
      <c r="J159" s="52"/>
      <c r="K159" s="57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ht="12.75" customHeight="1">
      <c r="A160" s="52"/>
      <c r="B160" s="53"/>
      <c r="C160" s="52"/>
      <c r="D160" s="52"/>
      <c r="E160" s="52"/>
      <c r="F160" s="12"/>
      <c r="G160" s="52"/>
      <c r="H160" s="52"/>
      <c r="I160" s="57"/>
      <c r="J160" s="52"/>
      <c r="K160" s="57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ht="12.75" customHeight="1">
      <c r="A161" s="52"/>
      <c r="B161" s="53"/>
      <c r="C161" s="52"/>
      <c r="D161" s="52"/>
      <c r="E161" s="52"/>
      <c r="F161" s="12"/>
      <c r="G161" s="52"/>
      <c r="H161" s="52"/>
      <c r="I161" s="57"/>
      <c r="J161" s="52"/>
      <c r="K161" s="57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ht="12.75" customHeight="1">
      <c r="A162" s="52"/>
      <c r="B162" s="53"/>
      <c r="C162" s="52"/>
      <c r="D162" s="52"/>
      <c r="E162" s="52"/>
      <c r="F162" s="12"/>
      <c r="G162" s="52"/>
      <c r="H162" s="52"/>
      <c r="I162" s="57"/>
      <c r="J162" s="52"/>
      <c r="K162" s="57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ht="12.75" customHeight="1">
      <c r="A163" s="52"/>
      <c r="B163" s="53"/>
      <c r="C163" s="52"/>
      <c r="D163" s="52"/>
      <c r="E163" s="52"/>
      <c r="F163" s="12"/>
      <c r="G163" s="52"/>
      <c r="H163" s="52"/>
      <c r="I163" s="57"/>
      <c r="J163" s="52"/>
      <c r="K163" s="57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ht="12.75" customHeight="1">
      <c r="A164" s="52"/>
      <c r="B164" s="53"/>
      <c r="C164" s="52"/>
      <c r="D164" s="52"/>
      <c r="E164" s="52"/>
      <c r="F164" s="12"/>
      <c r="G164" s="52"/>
      <c r="H164" s="52"/>
      <c r="I164" s="57"/>
      <c r="J164" s="52"/>
      <c r="K164" s="57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ht="12.75" customHeight="1">
      <c r="A165" s="52"/>
      <c r="B165" s="53"/>
      <c r="C165" s="52"/>
      <c r="D165" s="52"/>
      <c r="E165" s="52"/>
      <c r="F165" s="12"/>
      <c r="G165" s="52"/>
      <c r="H165" s="52"/>
      <c r="I165" s="57"/>
      <c r="J165" s="52"/>
      <c r="K165" s="57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ht="12.75" customHeight="1">
      <c r="A166" s="52"/>
      <c r="B166" s="53"/>
      <c r="C166" s="52"/>
      <c r="D166" s="52"/>
      <c r="E166" s="52"/>
      <c r="F166" s="12"/>
      <c r="G166" s="52"/>
      <c r="H166" s="52"/>
      <c r="I166" s="57"/>
      <c r="J166" s="52"/>
      <c r="K166" s="57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ht="12.75" customHeight="1">
      <c r="A167" s="52"/>
      <c r="B167" s="53"/>
      <c r="C167" s="52"/>
      <c r="D167" s="52"/>
      <c r="E167" s="52"/>
      <c r="F167" s="12"/>
      <c r="G167" s="52"/>
      <c r="H167" s="52"/>
      <c r="I167" s="57"/>
      <c r="J167" s="52"/>
      <c r="K167" s="57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ht="12.75" customHeight="1">
      <c r="A168" s="52"/>
      <c r="B168" s="53"/>
      <c r="C168" s="52"/>
      <c r="D168" s="52"/>
      <c r="E168" s="52"/>
      <c r="F168" s="12"/>
      <c r="G168" s="52"/>
      <c r="H168" s="52"/>
      <c r="I168" s="57"/>
      <c r="J168" s="52"/>
      <c r="K168" s="57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ht="12.75" customHeight="1">
      <c r="A169" s="52"/>
      <c r="B169" s="53"/>
      <c r="C169" s="52"/>
      <c r="D169" s="52"/>
      <c r="E169" s="52"/>
      <c r="F169" s="12"/>
      <c r="G169" s="52"/>
      <c r="H169" s="52"/>
      <c r="I169" s="57"/>
      <c r="J169" s="52"/>
      <c r="K169" s="57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ht="12.75" customHeight="1">
      <c r="A170" s="52"/>
      <c r="B170" s="53"/>
      <c r="C170" s="52"/>
      <c r="D170" s="52"/>
      <c r="E170" s="52"/>
      <c r="F170" s="12"/>
      <c r="G170" s="52"/>
      <c r="H170" s="52"/>
      <c r="I170" s="57"/>
      <c r="J170" s="52"/>
      <c r="K170" s="57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ht="12.75" customHeight="1">
      <c r="A171" s="52"/>
      <c r="B171" s="53"/>
      <c r="C171" s="52"/>
      <c r="D171" s="52"/>
      <c r="E171" s="52"/>
      <c r="F171" s="12"/>
      <c r="G171" s="52"/>
      <c r="H171" s="52"/>
      <c r="I171" s="57"/>
      <c r="J171" s="52"/>
      <c r="K171" s="57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ht="12.75" customHeight="1">
      <c r="A172" s="52"/>
      <c r="B172" s="53"/>
      <c r="C172" s="52"/>
      <c r="D172" s="52"/>
      <c r="E172" s="52"/>
      <c r="F172" s="12"/>
      <c r="G172" s="52"/>
      <c r="H172" s="52"/>
      <c r="I172" s="57"/>
      <c r="J172" s="52"/>
      <c r="K172" s="57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ht="12.75" customHeight="1">
      <c r="A173" s="52"/>
      <c r="B173" s="53"/>
      <c r="C173" s="52"/>
      <c r="D173" s="52"/>
      <c r="E173" s="52"/>
      <c r="F173" s="12"/>
      <c r="G173" s="52"/>
      <c r="H173" s="52"/>
      <c r="I173" s="57"/>
      <c r="J173" s="52"/>
      <c r="K173" s="57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ht="12.75" customHeight="1">
      <c r="A174" s="52"/>
      <c r="B174" s="53"/>
      <c r="C174" s="52"/>
      <c r="D174" s="52"/>
      <c r="E174" s="52"/>
      <c r="F174" s="12"/>
      <c r="G174" s="52"/>
      <c r="H174" s="52"/>
      <c r="I174" s="57"/>
      <c r="J174" s="52"/>
      <c r="K174" s="57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ht="12.75" customHeight="1">
      <c r="A175" s="52"/>
      <c r="B175" s="53"/>
      <c r="C175" s="52"/>
      <c r="D175" s="52"/>
      <c r="E175" s="52"/>
      <c r="F175" s="12"/>
      <c r="G175" s="52"/>
      <c r="H175" s="52"/>
      <c r="I175" s="57"/>
      <c r="J175" s="52"/>
      <c r="K175" s="57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ht="12.75" customHeight="1">
      <c r="A176" s="52"/>
      <c r="B176" s="53"/>
      <c r="C176" s="52"/>
      <c r="D176" s="52"/>
      <c r="E176" s="52"/>
      <c r="F176" s="12"/>
      <c r="G176" s="52"/>
      <c r="H176" s="52"/>
      <c r="I176" s="57"/>
      <c r="J176" s="52"/>
      <c r="K176" s="57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ht="12.75" customHeight="1">
      <c r="A177" s="52"/>
      <c r="B177" s="53"/>
      <c r="C177" s="52"/>
      <c r="D177" s="52"/>
      <c r="E177" s="52"/>
      <c r="F177" s="12"/>
      <c r="G177" s="52"/>
      <c r="H177" s="52"/>
      <c r="I177" s="57"/>
      <c r="J177" s="52"/>
      <c r="K177" s="57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ht="12.75" customHeight="1">
      <c r="A178" s="52"/>
      <c r="B178" s="53"/>
      <c r="C178" s="52"/>
      <c r="D178" s="52"/>
      <c r="E178" s="52"/>
      <c r="F178" s="12"/>
      <c r="G178" s="52"/>
      <c r="H178" s="52"/>
      <c r="I178" s="57"/>
      <c r="J178" s="52"/>
      <c r="K178" s="57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ht="12.75" customHeight="1">
      <c r="A179" s="52"/>
      <c r="B179" s="53"/>
      <c r="C179" s="52"/>
      <c r="D179" s="52"/>
      <c r="E179" s="52"/>
      <c r="F179" s="12"/>
      <c r="G179" s="52"/>
      <c r="H179" s="52"/>
      <c r="I179" s="57"/>
      <c r="J179" s="52"/>
      <c r="K179" s="57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ht="12.75" customHeight="1">
      <c r="A180" s="52"/>
      <c r="B180" s="53"/>
      <c r="C180" s="52"/>
      <c r="D180" s="52"/>
      <c r="E180" s="52"/>
      <c r="F180" s="12"/>
      <c r="G180" s="52"/>
      <c r="H180" s="52"/>
      <c r="I180" s="57"/>
      <c r="J180" s="52"/>
      <c r="K180" s="57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ht="12.75" customHeight="1">
      <c r="A181" s="52"/>
      <c r="B181" s="53"/>
      <c r="C181" s="52"/>
      <c r="D181" s="52"/>
      <c r="E181" s="52"/>
      <c r="F181" s="12"/>
      <c r="G181" s="52"/>
      <c r="H181" s="52"/>
      <c r="I181" s="57"/>
      <c r="J181" s="52"/>
      <c r="K181" s="57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ht="12.75" customHeight="1">
      <c r="A182" s="52"/>
      <c r="B182" s="53"/>
      <c r="C182" s="52"/>
      <c r="D182" s="52"/>
      <c r="E182" s="52"/>
      <c r="F182" s="12"/>
      <c r="G182" s="52"/>
      <c r="H182" s="52"/>
      <c r="I182" s="57"/>
      <c r="J182" s="52"/>
      <c r="K182" s="57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ht="12.75" customHeight="1">
      <c r="A183" s="52"/>
      <c r="B183" s="53"/>
      <c r="C183" s="52"/>
      <c r="D183" s="52"/>
      <c r="E183" s="52"/>
      <c r="F183" s="12"/>
      <c r="G183" s="52"/>
      <c r="H183" s="52"/>
      <c r="I183" s="57"/>
      <c r="J183" s="52"/>
      <c r="K183" s="57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ht="12.75" customHeight="1">
      <c r="A184" s="52"/>
      <c r="B184" s="53"/>
      <c r="C184" s="52"/>
      <c r="D184" s="52"/>
      <c r="E184" s="52"/>
      <c r="F184" s="12"/>
      <c r="G184" s="52"/>
      <c r="H184" s="52"/>
      <c r="I184" s="57"/>
      <c r="J184" s="52"/>
      <c r="K184" s="57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ht="12.75" customHeight="1">
      <c r="A185" s="52"/>
      <c r="B185" s="53"/>
      <c r="C185" s="52"/>
      <c r="D185" s="52"/>
      <c r="E185" s="52"/>
      <c r="F185" s="12"/>
      <c r="G185" s="52"/>
      <c r="H185" s="52"/>
      <c r="I185" s="57"/>
      <c r="J185" s="52"/>
      <c r="K185" s="57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ht="12.75" customHeight="1">
      <c r="A186" s="52"/>
      <c r="B186" s="53"/>
      <c r="C186" s="52"/>
      <c r="D186" s="52"/>
      <c r="E186" s="52"/>
      <c r="F186" s="12"/>
      <c r="G186" s="52"/>
      <c r="H186" s="52"/>
      <c r="I186" s="57"/>
      <c r="J186" s="52"/>
      <c r="K186" s="57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ht="12.75" customHeight="1">
      <c r="A187" s="52"/>
      <c r="B187" s="53"/>
      <c r="C187" s="52"/>
      <c r="D187" s="52"/>
      <c r="E187" s="52"/>
      <c r="F187" s="12"/>
      <c r="G187" s="52"/>
      <c r="H187" s="52"/>
      <c r="I187" s="57"/>
      <c r="J187" s="52"/>
      <c r="K187" s="57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ht="12.75" customHeight="1">
      <c r="A188" s="52"/>
      <c r="B188" s="53"/>
      <c r="C188" s="52"/>
      <c r="D188" s="52"/>
      <c r="E188" s="52"/>
      <c r="F188" s="12"/>
      <c r="G188" s="52"/>
      <c r="H188" s="52"/>
      <c r="I188" s="57"/>
      <c r="J188" s="52"/>
      <c r="K188" s="57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ht="12.75" customHeight="1">
      <c r="A189" s="52"/>
      <c r="B189" s="53"/>
      <c r="C189" s="52"/>
      <c r="D189" s="52"/>
      <c r="E189" s="52"/>
      <c r="F189" s="12"/>
      <c r="G189" s="52"/>
      <c r="H189" s="52"/>
      <c r="I189" s="57"/>
      <c r="J189" s="52"/>
      <c r="K189" s="57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 ht="12.75" customHeight="1">
      <c r="A190" s="52"/>
      <c r="B190" s="53"/>
      <c r="C190" s="52"/>
      <c r="D190" s="52"/>
      <c r="E190" s="52"/>
      <c r="F190" s="12"/>
      <c r="G190" s="52"/>
      <c r="H190" s="52"/>
      <c r="I190" s="57"/>
      <c r="J190" s="52"/>
      <c r="K190" s="57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 ht="12.75" customHeight="1">
      <c r="A191" s="52"/>
      <c r="B191" s="53"/>
      <c r="C191" s="52"/>
      <c r="D191" s="52"/>
      <c r="E191" s="52"/>
      <c r="F191" s="12"/>
      <c r="G191" s="52"/>
      <c r="H191" s="52"/>
      <c r="I191" s="57"/>
      <c r="J191" s="52"/>
      <c r="K191" s="57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 ht="12.75" customHeight="1">
      <c r="A192" s="52"/>
      <c r="B192" s="53"/>
      <c r="C192" s="52"/>
      <c r="D192" s="52"/>
      <c r="E192" s="52"/>
      <c r="F192" s="12"/>
      <c r="G192" s="52"/>
      <c r="H192" s="52"/>
      <c r="I192" s="57"/>
      <c r="J192" s="52"/>
      <c r="K192" s="57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 ht="12.75" customHeight="1">
      <c r="A193" s="52"/>
      <c r="B193" s="53"/>
      <c r="C193" s="52"/>
      <c r="D193" s="52"/>
      <c r="E193" s="52"/>
      <c r="F193" s="12"/>
      <c r="G193" s="52"/>
      <c r="H193" s="52"/>
      <c r="I193" s="57"/>
      <c r="J193" s="52"/>
      <c r="K193" s="57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</row>
    <row r="194" ht="12.75" customHeight="1">
      <c r="A194" s="52"/>
      <c r="B194" s="53"/>
      <c r="C194" s="52"/>
      <c r="D194" s="52"/>
      <c r="E194" s="52"/>
      <c r="F194" s="12"/>
      <c r="G194" s="52"/>
      <c r="H194" s="52"/>
      <c r="I194" s="57"/>
      <c r="J194" s="52"/>
      <c r="K194" s="57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 ht="12.75" customHeight="1">
      <c r="A195" s="52"/>
      <c r="B195" s="53"/>
      <c r="C195" s="52"/>
      <c r="D195" s="52"/>
      <c r="E195" s="52"/>
      <c r="F195" s="12"/>
      <c r="G195" s="52"/>
      <c r="H195" s="52"/>
      <c r="I195" s="57"/>
      <c r="J195" s="52"/>
      <c r="K195" s="57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 ht="12.75" customHeight="1">
      <c r="A196" s="52"/>
      <c r="B196" s="53"/>
      <c r="C196" s="52"/>
      <c r="D196" s="52"/>
      <c r="E196" s="52"/>
      <c r="F196" s="12"/>
      <c r="G196" s="52"/>
      <c r="H196" s="52"/>
      <c r="I196" s="57"/>
      <c r="J196" s="52"/>
      <c r="K196" s="57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 ht="12.75" customHeight="1">
      <c r="A197" s="52"/>
      <c r="B197" s="53"/>
      <c r="C197" s="52"/>
      <c r="D197" s="52"/>
      <c r="E197" s="52"/>
      <c r="F197" s="12"/>
      <c r="G197" s="52"/>
      <c r="H197" s="52"/>
      <c r="I197" s="57"/>
      <c r="J197" s="52"/>
      <c r="K197" s="57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</row>
    <row r="198" ht="12.75" customHeight="1">
      <c r="A198" s="52"/>
      <c r="B198" s="53"/>
      <c r="C198" s="52"/>
      <c r="D198" s="52"/>
      <c r="E198" s="52"/>
      <c r="F198" s="12"/>
      <c r="G198" s="52"/>
      <c r="H198" s="52"/>
      <c r="I198" s="57"/>
      <c r="J198" s="52"/>
      <c r="K198" s="57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</row>
    <row r="199" ht="12.75" customHeight="1">
      <c r="A199" s="52"/>
      <c r="B199" s="53"/>
      <c r="C199" s="52"/>
      <c r="D199" s="52"/>
      <c r="E199" s="52"/>
      <c r="F199" s="12"/>
      <c r="G199" s="52"/>
      <c r="H199" s="52"/>
      <c r="I199" s="57"/>
      <c r="J199" s="52"/>
      <c r="K199" s="57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 ht="12.75" customHeight="1">
      <c r="A200" s="52"/>
      <c r="B200" s="53"/>
      <c r="C200" s="52"/>
      <c r="D200" s="52"/>
      <c r="E200" s="52"/>
      <c r="F200" s="12"/>
      <c r="G200" s="52"/>
      <c r="H200" s="52"/>
      <c r="I200" s="57"/>
      <c r="J200" s="52"/>
      <c r="K200" s="57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 ht="12.75" customHeight="1">
      <c r="A201" s="52"/>
      <c r="B201" s="53"/>
      <c r="C201" s="52"/>
      <c r="D201" s="52"/>
      <c r="E201" s="52"/>
      <c r="F201" s="12"/>
      <c r="G201" s="52"/>
      <c r="H201" s="52"/>
      <c r="I201" s="57"/>
      <c r="J201" s="52"/>
      <c r="K201" s="57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  <row r="202" ht="12.75" customHeight="1">
      <c r="A202" s="52"/>
      <c r="B202" s="53"/>
      <c r="C202" s="52"/>
      <c r="D202" s="52"/>
      <c r="E202" s="52"/>
      <c r="F202" s="12"/>
      <c r="G202" s="52"/>
      <c r="H202" s="52"/>
      <c r="I202" s="57"/>
      <c r="J202" s="52"/>
      <c r="K202" s="57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</row>
    <row r="203" ht="12.75" customHeight="1">
      <c r="A203" s="52"/>
      <c r="B203" s="53"/>
      <c r="C203" s="52"/>
      <c r="D203" s="52"/>
      <c r="E203" s="52"/>
      <c r="F203" s="12"/>
      <c r="G203" s="52"/>
      <c r="H203" s="52"/>
      <c r="I203" s="57"/>
      <c r="J203" s="52"/>
      <c r="K203" s="57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 ht="12.75" customHeight="1">
      <c r="A204" s="52"/>
      <c r="B204" s="53"/>
      <c r="C204" s="52"/>
      <c r="D204" s="52"/>
      <c r="E204" s="52"/>
      <c r="F204" s="12"/>
      <c r="G204" s="52"/>
      <c r="H204" s="52"/>
      <c r="I204" s="57"/>
      <c r="J204" s="52"/>
      <c r="K204" s="57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 ht="12.75" customHeight="1">
      <c r="A205" s="52"/>
      <c r="B205" s="53"/>
      <c r="C205" s="52"/>
      <c r="D205" s="52"/>
      <c r="E205" s="52"/>
      <c r="F205" s="12"/>
      <c r="G205" s="52"/>
      <c r="H205" s="52"/>
      <c r="I205" s="57"/>
      <c r="J205" s="52"/>
      <c r="K205" s="57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 ht="12.75" customHeight="1">
      <c r="A206" s="52"/>
      <c r="B206" s="53"/>
      <c r="C206" s="52"/>
      <c r="D206" s="52"/>
      <c r="E206" s="52"/>
      <c r="F206" s="12"/>
      <c r="G206" s="52"/>
      <c r="H206" s="52"/>
      <c r="I206" s="57"/>
      <c r="J206" s="52"/>
      <c r="K206" s="57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</row>
    <row r="207" ht="12.75" customHeight="1">
      <c r="A207" s="52"/>
      <c r="B207" s="53"/>
      <c r="C207" s="52"/>
      <c r="D207" s="52"/>
      <c r="E207" s="52"/>
      <c r="F207" s="12"/>
      <c r="G207" s="52"/>
      <c r="H207" s="52"/>
      <c r="I207" s="57"/>
      <c r="J207" s="52"/>
      <c r="K207" s="57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 ht="12.75" customHeight="1">
      <c r="A208" s="52"/>
      <c r="B208" s="53"/>
      <c r="C208" s="52"/>
      <c r="D208" s="52"/>
      <c r="E208" s="52"/>
      <c r="F208" s="12"/>
      <c r="G208" s="52"/>
      <c r="H208" s="52"/>
      <c r="I208" s="57"/>
      <c r="J208" s="52"/>
      <c r="K208" s="57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 ht="12.75" customHeight="1">
      <c r="A209" s="52"/>
      <c r="B209" s="53"/>
      <c r="C209" s="52"/>
      <c r="D209" s="52"/>
      <c r="E209" s="52"/>
      <c r="F209" s="12"/>
      <c r="G209" s="52"/>
      <c r="H209" s="52"/>
      <c r="I209" s="57"/>
      <c r="J209" s="52"/>
      <c r="K209" s="57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 ht="12.75" customHeight="1">
      <c r="A210" s="52"/>
      <c r="B210" s="53"/>
      <c r="C210" s="52"/>
      <c r="D210" s="52"/>
      <c r="E210" s="52"/>
      <c r="F210" s="12"/>
      <c r="G210" s="52"/>
      <c r="H210" s="52"/>
      <c r="I210" s="57"/>
      <c r="J210" s="52"/>
      <c r="K210" s="57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 ht="12.75" customHeight="1">
      <c r="A211" s="52"/>
      <c r="B211" s="53"/>
      <c r="C211" s="52"/>
      <c r="D211" s="52"/>
      <c r="E211" s="52"/>
      <c r="F211" s="12"/>
      <c r="G211" s="52"/>
      <c r="H211" s="52"/>
      <c r="I211" s="57"/>
      <c r="J211" s="52"/>
      <c r="K211" s="57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</row>
    <row r="212" ht="12.75" customHeight="1">
      <c r="A212" s="52"/>
      <c r="B212" s="53"/>
      <c r="C212" s="52"/>
      <c r="D212" s="52"/>
      <c r="E212" s="52"/>
      <c r="F212" s="12"/>
      <c r="G212" s="52"/>
      <c r="H212" s="52"/>
      <c r="I212" s="57"/>
      <c r="J212" s="52"/>
      <c r="K212" s="57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 ht="12.75" customHeight="1">
      <c r="A213" s="52"/>
      <c r="B213" s="53"/>
      <c r="C213" s="52"/>
      <c r="D213" s="52"/>
      <c r="E213" s="52"/>
      <c r="F213" s="12"/>
      <c r="G213" s="52"/>
      <c r="H213" s="52"/>
      <c r="I213" s="57"/>
      <c r="J213" s="52"/>
      <c r="K213" s="57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</row>
    <row r="214" ht="12.75" customHeight="1">
      <c r="A214" s="52"/>
      <c r="B214" s="53"/>
      <c r="C214" s="52"/>
      <c r="D214" s="52"/>
      <c r="E214" s="52"/>
      <c r="F214" s="12"/>
      <c r="G214" s="52"/>
      <c r="H214" s="52"/>
      <c r="I214" s="57"/>
      <c r="J214" s="52"/>
      <c r="K214" s="57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</row>
    <row r="215" ht="12.75" customHeight="1">
      <c r="A215" s="52"/>
      <c r="B215" s="53"/>
      <c r="C215" s="52"/>
      <c r="D215" s="52"/>
      <c r="E215" s="52"/>
      <c r="F215" s="12"/>
      <c r="G215" s="52"/>
      <c r="H215" s="52"/>
      <c r="I215" s="57"/>
      <c r="J215" s="52"/>
      <c r="K215" s="57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 ht="12.75" customHeight="1">
      <c r="A216" s="52"/>
      <c r="B216" s="53"/>
      <c r="C216" s="52"/>
      <c r="D216" s="52"/>
      <c r="E216" s="52"/>
      <c r="F216" s="12"/>
      <c r="G216" s="52"/>
      <c r="H216" s="52"/>
      <c r="I216" s="57"/>
      <c r="J216" s="52"/>
      <c r="K216" s="57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</row>
    <row r="217" ht="12.75" customHeight="1">
      <c r="A217" s="52"/>
      <c r="B217" s="53"/>
      <c r="C217" s="52"/>
      <c r="D217" s="52"/>
      <c r="E217" s="52"/>
      <c r="F217" s="12"/>
      <c r="G217" s="52"/>
      <c r="H217" s="52"/>
      <c r="I217" s="57"/>
      <c r="J217" s="52"/>
      <c r="K217" s="57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 ht="12.75" customHeight="1">
      <c r="A218" s="52"/>
      <c r="B218" s="53"/>
      <c r="C218" s="52"/>
      <c r="D218" s="52"/>
      <c r="E218" s="52"/>
      <c r="F218" s="12"/>
      <c r="G218" s="52"/>
      <c r="H218" s="52"/>
      <c r="I218" s="57"/>
      <c r="J218" s="52"/>
      <c r="K218" s="57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 ht="12.75" customHeight="1">
      <c r="A219" s="52"/>
      <c r="B219" s="53"/>
      <c r="C219" s="52"/>
      <c r="D219" s="52"/>
      <c r="E219" s="52"/>
      <c r="F219" s="12"/>
      <c r="G219" s="52"/>
      <c r="H219" s="52"/>
      <c r="I219" s="57"/>
      <c r="J219" s="52"/>
      <c r="K219" s="57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 ht="12.75" customHeight="1">
      <c r="A220" s="52"/>
      <c r="B220" s="53"/>
      <c r="C220" s="52"/>
      <c r="D220" s="52"/>
      <c r="E220" s="52"/>
      <c r="F220" s="12"/>
      <c r="G220" s="52"/>
      <c r="H220" s="52"/>
      <c r="I220" s="57"/>
      <c r="J220" s="52"/>
      <c r="K220" s="57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</row>
    <row r="221" ht="12.75" customHeight="1">
      <c r="A221" s="52"/>
      <c r="B221" s="53"/>
      <c r="C221" s="52"/>
      <c r="D221" s="52"/>
      <c r="E221" s="52"/>
      <c r="F221" s="12"/>
      <c r="G221" s="52"/>
      <c r="H221" s="52"/>
      <c r="I221" s="57"/>
      <c r="J221" s="52"/>
      <c r="K221" s="57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</row>
    <row r="222" ht="12.75" customHeight="1">
      <c r="A222" s="52"/>
      <c r="B222" s="53"/>
      <c r="C222" s="52"/>
      <c r="D222" s="52"/>
      <c r="E222" s="52"/>
      <c r="F222" s="12"/>
      <c r="G222" s="52"/>
      <c r="H222" s="52"/>
      <c r="I222" s="57"/>
      <c r="J222" s="52"/>
      <c r="K222" s="57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</row>
    <row r="223" ht="12.75" customHeight="1">
      <c r="A223" s="52"/>
      <c r="B223" s="53"/>
      <c r="C223" s="52"/>
      <c r="D223" s="52"/>
      <c r="E223" s="52"/>
      <c r="F223" s="12"/>
      <c r="G223" s="52"/>
      <c r="H223" s="52"/>
      <c r="I223" s="57"/>
      <c r="J223" s="52"/>
      <c r="K223" s="57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</row>
    <row r="224" ht="12.75" customHeight="1">
      <c r="A224" s="52"/>
      <c r="B224" s="53"/>
      <c r="C224" s="52"/>
      <c r="D224" s="52"/>
      <c r="E224" s="52"/>
      <c r="F224" s="12"/>
      <c r="G224" s="52"/>
      <c r="H224" s="52"/>
      <c r="I224" s="57"/>
      <c r="J224" s="52"/>
      <c r="K224" s="57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</row>
    <row r="225" ht="12.75" customHeight="1">
      <c r="A225" s="52"/>
      <c r="B225" s="53"/>
      <c r="C225" s="52"/>
      <c r="D225" s="52"/>
      <c r="E225" s="52"/>
      <c r="F225" s="12"/>
      <c r="G225" s="52"/>
      <c r="H225" s="52"/>
      <c r="I225" s="57"/>
      <c r="J225" s="52"/>
      <c r="K225" s="57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</row>
    <row r="226" ht="12.75" customHeight="1">
      <c r="A226" s="52"/>
      <c r="B226" s="53"/>
      <c r="C226" s="52"/>
      <c r="D226" s="52"/>
      <c r="E226" s="52"/>
      <c r="F226" s="12"/>
      <c r="G226" s="52"/>
      <c r="H226" s="52"/>
      <c r="I226" s="57"/>
      <c r="J226" s="52"/>
      <c r="K226" s="57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</row>
    <row r="227" ht="12.75" customHeight="1">
      <c r="A227" s="52"/>
      <c r="B227" s="53"/>
      <c r="C227" s="52"/>
      <c r="D227" s="52"/>
      <c r="E227" s="52"/>
      <c r="F227" s="12"/>
      <c r="G227" s="52"/>
      <c r="H227" s="52"/>
      <c r="I227" s="57"/>
      <c r="J227" s="52"/>
      <c r="K227" s="57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</row>
    <row r="228" ht="12.75" customHeight="1">
      <c r="A228" s="52"/>
      <c r="B228" s="53"/>
      <c r="C228" s="52"/>
      <c r="D228" s="52"/>
      <c r="E228" s="52"/>
      <c r="F228" s="12"/>
      <c r="G228" s="52"/>
      <c r="H228" s="52"/>
      <c r="I228" s="57"/>
      <c r="J228" s="52"/>
      <c r="K228" s="57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 ht="12.75" customHeight="1">
      <c r="A229" s="52"/>
      <c r="B229" s="53"/>
      <c r="C229" s="52"/>
      <c r="D229" s="52"/>
      <c r="E229" s="52"/>
      <c r="F229" s="12"/>
      <c r="G229" s="52"/>
      <c r="H229" s="52"/>
      <c r="I229" s="57"/>
      <c r="J229" s="52"/>
      <c r="K229" s="57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 ht="12.75" customHeight="1">
      <c r="A230" s="52"/>
      <c r="B230" s="53"/>
      <c r="C230" s="52"/>
      <c r="D230" s="52"/>
      <c r="E230" s="52"/>
      <c r="F230" s="12"/>
      <c r="G230" s="52"/>
      <c r="H230" s="52"/>
      <c r="I230" s="57"/>
      <c r="J230" s="52"/>
      <c r="K230" s="57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 ht="12.75" customHeight="1">
      <c r="A231" s="52"/>
      <c r="B231" s="53"/>
      <c r="C231" s="52"/>
      <c r="D231" s="52"/>
      <c r="E231" s="52"/>
      <c r="F231" s="12"/>
      <c r="G231" s="52"/>
      <c r="H231" s="52"/>
      <c r="I231" s="57"/>
      <c r="J231" s="52"/>
      <c r="K231" s="57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 ht="12.75" customHeight="1">
      <c r="A232" s="52"/>
      <c r="B232" s="53"/>
      <c r="C232" s="52"/>
      <c r="D232" s="52"/>
      <c r="E232" s="52"/>
      <c r="F232" s="12"/>
      <c r="G232" s="52"/>
      <c r="H232" s="52"/>
      <c r="I232" s="57"/>
      <c r="J232" s="52"/>
      <c r="K232" s="57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</row>
    <row r="233" ht="12.75" customHeight="1">
      <c r="A233" s="52"/>
      <c r="B233" s="53"/>
      <c r="C233" s="52"/>
      <c r="D233" s="52"/>
      <c r="E233" s="52"/>
      <c r="F233" s="12"/>
      <c r="G233" s="52"/>
      <c r="H233" s="52"/>
      <c r="I233" s="57"/>
      <c r="J233" s="52"/>
      <c r="K233" s="57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</row>
    <row r="234" ht="12.75" customHeight="1">
      <c r="A234" s="52"/>
      <c r="B234" s="53"/>
      <c r="C234" s="52"/>
      <c r="D234" s="52"/>
      <c r="E234" s="52"/>
      <c r="F234" s="12"/>
      <c r="G234" s="52"/>
      <c r="H234" s="52"/>
      <c r="I234" s="57"/>
      <c r="J234" s="52"/>
      <c r="K234" s="57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</row>
    <row r="235" ht="12.75" customHeight="1">
      <c r="A235" s="52"/>
      <c r="B235" s="53"/>
      <c r="C235" s="52"/>
      <c r="D235" s="52"/>
      <c r="E235" s="52"/>
      <c r="F235" s="12"/>
      <c r="G235" s="52"/>
      <c r="H235" s="52"/>
      <c r="I235" s="57"/>
      <c r="J235" s="52"/>
      <c r="K235" s="57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 ht="12.75" customHeight="1">
      <c r="A236" s="52"/>
      <c r="B236" s="53"/>
      <c r="C236" s="52"/>
      <c r="D236" s="52"/>
      <c r="E236" s="52"/>
      <c r="F236" s="12"/>
      <c r="G236" s="52"/>
      <c r="H236" s="52"/>
      <c r="I236" s="57"/>
      <c r="J236" s="52"/>
      <c r="K236" s="57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 ht="12.75" customHeight="1">
      <c r="A237" s="52"/>
      <c r="B237" s="53"/>
      <c r="C237" s="52"/>
      <c r="D237" s="52"/>
      <c r="E237" s="52"/>
      <c r="F237" s="12"/>
      <c r="G237" s="52"/>
      <c r="H237" s="52"/>
      <c r="I237" s="57"/>
      <c r="J237" s="52"/>
      <c r="K237" s="57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</row>
    <row r="238" ht="12.75" customHeight="1">
      <c r="A238" s="52"/>
      <c r="B238" s="53"/>
      <c r="C238" s="52"/>
      <c r="D238" s="52"/>
      <c r="E238" s="52"/>
      <c r="F238" s="12"/>
      <c r="G238" s="52"/>
      <c r="H238" s="52"/>
      <c r="I238" s="57"/>
      <c r="J238" s="52"/>
      <c r="K238" s="57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 ht="12.75" customHeight="1">
      <c r="A239" s="52"/>
      <c r="B239" s="53"/>
      <c r="C239" s="52"/>
      <c r="D239" s="52"/>
      <c r="E239" s="52"/>
      <c r="F239" s="12"/>
      <c r="G239" s="52"/>
      <c r="H239" s="52"/>
      <c r="I239" s="57"/>
      <c r="J239" s="52"/>
      <c r="K239" s="57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</row>
    <row r="240" ht="12.75" customHeight="1">
      <c r="A240" s="52"/>
      <c r="B240" s="53"/>
      <c r="C240" s="52"/>
      <c r="D240" s="52"/>
      <c r="E240" s="52"/>
      <c r="F240" s="12"/>
      <c r="G240" s="52"/>
      <c r="H240" s="52"/>
      <c r="I240" s="57"/>
      <c r="J240" s="52"/>
      <c r="K240" s="57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</row>
    <row r="241" ht="12.75" customHeight="1">
      <c r="A241" s="52"/>
      <c r="B241" s="53"/>
      <c r="C241" s="52"/>
      <c r="D241" s="52"/>
      <c r="E241" s="52"/>
      <c r="F241" s="12"/>
      <c r="G241" s="52"/>
      <c r="H241" s="52"/>
      <c r="I241" s="57"/>
      <c r="J241" s="52"/>
      <c r="K241" s="57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</row>
    <row r="242" ht="12.75" customHeight="1">
      <c r="A242" s="52"/>
      <c r="B242" s="53"/>
      <c r="C242" s="52"/>
      <c r="D242" s="52"/>
      <c r="E242" s="52"/>
      <c r="F242" s="12"/>
      <c r="G242" s="52"/>
      <c r="H242" s="52"/>
      <c r="I242" s="57"/>
      <c r="J242" s="52"/>
      <c r="K242" s="57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</row>
    <row r="243" ht="12.75" customHeight="1">
      <c r="A243" s="52"/>
      <c r="B243" s="53"/>
      <c r="C243" s="52"/>
      <c r="D243" s="52"/>
      <c r="E243" s="52"/>
      <c r="F243" s="12"/>
      <c r="G243" s="52"/>
      <c r="H243" s="52"/>
      <c r="I243" s="57"/>
      <c r="J243" s="52"/>
      <c r="K243" s="57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</row>
    <row r="244" ht="12.75" customHeight="1">
      <c r="A244" s="52"/>
      <c r="B244" s="53"/>
      <c r="C244" s="52"/>
      <c r="D244" s="52"/>
      <c r="E244" s="52"/>
      <c r="F244" s="12"/>
      <c r="G244" s="52"/>
      <c r="H244" s="52"/>
      <c r="I244" s="57"/>
      <c r="J244" s="52"/>
      <c r="K244" s="57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 ht="12.75" customHeight="1">
      <c r="A245" s="52"/>
      <c r="B245" s="53"/>
      <c r="C245" s="52"/>
      <c r="D245" s="52"/>
      <c r="E245" s="52"/>
      <c r="F245" s="12"/>
      <c r="G245" s="52"/>
      <c r="H245" s="52"/>
      <c r="I245" s="57"/>
      <c r="J245" s="52"/>
      <c r="K245" s="57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</row>
    <row r="246" ht="12.75" customHeight="1">
      <c r="A246" s="52"/>
      <c r="B246" s="53"/>
      <c r="C246" s="52"/>
      <c r="D246" s="52"/>
      <c r="E246" s="52"/>
      <c r="F246" s="12"/>
      <c r="G246" s="52"/>
      <c r="H246" s="52"/>
      <c r="I246" s="57"/>
      <c r="J246" s="52"/>
      <c r="K246" s="57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</row>
    <row r="247" ht="12.75" customHeight="1">
      <c r="A247" s="52"/>
      <c r="B247" s="53"/>
      <c r="C247" s="52"/>
      <c r="D247" s="52"/>
      <c r="E247" s="52"/>
      <c r="F247" s="12"/>
      <c r="G247" s="52"/>
      <c r="H247" s="52"/>
      <c r="I247" s="57"/>
      <c r="J247" s="52"/>
      <c r="K247" s="57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 ht="12.75" customHeight="1">
      <c r="A248" s="52"/>
      <c r="B248" s="53"/>
      <c r="C248" s="52"/>
      <c r="D248" s="52"/>
      <c r="E248" s="52"/>
      <c r="F248" s="12"/>
      <c r="G248" s="52"/>
      <c r="H248" s="52"/>
      <c r="I248" s="57"/>
      <c r="J248" s="52"/>
      <c r="K248" s="57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 ht="12.75" customHeight="1">
      <c r="A249" s="52"/>
      <c r="B249" s="53"/>
      <c r="C249" s="52"/>
      <c r="D249" s="52"/>
      <c r="E249" s="52"/>
      <c r="F249" s="12"/>
      <c r="G249" s="52"/>
      <c r="H249" s="52"/>
      <c r="I249" s="57"/>
      <c r="J249" s="52"/>
      <c r="K249" s="57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</row>
    <row r="250" ht="12.75" customHeight="1">
      <c r="A250" s="52"/>
      <c r="B250" s="53"/>
      <c r="C250" s="52"/>
      <c r="D250" s="52"/>
      <c r="E250" s="52"/>
      <c r="F250" s="12"/>
      <c r="G250" s="52"/>
      <c r="H250" s="52"/>
      <c r="I250" s="57"/>
      <c r="J250" s="52"/>
      <c r="K250" s="57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 ht="12.75" customHeight="1">
      <c r="A251" s="52"/>
      <c r="B251" s="53"/>
      <c r="C251" s="52"/>
      <c r="D251" s="52"/>
      <c r="E251" s="52"/>
      <c r="F251" s="12"/>
      <c r="G251" s="52"/>
      <c r="H251" s="52"/>
      <c r="I251" s="57"/>
      <c r="J251" s="52"/>
      <c r="K251" s="57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 ht="12.75" customHeight="1">
      <c r="A252" s="52"/>
      <c r="B252" s="53"/>
      <c r="C252" s="52"/>
      <c r="D252" s="52"/>
      <c r="E252" s="52"/>
      <c r="F252" s="12"/>
      <c r="G252" s="52"/>
      <c r="H252" s="52"/>
      <c r="I252" s="57"/>
      <c r="J252" s="52"/>
      <c r="K252" s="57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 ht="12.75" customHeight="1">
      <c r="A253" s="52"/>
      <c r="B253" s="53"/>
      <c r="C253" s="52"/>
      <c r="D253" s="52"/>
      <c r="E253" s="52"/>
      <c r="F253" s="12"/>
      <c r="G253" s="52"/>
      <c r="H253" s="52"/>
      <c r="I253" s="57"/>
      <c r="J253" s="52"/>
      <c r="K253" s="57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 ht="12.75" customHeight="1">
      <c r="A254" s="52"/>
      <c r="B254" s="53"/>
      <c r="C254" s="52"/>
      <c r="D254" s="52"/>
      <c r="E254" s="52"/>
      <c r="F254" s="12"/>
      <c r="G254" s="52"/>
      <c r="H254" s="52"/>
      <c r="I254" s="57"/>
      <c r="J254" s="52"/>
      <c r="K254" s="57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 ht="12.75" customHeight="1">
      <c r="A255" s="52"/>
      <c r="B255" s="53"/>
      <c r="C255" s="52"/>
      <c r="D255" s="52"/>
      <c r="E255" s="52"/>
      <c r="F255" s="12"/>
      <c r="G255" s="52"/>
      <c r="H255" s="52"/>
      <c r="I255" s="57"/>
      <c r="J255" s="52"/>
      <c r="K255" s="57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 ht="12.75" customHeight="1">
      <c r="A256" s="52"/>
      <c r="B256" s="53"/>
      <c r="C256" s="52"/>
      <c r="D256" s="52"/>
      <c r="E256" s="52"/>
      <c r="F256" s="12"/>
      <c r="G256" s="52"/>
      <c r="H256" s="52"/>
      <c r="I256" s="57"/>
      <c r="J256" s="52"/>
      <c r="K256" s="57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 ht="12.75" customHeight="1">
      <c r="A257" s="52"/>
      <c r="B257" s="53"/>
      <c r="C257" s="52"/>
      <c r="D257" s="52"/>
      <c r="E257" s="52"/>
      <c r="F257" s="12"/>
      <c r="G257" s="52"/>
      <c r="H257" s="52"/>
      <c r="I257" s="57"/>
      <c r="J257" s="52"/>
      <c r="K257" s="57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</row>
    <row r="258" ht="12.75" customHeight="1">
      <c r="A258" s="52"/>
      <c r="B258" s="53"/>
      <c r="C258" s="52"/>
      <c r="D258" s="52"/>
      <c r="E258" s="52"/>
      <c r="F258" s="12"/>
      <c r="G258" s="52"/>
      <c r="H258" s="52"/>
      <c r="I258" s="57"/>
      <c r="J258" s="52"/>
      <c r="K258" s="57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</row>
    <row r="259" ht="12.75" customHeight="1">
      <c r="A259" s="52"/>
      <c r="B259" s="53"/>
      <c r="C259" s="52"/>
      <c r="D259" s="52"/>
      <c r="E259" s="52"/>
      <c r="F259" s="12"/>
      <c r="G259" s="52"/>
      <c r="H259" s="52"/>
      <c r="I259" s="57"/>
      <c r="J259" s="52"/>
      <c r="K259" s="57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 ht="12.75" customHeight="1">
      <c r="A260" s="52"/>
      <c r="B260" s="53"/>
      <c r="C260" s="52"/>
      <c r="D260" s="52"/>
      <c r="E260" s="52"/>
      <c r="F260" s="12"/>
      <c r="G260" s="52"/>
      <c r="H260" s="52"/>
      <c r="I260" s="57"/>
      <c r="J260" s="52"/>
      <c r="K260" s="57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</row>
    <row r="261" ht="12.75" customHeight="1">
      <c r="A261" s="52"/>
      <c r="B261" s="53"/>
      <c r="C261" s="52"/>
      <c r="D261" s="52"/>
      <c r="E261" s="52"/>
      <c r="F261" s="12"/>
      <c r="G261" s="52"/>
      <c r="H261" s="52"/>
      <c r="I261" s="57"/>
      <c r="J261" s="52"/>
      <c r="K261" s="57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 ht="12.75" customHeight="1">
      <c r="A262" s="52"/>
      <c r="B262" s="53"/>
      <c r="C262" s="52"/>
      <c r="D262" s="52"/>
      <c r="E262" s="52"/>
      <c r="F262" s="12"/>
      <c r="G262" s="52"/>
      <c r="H262" s="52"/>
      <c r="I262" s="57"/>
      <c r="J262" s="52"/>
      <c r="K262" s="57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</row>
    <row r="263" ht="12.75" customHeight="1">
      <c r="A263" s="52"/>
      <c r="B263" s="53"/>
      <c r="C263" s="52"/>
      <c r="D263" s="52"/>
      <c r="E263" s="52"/>
      <c r="F263" s="12"/>
      <c r="G263" s="52"/>
      <c r="H263" s="52"/>
      <c r="I263" s="57"/>
      <c r="J263" s="52"/>
      <c r="K263" s="57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 ht="12.75" customHeight="1">
      <c r="A264" s="52"/>
      <c r="B264" s="53"/>
      <c r="C264" s="52"/>
      <c r="D264" s="52"/>
      <c r="E264" s="52"/>
      <c r="F264" s="12"/>
      <c r="G264" s="52"/>
      <c r="H264" s="52"/>
      <c r="I264" s="57"/>
      <c r="J264" s="52"/>
      <c r="K264" s="57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 ht="12.75" customHeight="1">
      <c r="A265" s="52"/>
      <c r="B265" s="53"/>
      <c r="C265" s="52"/>
      <c r="D265" s="52"/>
      <c r="E265" s="52"/>
      <c r="F265" s="12"/>
      <c r="G265" s="52"/>
      <c r="H265" s="52"/>
      <c r="I265" s="57"/>
      <c r="J265" s="52"/>
      <c r="K265" s="57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 ht="12.75" customHeight="1">
      <c r="A266" s="52"/>
      <c r="B266" s="53"/>
      <c r="C266" s="52"/>
      <c r="D266" s="52"/>
      <c r="E266" s="52"/>
      <c r="F266" s="12"/>
      <c r="G266" s="52"/>
      <c r="H266" s="52"/>
      <c r="I266" s="57"/>
      <c r="J266" s="52"/>
      <c r="K266" s="57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 ht="12.75" customHeight="1">
      <c r="A267" s="52"/>
      <c r="B267" s="53"/>
      <c r="C267" s="52"/>
      <c r="D267" s="52"/>
      <c r="E267" s="52"/>
      <c r="F267" s="12"/>
      <c r="G267" s="52"/>
      <c r="H267" s="52"/>
      <c r="I267" s="57"/>
      <c r="J267" s="52"/>
      <c r="K267" s="57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</row>
    <row r="268" ht="12.75" customHeight="1">
      <c r="A268" s="52"/>
      <c r="B268" s="53"/>
      <c r="C268" s="52"/>
      <c r="D268" s="52"/>
      <c r="E268" s="52"/>
      <c r="F268" s="12"/>
      <c r="G268" s="52"/>
      <c r="H268" s="52"/>
      <c r="I268" s="57"/>
      <c r="J268" s="52"/>
      <c r="K268" s="57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</row>
    <row r="269" ht="12.75" customHeight="1">
      <c r="A269" s="52"/>
      <c r="B269" s="53"/>
      <c r="C269" s="52"/>
      <c r="D269" s="52"/>
      <c r="E269" s="52"/>
      <c r="F269" s="12"/>
      <c r="G269" s="52"/>
      <c r="H269" s="52"/>
      <c r="I269" s="57"/>
      <c r="J269" s="52"/>
      <c r="K269" s="57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 ht="12.75" customHeight="1">
      <c r="A270" s="52"/>
      <c r="B270" s="53"/>
      <c r="C270" s="52"/>
      <c r="D270" s="52"/>
      <c r="E270" s="52"/>
      <c r="F270" s="12"/>
      <c r="G270" s="52"/>
      <c r="H270" s="52"/>
      <c r="I270" s="57"/>
      <c r="J270" s="52"/>
      <c r="K270" s="57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 ht="12.75" customHeight="1">
      <c r="A271" s="52"/>
      <c r="B271" s="53"/>
      <c r="C271" s="52"/>
      <c r="D271" s="52"/>
      <c r="E271" s="52"/>
      <c r="F271" s="12"/>
      <c r="G271" s="52"/>
      <c r="H271" s="52"/>
      <c r="I271" s="57"/>
      <c r="J271" s="52"/>
      <c r="K271" s="57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 ht="12.75" customHeight="1">
      <c r="A272" s="52"/>
      <c r="B272" s="53"/>
      <c r="C272" s="52"/>
      <c r="D272" s="52"/>
      <c r="E272" s="52"/>
      <c r="F272" s="12"/>
      <c r="G272" s="52"/>
      <c r="H272" s="52"/>
      <c r="I272" s="57"/>
      <c r="J272" s="52"/>
      <c r="K272" s="57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</row>
    <row r="273" ht="12.75" customHeight="1">
      <c r="A273" s="52"/>
      <c r="B273" s="53"/>
      <c r="C273" s="52"/>
      <c r="D273" s="52"/>
      <c r="E273" s="52"/>
      <c r="F273" s="12"/>
      <c r="G273" s="52"/>
      <c r="H273" s="52"/>
      <c r="I273" s="57"/>
      <c r="J273" s="52"/>
      <c r="K273" s="57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</row>
    <row r="274" ht="12.75" customHeight="1">
      <c r="A274" s="52"/>
      <c r="B274" s="53"/>
      <c r="C274" s="52"/>
      <c r="D274" s="52"/>
      <c r="E274" s="52"/>
      <c r="F274" s="12"/>
      <c r="G274" s="52"/>
      <c r="H274" s="52"/>
      <c r="I274" s="57"/>
      <c r="J274" s="52"/>
      <c r="K274" s="57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 ht="12.75" customHeight="1">
      <c r="A275" s="52"/>
      <c r="B275" s="53"/>
      <c r="C275" s="52"/>
      <c r="D275" s="52"/>
      <c r="E275" s="52"/>
      <c r="F275" s="12"/>
      <c r="G275" s="52"/>
      <c r="H275" s="52"/>
      <c r="I275" s="57"/>
      <c r="J275" s="52"/>
      <c r="K275" s="57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 ht="12.75" customHeight="1">
      <c r="A276" s="52"/>
      <c r="B276" s="53"/>
      <c r="C276" s="52"/>
      <c r="D276" s="52"/>
      <c r="E276" s="52"/>
      <c r="F276" s="12"/>
      <c r="G276" s="52"/>
      <c r="H276" s="52"/>
      <c r="I276" s="57"/>
      <c r="J276" s="52"/>
      <c r="K276" s="57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</row>
    <row r="277" ht="12.75" customHeight="1">
      <c r="A277" s="52"/>
      <c r="B277" s="53"/>
      <c r="C277" s="52"/>
      <c r="D277" s="52"/>
      <c r="E277" s="52"/>
      <c r="F277" s="12"/>
      <c r="G277" s="52"/>
      <c r="H277" s="52"/>
      <c r="I277" s="57"/>
      <c r="J277" s="52"/>
      <c r="K277" s="57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</row>
    <row r="278" ht="12.75" customHeight="1">
      <c r="A278" s="52"/>
      <c r="B278" s="53"/>
      <c r="C278" s="52"/>
      <c r="D278" s="52"/>
      <c r="E278" s="52"/>
      <c r="F278" s="12"/>
      <c r="G278" s="52"/>
      <c r="H278" s="52"/>
      <c r="I278" s="57"/>
      <c r="J278" s="52"/>
      <c r="K278" s="57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</row>
    <row r="279" ht="12.75" customHeight="1">
      <c r="A279" s="52"/>
      <c r="B279" s="53"/>
      <c r="C279" s="52"/>
      <c r="D279" s="52"/>
      <c r="E279" s="52"/>
      <c r="F279" s="12"/>
      <c r="G279" s="52"/>
      <c r="H279" s="52"/>
      <c r="I279" s="57"/>
      <c r="J279" s="52"/>
      <c r="K279" s="57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</row>
    <row r="280" ht="12.75" customHeight="1">
      <c r="A280" s="52"/>
      <c r="B280" s="53"/>
      <c r="C280" s="52"/>
      <c r="D280" s="52"/>
      <c r="E280" s="52"/>
      <c r="F280" s="12"/>
      <c r="G280" s="52"/>
      <c r="H280" s="52"/>
      <c r="I280" s="57"/>
      <c r="J280" s="52"/>
      <c r="K280" s="57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</row>
    <row r="281" ht="12.75" customHeight="1">
      <c r="A281" s="52"/>
      <c r="B281" s="53"/>
      <c r="C281" s="52"/>
      <c r="D281" s="52"/>
      <c r="E281" s="52"/>
      <c r="F281" s="12"/>
      <c r="G281" s="52"/>
      <c r="H281" s="52"/>
      <c r="I281" s="57"/>
      <c r="J281" s="52"/>
      <c r="K281" s="57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</row>
    <row r="282" ht="12.75" customHeight="1">
      <c r="A282" s="52"/>
      <c r="B282" s="53"/>
      <c r="C282" s="52"/>
      <c r="D282" s="52"/>
      <c r="E282" s="52"/>
      <c r="F282" s="12"/>
      <c r="G282" s="52"/>
      <c r="H282" s="52"/>
      <c r="I282" s="57"/>
      <c r="J282" s="52"/>
      <c r="K282" s="57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</row>
    <row r="283" ht="12.75" customHeight="1">
      <c r="A283" s="52"/>
      <c r="B283" s="53"/>
      <c r="C283" s="52"/>
      <c r="D283" s="52"/>
      <c r="E283" s="52"/>
      <c r="F283" s="12"/>
      <c r="G283" s="52"/>
      <c r="H283" s="52"/>
      <c r="I283" s="57"/>
      <c r="J283" s="52"/>
      <c r="K283" s="57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</row>
    <row r="284" ht="12.75" customHeight="1">
      <c r="A284" s="52"/>
      <c r="B284" s="53"/>
      <c r="C284" s="52"/>
      <c r="D284" s="52"/>
      <c r="E284" s="52"/>
      <c r="F284" s="12"/>
      <c r="G284" s="52"/>
      <c r="H284" s="52"/>
      <c r="I284" s="57"/>
      <c r="J284" s="52"/>
      <c r="K284" s="57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</row>
    <row r="285" ht="12.75" customHeight="1">
      <c r="A285" s="52"/>
      <c r="B285" s="53"/>
      <c r="C285" s="52"/>
      <c r="D285" s="52"/>
      <c r="E285" s="52"/>
      <c r="F285" s="12"/>
      <c r="G285" s="52"/>
      <c r="H285" s="52"/>
      <c r="I285" s="57"/>
      <c r="J285" s="52"/>
      <c r="K285" s="57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</row>
    <row r="286" ht="12.75" customHeight="1">
      <c r="A286" s="52"/>
      <c r="B286" s="53"/>
      <c r="C286" s="52"/>
      <c r="D286" s="52"/>
      <c r="E286" s="52"/>
      <c r="F286" s="12"/>
      <c r="G286" s="52"/>
      <c r="H286" s="52"/>
      <c r="I286" s="57"/>
      <c r="J286" s="52"/>
      <c r="K286" s="57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</row>
    <row r="287" ht="12.75" customHeight="1">
      <c r="A287" s="52"/>
      <c r="B287" s="53"/>
      <c r="C287" s="52"/>
      <c r="D287" s="52"/>
      <c r="E287" s="52"/>
      <c r="F287" s="12"/>
      <c r="G287" s="52"/>
      <c r="H287" s="52"/>
      <c r="I287" s="57"/>
      <c r="J287" s="52"/>
      <c r="K287" s="57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</row>
    <row r="288" ht="12.75" customHeight="1">
      <c r="A288" s="52"/>
      <c r="B288" s="53"/>
      <c r="C288" s="52"/>
      <c r="D288" s="52"/>
      <c r="E288" s="52"/>
      <c r="F288" s="12"/>
      <c r="G288" s="52"/>
      <c r="H288" s="52"/>
      <c r="I288" s="57"/>
      <c r="J288" s="52"/>
      <c r="K288" s="57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</row>
    <row r="289" ht="12.75" customHeight="1">
      <c r="A289" s="52"/>
      <c r="B289" s="53"/>
      <c r="C289" s="52"/>
      <c r="D289" s="52"/>
      <c r="E289" s="52"/>
      <c r="F289" s="12"/>
      <c r="G289" s="52"/>
      <c r="H289" s="52"/>
      <c r="I289" s="57"/>
      <c r="J289" s="52"/>
      <c r="K289" s="57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</row>
    <row r="290" ht="12.75" customHeight="1">
      <c r="A290" s="52"/>
      <c r="B290" s="53"/>
      <c r="C290" s="52"/>
      <c r="D290" s="52"/>
      <c r="E290" s="52"/>
      <c r="F290" s="12"/>
      <c r="G290" s="52"/>
      <c r="H290" s="52"/>
      <c r="I290" s="57"/>
      <c r="J290" s="52"/>
      <c r="K290" s="57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</row>
    <row r="291" ht="12.75" customHeight="1">
      <c r="A291" s="52"/>
      <c r="B291" s="53"/>
      <c r="C291" s="52"/>
      <c r="D291" s="52"/>
      <c r="E291" s="52"/>
      <c r="F291" s="12"/>
      <c r="G291" s="52"/>
      <c r="H291" s="52"/>
      <c r="I291" s="57"/>
      <c r="J291" s="52"/>
      <c r="K291" s="57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</row>
    <row r="292" ht="12.75" customHeight="1">
      <c r="A292" s="52"/>
      <c r="B292" s="53"/>
      <c r="C292" s="52"/>
      <c r="D292" s="52"/>
      <c r="E292" s="52"/>
      <c r="F292" s="12"/>
      <c r="G292" s="52"/>
      <c r="H292" s="52"/>
      <c r="I292" s="57"/>
      <c r="J292" s="52"/>
      <c r="K292" s="57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</row>
    <row r="293" ht="12.75" customHeight="1">
      <c r="A293" s="52"/>
      <c r="B293" s="53"/>
      <c r="C293" s="52"/>
      <c r="D293" s="52"/>
      <c r="E293" s="52"/>
      <c r="F293" s="12"/>
      <c r="G293" s="52"/>
      <c r="H293" s="52"/>
      <c r="I293" s="57"/>
      <c r="J293" s="52"/>
      <c r="K293" s="57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</row>
    <row r="294" ht="12.75" customHeight="1">
      <c r="A294" s="52"/>
      <c r="B294" s="53"/>
      <c r="C294" s="52"/>
      <c r="D294" s="52"/>
      <c r="E294" s="52"/>
      <c r="F294" s="12"/>
      <c r="G294" s="52"/>
      <c r="H294" s="52"/>
      <c r="I294" s="57"/>
      <c r="J294" s="52"/>
      <c r="K294" s="57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</row>
    <row r="295" ht="12.75" customHeight="1">
      <c r="A295" s="52"/>
      <c r="B295" s="53"/>
      <c r="C295" s="52"/>
      <c r="D295" s="52"/>
      <c r="E295" s="52"/>
      <c r="F295" s="12"/>
      <c r="G295" s="52"/>
      <c r="H295" s="52"/>
      <c r="I295" s="57"/>
      <c r="J295" s="52"/>
      <c r="K295" s="57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</row>
    <row r="296" ht="12.75" customHeight="1">
      <c r="A296" s="52"/>
      <c r="B296" s="53"/>
      <c r="C296" s="52"/>
      <c r="D296" s="52"/>
      <c r="E296" s="52"/>
      <c r="F296" s="12"/>
      <c r="G296" s="52"/>
      <c r="H296" s="52"/>
      <c r="I296" s="57"/>
      <c r="J296" s="52"/>
      <c r="K296" s="57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</row>
    <row r="297" ht="12.75" customHeight="1">
      <c r="A297" s="52"/>
      <c r="B297" s="53"/>
      <c r="C297" s="52"/>
      <c r="D297" s="52"/>
      <c r="E297" s="52"/>
      <c r="F297" s="12"/>
      <c r="G297" s="52"/>
      <c r="H297" s="52"/>
      <c r="I297" s="57"/>
      <c r="J297" s="52"/>
      <c r="K297" s="57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</row>
    <row r="298" ht="12.75" customHeight="1">
      <c r="A298" s="52"/>
      <c r="B298" s="53"/>
      <c r="C298" s="52"/>
      <c r="D298" s="52"/>
      <c r="E298" s="52"/>
      <c r="F298" s="12"/>
      <c r="G298" s="52"/>
      <c r="H298" s="52"/>
      <c r="I298" s="57"/>
      <c r="J298" s="52"/>
      <c r="K298" s="57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</row>
    <row r="299" ht="12.75" customHeight="1">
      <c r="A299" s="52"/>
      <c r="B299" s="53"/>
      <c r="C299" s="52"/>
      <c r="D299" s="52"/>
      <c r="E299" s="52"/>
      <c r="F299" s="12"/>
      <c r="G299" s="52"/>
      <c r="H299" s="52"/>
      <c r="I299" s="57"/>
      <c r="J299" s="52"/>
      <c r="K299" s="57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</row>
    <row r="300" ht="12.75" customHeight="1">
      <c r="A300" s="52"/>
      <c r="B300" s="53"/>
      <c r="C300" s="52"/>
      <c r="D300" s="52"/>
      <c r="E300" s="52"/>
      <c r="F300" s="12"/>
      <c r="G300" s="52"/>
      <c r="H300" s="52"/>
      <c r="I300" s="57"/>
      <c r="J300" s="52"/>
      <c r="K300" s="57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</row>
    <row r="301" ht="12.75" customHeight="1">
      <c r="A301" s="52"/>
      <c r="B301" s="53"/>
      <c r="C301" s="52"/>
      <c r="D301" s="52"/>
      <c r="E301" s="52"/>
      <c r="F301" s="12"/>
      <c r="G301" s="52"/>
      <c r="H301" s="52"/>
      <c r="I301" s="57"/>
      <c r="J301" s="52"/>
      <c r="K301" s="57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</row>
    <row r="302" ht="12.75" customHeight="1">
      <c r="A302" s="52"/>
      <c r="B302" s="53"/>
      <c r="C302" s="52"/>
      <c r="D302" s="52"/>
      <c r="E302" s="52"/>
      <c r="F302" s="12"/>
      <c r="G302" s="52"/>
      <c r="H302" s="52"/>
      <c r="I302" s="57"/>
      <c r="J302" s="52"/>
      <c r="K302" s="57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</row>
    <row r="303" ht="12.75" customHeight="1">
      <c r="A303" s="52"/>
      <c r="B303" s="53"/>
      <c r="C303" s="52"/>
      <c r="D303" s="52"/>
      <c r="E303" s="52"/>
      <c r="F303" s="12"/>
      <c r="G303" s="52"/>
      <c r="H303" s="52"/>
      <c r="I303" s="57"/>
      <c r="J303" s="52"/>
      <c r="K303" s="57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</row>
    <row r="304" ht="12.75" customHeight="1">
      <c r="A304" s="52"/>
      <c r="B304" s="53"/>
      <c r="C304" s="52"/>
      <c r="D304" s="52"/>
      <c r="E304" s="52"/>
      <c r="F304" s="12"/>
      <c r="G304" s="52"/>
      <c r="H304" s="52"/>
      <c r="I304" s="57"/>
      <c r="J304" s="52"/>
      <c r="K304" s="57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</row>
    <row r="305" ht="12.75" customHeight="1">
      <c r="A305" s="52"/>
      <c r="B305" s="53"/>
      <c r="C305" s="52"/>
      <c r="D305" s="52"/>
      <c r="E305" s="52"/>
      <c r="F305" s="12"/>
      <c r="G305" s="52"/>
      <c r="H305" s="52"/>
      <c r="I305" s="57"/>
      <c r="J305" s="52"/>
      <c r="K305" s="57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</row>
    <row r="306" ht="12.75" customHeight="1">
      <c r="A306" s="52"/>
      <c r="B306" s="53"/>
      <c r="C306" s="52"/>
      <c r="D306" s="52"/>
      <c r="E306" s="52"/>
      <c r="F306" s="12"/>
      <c r="G306" s="52"/>
      <c r="H306" s="52"/>
      <c r="I306" s="57"/>
      <c r="J306" s="52"/>
      <c r="K306" s="57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</row>
    <row r="307" ht="12.75" customHeight="1">
      <c r="A307" s="52"/>
      <c r="B307" s="53"/>
      <c r="C307" s="52"/>
      <c r="D307" s="52"/>
      <c r="E307" s="52"/>
      <c r="F307" s="12"/>
      <c r="G307" s="52"/>
      <c r="H307" s="52"/>
      <c r="I307" s="57"/>
      <c r="J307" s="52"/>
      <c r="K307" s="57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</row>
    <row r="308" ht="12.75" customHeight="1">
      <c r="A308" s="52"/>
      <c r="B308" s="53"/>
      <c r="C308" s="52"/>
      <c r="D308" s="52"/>
      <c r="E308" s="52"/>
      <c r="F308" s="12"/>
      <c r="G308" s="52"/>
      <c r="H308" s="52"/>
      <c r="I308" s="57"/>
      <c r="J308" s="52"/>
      <c r="K308" s="57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</row>
    <row r="309" ht="12.75" customHeight="1">
      <c r="A309" s="52"/>
      <c r="B309" s="53"/>
      <c r="C309" s="52"/>
      <c r="D309" s="52"/>
      <c r="E309" s="52"/>
      <c r="F309" s="12"/>
      <c r="G309" s="52"/>
      <c r="H309" s="52"/>
      <c r="I309" s="57"/>
      <c r="J309" s="52"/>
      <c r="K309" s="57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</row>
    <row r="310" ht="12.75" customHeight="1">
      <c r="A310" s="52"/>
      <c r="B310" s="53"/>
      <c r="C310" s="52"/>
      <c r="D310" s="52"/>
      <c r="E310" s="52"/>
      <c r="F310" s="12"/>
      <c r="G310" s="52"/>
      <c r="H310" s="52"/>
      <c r="I310" s="57"/>
      <c r="J310" s="52"/>
      <c r="K310" s="57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</row>
    <row r="311" ht="12.75" customHeight="1">
      <c r="A311" s="52"/>
      <c r="B311" s="53"/>
      <c r="C311" s="52"/>
      <c r="D311" s="52"/>
      <c r="E311" s="52"/>
      <c r="F311" s="12"/>
      <c r="G311" s="52"/>
      <c r="H311" s="52"/>
      <c r="I311" s="57"/>
      <c r="J311" s="52"/>
      <c r="K311" s="57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</row>
    <row r="312" ht="12.75" customHeight="1">
      <c r="A312" s="52"/>
      <c r="B312" s="53"/>
      <c r="C312" s="52"/>
      <c r="D312" s="52"/>
      <c r="E312" s="52"/>
      <c r="F312" s="12"/>
      <c r="G312" s="52"/>
      <c r="H312" s="52"/>
      <c r="I312" s="57"/>
      <c r="J312" s="52"/>
      <c r="K312" s="57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</row>
    <row r="313" ht="12.75" customHeight="1">
      <c r="A313" s="52"/>
      <c r="B313" s="53"/>
      <c r="C313" s="52"/>
      <c r="D313" s="52"/>
      <c r="E313" s="52"/>
      <c r="F313" s="12"/>
      <c r="G313" s="52"/>
      <c r="H313" s="52"/>
      <c r="I313" s="57"/>
      <c r="J313" s="52"/>
      <c r="K313" s="57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</row>
    <row r="314" ht="12.75" customHeight="1">
      <c r="A314" s="52"/>
      <c r="B314" s="53"/>
      <c r="C314" s="52"/>
      <c r="D314" s="52"/>
      <c r="E314" s="52"/>
      <c r="F314" s="12"/>
      <c r="G314" s="52"/>
      <c r="H314" s="52"/>
      <c r="I314" s="57"/>
      <c r="J314" s="52"/>
      <c r="K314" s="57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</row>
    <row r="315" ht="12.75" customHeight="1">
      <c r="A315" s="52"/>
      <c r="B315" s="53"/>
      <c r="C315" s="52"/>
      <c r="D315" s="52"/>
      <c r="E315" s="52"/>
      <c r="F315" s="12"/>
      <c r="G315" s="52"/>
      <c r="H315" s="52"/>
      <c r="I315" s="57"/>
      <c r="J315" s="52"/>
      <c r="K315" s="57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</row>
    <row r="316" ht="12.75" customHeight="1">
      <c r="A316" s="52"/>
      <c r="B316" s="53"/>
      <c r="C316" s="52"/>
      <c r="D316" s="52"/>
      <c r="E316" s="52"/>
      <c r="F316" s="12"/>
      <c r="G316" s="52"/>
      <c r="H316" s="52"/>
      <c r="I316" s="57"/>
      <c r="J316" s="52"/>
      <c r="K316" s="57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</row>
    <row r="317" ht="12.75" customHeight="1">
      <c r="A317" s="52"/>
      <c r="B317" s="53"/>
      <c r="C317" s="52"/>
      <c r="D317" s="52"/>
      <c r="E317" s="52"/>
      <c r="F317" s="12"/>
      <c r="G317" s="52"/>
      <c r="H317" s="52"/>
      <c r="I317" s="57"/>
      <c r="J317" s="52"/>
      <c r="K317" s="57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</row>
    <row r="318" ht="12.75" customHeight="1">
      <c r="A318" s="52"/>
      <c r="B318" s="53"/>
      <c r="C318" s="52"/>
      <c r="D318" s="52"/>
      <c r="E318" s="52"/>
      <c r="F318" s="12"/>
      <c r="G318" s="52"/>
      <c r="H318" s="52"/>
      <c r="I318" s="57"/>
      <c r="J318" s="52"/>
      <c r="K318" s="57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</row>
    <row r="319" ht="12.75" customHeight="1">
      <c r="A319" s="52"/>
      <c r="B319" s="53"/>
      <c r="C319" s="52"/>
      <c r="D319" s="52"/>
      <c r="E319" s="52"/>
      <c r="F319" s="12"/>
      <c r="G319" s="52"/>
      <c r="H319" s="52"/>
      <c r="I319" s="57"/>
      <c r="J319" s="52"/>
      <c r="K319" s="57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</row>
    <row r="320" ht="12.75" customHeight="1">
      <c r="A320" s="52"/>
      <c r="B320" s="53"/>
      <c r="C320" s="52"/>
      <c r="D320" s="52"/>
      <c r="E320" s="52"/>
      <c r="F320" s="12"/>
      <c r="G320" s="52"/>
      <c r="H320" s="52"/>
      <c r="I320" s="57"/>
      <c r="J320" s="52"/>
      <c r="K320" s="57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</row>
    <row r="321" ht="12.75" customHeight="1">
      <c r="A321" s="52"/>
      <c r="B321" s="53"/>
      <c r="C321" s="52"/>
      <c r="D321" s="52"/>
      <c r="E321" s="52"/>
      <c r="F321" s="12"/>
      <c r="G321" s="52"/>
      <c r="H321" s="52"/>
      <c r="I321" s="57"/>
      <c r="J321" s="52"/>
      <c r="K321" s="57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</row>
    <row r="322" ht="12.75" customHeight="1">
      <c r="A322" s="52"/>
      <c r="B322" s="53"/>
      <c r="C322" s="52"/>
      <c r="D322" s="52"/>
      <c r="E322" s="52"/>
      <c r="F322" s="12"/>
      <c r="G322" s="52"/>
      <c r="H322" s="52"/>
      <c r="I322" s="57"/>
      <c r="J322" s="52"/>
      <c r="K322" s="57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</row>
    <row r="323" ht="12.75" customHeight="1">
      <c r="A323" s="52"/>
      <c r="B323" s="53"/>
      <c r="C323" s="52"/>
      <c r="D323" s="52"/>
      <c r="E323" s="52"/>
      <c r="F323" s="12"/>
      <c r="G323" s="52"/>
      <c r="H323" s="52"/>
      <c r="I323" s="57"/>
      <c r="J323" s="52"/>
      <c r="K323" s="57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</row>
    <row r="324" ht="12.75" customHeight="1">
      <c r="A324" s="52"/>
      <c r="B324" s="53"/>
      <c r="C324" s="52"/>
      <c r="D324" s="52"/>
      <c r="E324" s="52"/>
      <c r="F324" s="12"/>
      <c r="G324" s="52"/>
      <c r="H324" s="52"/>
      <c r="I324" s="57"/>
      <c r="J324" s="52"/>
      <c r="K324" s="57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</row>
    <row r="325" ht="12.75" customHeight="1">
      <c r="A325" s="52"/>
      <c r="B325" s="53"/>
      <c r="C325" s="52"/>
      <c r="D325" s="52"/>
      <c r="E325" s="52"/>
      <c r="F325" s="12"/>
      <c r="G325" s="52"/>
      <c r="H325" s="52"/>
      <c r="I325" s="57"/>
      <c r="J325" s="52"/>
      <c r="K325" s="57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</row>
    <row r="326" ht="12.75" customHeight="1">
      <c r="A326" s="52"/>
      <c r="B326" s="53"/>
      <c r="C326" s="52"/>
      <c r="D326" s="52"/>
      <c r="E326" s="52"/>
      <c r="F326" s="12"/>
      <c r="G326" s="52"/>
      <c r="H326" s="52"/>
      <c r="I326" s="57"/>
      <c r="J326" s="52"/>
      <c r="K326" s="57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</row>
    <row r="327" ht="12.75" customHeight="1">
      <c r="A327" s="52"/>
      <c r="B327" s="53"/>
      <c r="C327" s="52"/>
      <c r="D327" s="52"/>
      <c r="E327" s="52"/>
      <c r="F327" s="12"/>
      <c r="G327" s="52"/>
      <c r="H327" s="52"/>
      <c r="I327" s="57"/>
      <c r="J327" s="52"/>
      <c r="K327" s="57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</row>
    <row r="328" ht="12.75" customHeight="1">
      <c r="A328" s="52"/>
      <c r="B328" s="53"/>
      <c r="C328" s="52"/>
      <c r="D328" s="52"/>
      <c r="E328" s="52"/>
      <c r="F328" s="12"/>
      <c r="G328" s="52"/>
      <c r="H328" s="52"/>
      <c r="I328" s="57"/>
      <c r="J328" s="52"/>
      <c r="K328" s="57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</row>
    <row r="329" ht="12.75" customHeight="1">
      <c r="A329" s="52"/>
      <c r="B329" s="53"/>
      <c r="C329" s="52"/>
      <c r="D329" s="52"/>
      <c r="E329" s="52"/>
      <c r="F329" s="12"/>
      <c r="G329" s="52"/>
      <c r="H329" s="52"/>
      <c r="I329" s="57"/>
      <c r="J329" s="52"/>
      <c r="K329" s="57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</row>
    <row r="330" ht="12.75" customHeight="1">
      <c r="A330" s="52"/>
      <c r="B330" s="53"/>
      <c r="C330" s="52"/>
      <c r="D330" s="52"/>
      <c r="E330" s="52"/>
      <c r="F330" s="12"/>
      <c r="G330" s="52"/>
      <c r="H330" s="52"/>
      <c r="I330" s="57"/>
      <c r="J330" s="52"/>
      <c r="K330" s="57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</row>
    <row r="331" ht="12.75" customHeight="1">
      <c r="A331" s="52"/>
      <c r="B331" s="53"/>
      <c r="C331" s="52"/>
      <c r="D331" s="52"/>
      <c r="E331" s="52"/>
      <c r="F331" s="12"/>
      <c r="G331" s="52"/>
      <c r="H331" s="52"/>
      <c r="I331" s="57"/>
      <c r="J331" s="52"/>
      <c r="K331" s="57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</row>
    <row r="332" ht="12.75" customHeight="1">
      <c r="A332" s="52"/>
      <c r="B332" s="53"/>
      <c r="C332" s="52"/>
      <c r="D332" s="52"/>
      <c r="E332" s="52"/>
      <c r="F332" s="12"/>
      <c r="G332" s="52"/>
      <c r="H332" s="52"/>
      <c r="I332" s="57"/>
      <c r="J332" s="52"/>
      <c r="K332" s="57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</row>
    <row r="333" ht="12.75" customHeight="1">
      <c r="A333" s="52"/>
      <c r="B333" s="53"/>
      <c r="C333" s="52"/>
      <c r="D333" s="52"/>
      <c r="E333" s="52"/>
      <c r="F333" s="12"/>
      <c r="G333" s="52"/>
      <c r="H333" s="52"/>
      <c r="I333" s="57"/>
      <c r="J333" s="52"/>
      <c r="K333" s="57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</row>
    <row r="334" ht="12.75" customHeight="1">
      <c r="A334" s="52"/>
      <c r="B334" s="53"/>
      <c r="C334" s="52"/>
      <c r="D334" s="52"/>
      <c r="E334" s="52"/>
      <c r="F334" s="12"/>
      <c r="G334" s="52"/>
      <c r="H334" s="52"/>
      <c r="I334" s="57"/>
      <c r="J334" s="52"/>
      <c r="K334" s="57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</row>
    <row r="335" ht="12.75" customHeight="1">
      <c r="A335" s="52"/>
      <c r="B335" s="53"/>
      <c r="C335" s="52"/>
      <c r="D335" s="52"/>
      <c r="E335" s="52"/>
      <c r="F335" s="12"/>
      <c r="G335" s="52"/>
      <c r="H335" s="52"/>
      <c r="I335" s="57"/>
      <c r="J335" s="52"/>
      <c r="K335" s="57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</row>
    <row r="336" ht="12.75" customHeight="1">
      <c r="A336" s="52"/>
      <c r="B336" s="53"/>
      <c r="C336" s="52"/>
      <c r="D336" s="52"/>
      <c r="E336" s="52"/>
      <c r="F336" s="12"/>
      <c r="G336" s="52"/>
      <c r="H336" s="52"/>
      <c r="I336" s="57"/>
      <c r="J336" s="52"/>
      <c r="K336" s="57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</row>
    <row r="337" ht="12.75" customHeight="1">
      <c r="A337" s="52"/>
      <c r="B337" s="53"/>
      <c r="C337" s="52"/>
      <c r="D337" s="52"/>
      <c r="E337" s="52"/>
      <c r="F337" s="12"/>
      <c r="G337" s="52"/>
      <c r="H337" s="52"/>
      <c r="I337" s="57"/>
      <c r="J337" s="52"/>
      <c r="K337" s="57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</row>
    <row r="338" ht="12.75" customHeight="1">
      <c r="A338" s="52"/>
      <c r="B338" s="53"/>
      <c r="C338" s="52"/>
      <c r="D338" s="52"/>
      <c r="E338" s="52"/>
      <c r="F338" s="12"/>
      <c r="G338" s="52"/>
      <c r="H338" s="52"/>
      <c r="I338" s="57"/>
      <c r="J338" s="52"/>
      <c r="K338" s="57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</row>
    <row r="339" ht="12.75" customHeight="1">
      <c r="A339" s="52"/>
      <c r="B339" s="53"/>
      <c r="C339" s="52"/>
      <c r="D339" s="52"/>
      <c r="E339" s="52"/>
      <c r="F339" s="12"/>
      <c r="G339" s="52"/>
      <c r="H339" s="52"/>
      <c r="I339" s="57"/>
      <c r="J339" s="52"/>
      <c r="K339" s="57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</row>
    <row r="340" ht="12.75" customHeight="1">
      <c r="A340" s="52"/>
      <c r="B340" s="53"/>
      <c r="C340" s="52"/>
      <c r="D340" s="52"/>
      <c r="E340" s="52"/>
      <c r="F340" s="12"/>
      <c r="G340" s="52"/>
      <c r="H340" s="52"/>
      <c r="I340" s="57"/>
      <c r="J340" s="52"/>
      <c r="K340" s="57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</row>
    <row r="341" ht="12.75" customHeight="1">
      <c r="A341" s="52"/>
      <c r="B341" s="53"/>
      <c r="C341" s="52"/>
      <c r="D341" s="52"/>
      <c r="E341" s="52"/>
      <c r="F341" s="12"/>
      <c r="G341" s="52"/>
      <c r="H341" s="52"/>
      <c r="I341" s="57"/>
      <c r="J341" s="52"/>
      <c r="K341" s="57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</row>
    <row r="342" ht="12.75" customHeight="1">
      <c r="A342" s="52"/>
      <c r="B342" s="53"/>
      <c r="C342" s="52"/>
      <c r="D342" s="52"/>
      <c r="E342" s="52"/>
      <c r="F342" s="12"/>
      <c r="G342" s="52"/>
      <c r="H342" s="52"/>
      <c r="I342" s="57"/>
      <c r="J342" s="52"/>
      <c r="K342" s="57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</row>
    <row r="343" ht="12.75" customHeight="1">
      <c r="A343" s="52"/>
      <c r="B343" s="53"/>
      <c r="C343" s="52"/>
      <c r="D343" s="52"/>
      <c r="E343" s="52"/>
      <c r="F343" s="12"/>
      <c r="G343" s="52"/>
      <c r="H343" s="52"/>
      <c r="I343" s="57"/>
      <c r="J343" s="52"/>
      <c r="K343" s="57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</row>
    <row r="344" ht="12.75" customHeight="1">
      <c r="A344" s="52"/>
      <c r="B344" s="53"/>
      <c r="C344" s="52"/>
      <c r="D344" s="52"/>
      <c r="E344" s="52"/>
      <c r="F344" s="12"/>
      <c r="G344" s="52"/>
      <c r="H344" s="52"/>
      <c r="I344" s="57"/>
      <c r="J344" s="52"/>
      <c r="K344" s="57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</row>
    <row r="345" ht="12.75" customHeight="1">
      <c r="A345" s="52"/>
      <c r="B345" s="53"/>
      <c r="C345" s="52"/>
      <c r="D345" s="52"/>
      <c r="E345" s="52"/>
      <c r="F345" s="12"/>
      <c r="G345" s="52"/>
      <c r="H345" s="52"/>
      <c r="I345" s="57"/>
      <c r="J345" s="52"/>
      <c r="K345" s="57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</row>
    <row r="346" ht="12.75" customHeight="1">
      <c r="A346" s="52"/>
      <c r="B346" s="53"/>
      <c r="C346" s="52"/>
      <c r="D346" s="52"/>
      <c r="E346" s="52"/>
      <c r="F346" s="12"/>
      <c r="G346" s="52"/>
      <c r="H346" s="52"/>
      <c r="I346" s="57"/>
      <c r="J346" s="52"/>
      <c r="K346" s="57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</row>
    <row r="347" ht="12.75" customHeight="1">
      <c r="A347" s="52"/>
      <c r="B347" s="53"/>
      <c r="C347" s="52"/>
      <c r="D347" s="52"/>
      <c r="E347" s="52"/>
      <c r="F347" s="12"/>
      <c r="G347" s="52"/>
      <c r="H347" s="52"/>
      <c r="I347" s="57"/>
      <c r="J347" s="52"/>
      <c r="K347" s="57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</row>
    <row r="348" ht="12.75" customHeight="1">
      <c r="A348" s="52"/>
      <c r="B348" s="53"/>
      <c r="C348" s="52"/>
      <c r="D348" s="52"/>
      <c r="E348" s="52"/>
      <c r="F348" s="12"/>
      <c r="G348" s="52"/>
      <c r="H348" s="52"/>
      <c r="I348" s="57"/>
      <c r="J348" s="52"/>
      <c r="K348" s="57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</row>
    <row r="349" ht="12.75" customHeight="1">
      <c r="A349" s="52"/>
      <c r="B349" s="53"/>
      <c r="C349" s="52"/>
      <c r="D349" s="52"/>
      <c r="E349" s="52"/>
      <c r="F349" s="12"/>
      <c r="G349" s="52"/>
      <c r="H349" s="52"/>
      <c r="I349" s="57"/>
      <c r="J349" s="52"/>
      <c r="K349" s="57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</row>
    <row r="350" ht="12.75" customHeight="1">
      <c r="A350" s="52"/>
      <c r="B350" s="53"/>
      <c r="C350" s="52"/>
      <c r="D350" s="52"/>
      <c r="E350" s="52"/>
      <c r="F350" s="12"/>
      <c r="G350" s="52"/>
      <c r="H350" s="52"/>
      <c r="I350" s="57"/>
      <c r="J350" s="52"/>
      <c r="K350" s="57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</row>
    <row r="351" ht="12.75" customHeight="1">
      <c r="A351" s="52"/>
      <c r="B351" s="53"/>
      <c r="C351" s="52"/>
      <c r="D351" s="52"/>
      <c r="E351" s="52"/>
      <c r="F351" s="12"/>
      <c r="G351" s="52"/>
      <c r="H351" s="52"/>
      <c r="I351" s="57"/>
      <c r="J351" s="52"/>
      <c r="K351" s="57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</row>
    <row r="352" ht="12.75" customHeight="1">
      <c r="A352" s="52"/>
      <c r="B352" s="53"/>
      <c r="C352" s="52"/>
      <c r="D352" s="52"/>
      <c r="E352" s="52"/>
      <c r="F352" s="12"/>
      <c r="G352" s="52"/>
      <c r="H352" s="52"/>
      <c r="I352" s="57"/>
      <c r="J352" s="52"/>
      <c r="K352" s="57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</row>
    <row r="353" ht="12.75" customHeight="1">
      <c r="A353" s="52"/>
      <c r="B353" s="53"/>
      <c r="C353" s="52"/>
      <c r="D353" s="52"/>
      <c r="E353" s="52"/>
      <c r="F353" s="12"/>
      <c r="G353" s="52"/>
      <c r="H353" s="52"/>
      <c r="I353" s="57"/>
      <c r="J353" s="52"/>
      <c r="K353" s="57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</row>
    <row r="354" ht="12.75" customHeight="1">
      <c r="A354" s="52"/>
      <c r="B354" s="53"/>
      <c r="C354" s="52"/>
      <c r="D354" s="52"/>
      <c r="E354" s="52"/>
      <c r="F354" s="12"/>
      <c r="G354" s="52"/>
      <c r="H354" s="52"/>
      <c r="I354" s="57"/>
      <c r="J354" s="52"/>
      <c r="K354" s="57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</row>
    <row r="355" ht="12.75" customHeight="1">
      <c r="A355" s="52"/>
      <c r="B355" s="53"/>
      <c r="C355" s="52"/>
      <c r="D355" s="52"/>
      <c r="E355" s="52"/>
      <c r="F355" s="12"/>
      <c r="G355" s="52"/>
      <c r="H355" s="52"/>
      <c r="I355" s="57"/>
      <c r="J355" s="52"/>
      <c r="K355" s="57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</row>
    <row r="356" ht="12.75" customHeight="1">
      <c r="A356" s="52"/>
      <c r="B356" s="53"/>
      <c r="C356" s="52"/>
      <c r="D356" s="52"/>
      <c r="E356" s="52"/>
      <c r="F356" s="12"/>
      <c r="G356" s="52"/>
      <c r="H356" s="52"/>
      <c r="I356" s="57"/>
      <c r="J356" s="52"/>
      <c r="K356" s="57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</row>
    <row r="357" ht="12.75" customHeight="1">
      <c r="A357" s="52"/>
      <c r="B357" s="53"/>
      <c r="C357" s="52"/>
      <c r="D357" s="52"/>
      <c r="E357" s="52"/>
      <c r="F357" s="12"/>
      <c r="G357" s="52"/>
      <c r="H357" s="52"/>
      <c r="I357" s="57"/>
      <c r="J357" s="52"/>
      <c r="K357" s="57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</row>
    <row r="358" ht="12.75" customHeight="1">
      <c r="A358" s="52"/>
      <c r="B358" s="53"/>
      <c r="C358" s="52"/>
      <c r="D358" s="52"/>
      <c r="E358" s="52"/>
      <c r="F358" s="12"/>
      <c r="G358" s="52"/>
      <c r="H358" s="52"/>
      <c r="I358" s="57"/>
      <c r="J358" s="52"/>
      <c r="K358" s="57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</row>
    <row r="359" ht="12.75" customHeight="1">
      <c r="A359" s="52"/>
      <c r="B359" s="53"/>
      <c r="C359" s="52"/>
      <c r="D359" s="52"/>
      <c r="E359" s="52"/>
      <c r="F359" s="12"/>
      <c r="G359" s="52"/>
      <c r="H359" s="52"/>
      <c r="I359" s="57"/>
      <c r="J359" s="52"/>
      <c r="K359" s="57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</row>
    <row r="360" ht="12.75" customHeight="1">
      <c r="A360" s="52"/>
      <c r="B360" s="53"/>
      <c r="C360" s="52"/>
      <c r="D360" s="52"/>
      <c r="E360" s="52"/>
      <c r="F360" s="12"/>
      <c r="G360" s="52"/>
      <c r="H360" s="52"/>
      <c r="I360" s="57"/>
      <c r="J360" s="52"/>
      <c r="K360" s="57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</row>
    <row r="361" ht="12.75" customHeight="1">
      <c r="A361" s="52"/>
      <c r="B361" s="53"/>
      <c r="C361" s="52"/>
      <c r="D361" s="52"/>
      <c r="E361" s="52"/>
      <c r="F361" s="12"/>
      <c r="G361" s="52"/>
      <c r="H361" s="52"/>
      <c r="I361" s="57"/>
      <c r="J361" s="52"/>
      <c r="K361" s="57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</row>
    <row r="362" ht="12.75" customHeight="1">
      <c r="A362" s="52"/>
      <c r="B362" s="53"/>
      <c r="C362" s="52"/>
      <c r="D362" s="52"/>
      <c r="E362" s="52"/>
      <c r="F362" s="12"/>
      <c r="G362" s="52"/>
      <c r="H362" s="52"/>
      <c r="I362" s="57"/>
      <c r="J362" s="52"/>
      <c r="K362" s="57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</row>
    <row r="363" ht="12.75" customHeight="1">
      <c r="A363" s="52"/>
      <c r="B363" s="53"/>
      <c r="C363" s="52"/>
      <c r="D363" s="52"/>
      <c r="E363" s="52"/>
      <c r="F363" s="12"/>
      <c r="G363" s="52"/>
      <c r="H363" s="52"/>
      <c r="I363" s="57"/>
      <c r="J363" s="52"/>
      <c r="K363" s="57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</row>
    <row r="364" ht="12.75" customHeight="1">
      <c r="A364" s="52"/>
      <c r="B364" s="53"/>
      <c r="C364" s="52"/>
      <c r="D364" s="52"/>
      <c r="E364" s="52"/>
      <c r="F364" s="12"/>
      <c r="G364" s="52"/>
      <c r="H364" s="52"/>
      <c r="I364" s="57"/>
      <c r="J364" s="52"/>
      <c r="K364" s="57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</row>
    <row r="365" ht="12.75" customHeight="1">
      <c r="A365" s="52"/>
      <c r="B365" s="53"/>
      <c r="C365" s="52"/>
      <c r="D365" s="52"/>
      <c r="E365" s="52"/>
      <c r="F365" s="12"/>
      <c r="G365" s="52"/>
      <c r="H365" s="52"/>
      <c r="I365" s="57"/>
      <c r="J365" s="52"/>
      <c r="K365" s="57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</row>
    <row r="366" ht="12.75" customHeight="1">
      <c r="A366" s="52"/>
      <c r="B366" s="53"/>
      <c r="C366" s="52"/>
      <c r="D366" s="52"/>
      <c r="E366" s="52"/>
      <c r="F366" s="12"/>
      <c r="G366" s="52"/>
      <c r="H366" s="52"/>
      <c r="I366" s="57"/>
      <c r="J366" s="52"/>
      <c r="K366" s="57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</row>
    <row r="367" ht="12.75" customHeight="1">
      <c r="A367" s="52"/>
      <c r="B367" s="53"/>
      <c r="C367" s="52"/>
      <c r="D367" s="52"/>
      <c r="E367" s="52"/>
      <c r="F367" s="12"/>
      <c r="G367" s="52"/>
      <c r="H367" s="52"/>
      <c r="I367" s="57"/>
      <c r="J367" s="52"/>
      <c r="K367" s="57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</row>
    <row r="368" ht="12.75" customHeight="1">
      <c r="A368" s="52"/>
      <c r="B368" s="53"/>
      <c r="C368" s="52"/>
      <c r="D368" s="52"/>
      <c r="E368" s="52"/>
      <c r="F368" s="12"/>
      <c r="G368" s="52"/>
      <c r="H368" s="52"/>
      <c r="I368" s="57"/>
      <c r="J368" s="52"/>
      <c r="K368" s="57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</row>
    <row r="369" ht="12.75" customHeight="1">
      <c r="A369" s="52"/>
      <c r="B369" s="53"/>
      <c r="C369" s="52"/>
      <c r="D369" s="52"/>
      <c r="E369" s="52"/>
      <c r="F369" s="12"/>
      <c r="G369" s="52"/>
      <c r="H369" s="52"/>
      <c r="I369" s="57"/>
      <c r="J369" s="52"/>
      <c r="K369" s="57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</row>
    <row r="370" ht="12.75" customHeight="1">
      <c r="A370" s="52"/>
      <c r="B370" s="53"/>
      <c r="C370" s="52"/>
      <c r="D370" s="52"/>
      <c r="E370" s="52"/>
      <c r="F370" s="12"/>
      <c r="G370" s="52"/>
      <c r="H370" s="52"/>
      <c r="I370" s="57"/>
      <c r="J370" s="52"/>
      <c r="K370" s="57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</row>
    <row r="371" ht="12.75" customHeight="1">
      <c r="A371" s="52"/>
      <c r="B371" s="53"/>
      <c r="C371" s="52"/>
      <c r="D371" s="52"/>
      <c r="E371" s="52"/>
      <c r="F371" s="12"/>
      <c r="G371" s="52"/>
      <c r="H371" s="52"/>
      <c r="I371" s="57"/>
      <c r="J371" s="52"/>
      <c r="K371" s="57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</row>
    <row r="372" ht="12.75" customHeight="1">
      <c r="A372" s="52"/>
      <c r="B372" s="53"/>
      <c r="C372" s="52"/>
      <c r="D372" s="52"/>
      <c r="E372" s="52"/>
      <c r="F372" s="12"/>
      <c r="G372" s="52"/>
      <c r="H372" s="52"/>
      <c r="I372" s="57"/>
      <c r="J372" s="52"/>
      <c r="K372" s="57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</row>
    <row r="373" ht="12.75" customHeight="1">
      <c r="A373" s="52"/>
      <c r="B373" s="53"/>
      <c r="C373" s="52"/>
      <c r="D373" s="52"/>
      <c r="E373" s="52"/>
      <c r="F373" s="12"/>
      <c r="G373" s="52"/>
      <c r="H373" s="52"/>
      <c r="I373" s="57"/>
      <c r="J373" s="52"/>
      <c r="K373" s="57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</row>
    <row r="374" ht="12.75" customHeight="1">
      <c r="A374" s="52"/>
      <c r="B374" s="53"/>
      <c r="C374" s="52"/>
      <c r="D374" s="52"/>
      <c r="E374" s="52"/>
      <c r="F374" s="12"/>
      <c r="G374" s="52"/>
      <c r="H374" s="52"/>
      <c r="I374" s="57"/>
      <c r="J374" s="52"/>
      <c r="K374" s="57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</row>
    <row r="375" ht="12.75" customHeight="1">
      <c r="A375" s="52"/>
      <c r="B375" s="53"/>
      <c r="C375" s="52"/>
      <c r="D375" s="52"/>
      <c r="E375" s="52"/>
      <c r="F375" s="12"/>
      <c r="G375" s="52"/>
      <c r="H375" s="52"/>
      <c r="I375" s="57"/>
      <c r="J375" s="52"/>
      <c r="K375" s="57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</row>
    <row r="376" ht="12.75" customHeight="1">
      <c r="A376" s="52"/>
      <c r="B376" s="53"/>
      <c r="C376" s="52"/>
      <c r="D376" s="52"/>
      <c r="E376" s="52"/>
      <c r="F376" s="12"/>
      <c r="G376" s="52"/>
      <c r="H376" s="52"/>
      <c r="I376" s="57"/>
      <c r="J376" s="52"/>
      <c r="K376" s="57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</row>
    <row r="377" ht="12.75" customHeight="1">
      <c r="A377" s="52"/>
      <c r="B377" s="53"/>
      <c r="C377" s="52"/>
      <c r="D377" s="52"/>
      <c r="E377" s="52"/>
      <c r="F377" s="12"/>
      <c r="G377" s="52"/>
      <c r="H377" s="52"/>
      <c r="I377" s="57"/>
      <c r="J377" s="52"/>
      <c r="K377" s="57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</row>
    <row r="378" ht="12.75" customHeight="1">
      <c r="A378" s="52"/>
      <c r="B378" s="53"/>
      <c r="C378" s="52"/>
      <c r="D378" s="52"/>
      <c r="E378" s="52"/>
      <c r="F378" s="12"/>
      <c r="G378" s="52"/>
      <c r="H378" s="52"/>
      <c r="I378" s="57"/>
      <c r="J378" s="52"/>
      <c r="K378" s="57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</row>
    <row r="379" ht="12.75" customHeight="1">
      <c r="A379" s="52"/>
      <c r="B379" s="53"/>
      <c r="C379" s="52"/>
      <c r="D379" s="52"/>
      <c r="E379" s="52"/>
      <c r="F379" s="12"/>
      <c r="G379" s="52"/>
      <c r="H379" s="52"/>
      <c r="I379" s="57"/>
      <c r="J379" s="52"/>
      <c r="K379" s="57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</row>
    <row r="380" ht="12.75" customHeight="1">
      <c r="A380" s="52"/>
      <c r="B380" s="53"/>
      <c r="C380" s="52"/>
      <c r="D380" s="52"/>
      <c r="E380" s="52"/>
      <c r="F380" s="12"/>
      <c r="G380" s="52"/>
      <c r="H380" s="52"/>
      <c r="I380" s="57"/>
      <c r="J380" s="52"/>
      <c r="K380" s="57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</row>
    <row r="381" ht="12.75" customHeight="1">
      <c r="A381" s="52"/>
      <c r="B381" s="53"/>
      <c r="C381" s="52"/>
      <c r="D381" s="52"/>
      <c r="E381" s="52"/>
      <c r="F381" s="12"/>
      <c r="G381" s="52"/>
      <c r="H381" s="52"/>
      <c r="I381" s="57"/>
      <c r="J381" s="52"/>
      <c r="K381" s="57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</row>
    <row r="382" ht="12.75" customHeight="1">
      <c r="A382" s="52"/>
      <c r="B382" s="53"/>
      <c r="C382" s="52"/>
      <c r="D382" s="52"/>
      <c r="E382" s="52"/>
      <c r="F382" s="12"/>
      <c r="G382" s="52"/>
      <c r="H382" s="52"/>
      <c r="I382" s="57"/>
      <c r="J382" s="52"/>
      <c r="K382" s="57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</row>
    <row r="383" ht="12.75" customHeight="1">
      <c r="A383" s="52"/>
      <c r="B383" s="53"/>
      <c r="C383" s="52"/>
      <c r="D383" s="52"/>
      <c r="E383" s="52"/>
      <c r="F383" s="12"/>
      <c r="G383" s="52"/>
      <c r="H383" s="52"/>
      <c r="I383" s="57"/>
      <c r="J383" s="52"/>
      <c r="K383" s="57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</row>
    <row r="384" ht="12.75" customHeight="1">
      <c r="A384" s="52"/>
      <c r="B384" s="53"/>
      <c r="C384" s="52"/>
      <c r="D384" s="52"/>
      <c r="E384" s="52"/>
      <c r="F384" s="12"/>
      <c r="G384" s="52"/>
      <c r="H384" s="52"/>
      <c r="I384" s="57"/>
      <c r="J384" s="52"/>
      <c r="K384" s="57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</row>
    <row r="385" ht="12.75" customHeight="1">
      <c r="A385" s="52"/>
      <c r="B385" s="53"/>
      <c r="C385" s="52"/>
      <c r="D385" s="52"/>
      <c r="E385" s="52"/>
      <c r="F385" s="12"/>
      <c r="G385" s="52"/>
      <c r="H385" s="52"/>
      <c r="I385" s="57"/>
      <c r="J385" s="52"/>
      <c r="K385" s="57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</row>
    <row r="386" ht="12.75" customHeight="1">
      <c r="A386" s="52"/>
      <c r="B386" s="53"/>
      <c r="C386" s="52"/>
      <c r="D386" s="52"/>
      <c r="E386" s="52"/>
      <c r="F386" s="12"/>
      <c r="G386" s="52"/>
      <c r="H386" s="52"/>
      <c r="I386" s="57"/>
      <c r="J386" s="52"/>
      <c r="K386" s="57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</row>
    <row r="387" ht="12.75" customHeight="1">
      <c r="A387" s="52"/>
      <c r="B387" s="53"/>
      <c r="C387" s="52"/>
      <c r="D387" s="52"/>
      <c r="E387" s="52"/>
      <c r="F387" s="12"/>
      <c r="G387" s="52"/>
      <c r="H387" s="52"/>
      <c r="I387" s="57"/>
      <c r="J387" s="52"/>
      <c r="K387" s="57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</row>
    <row r="388" ht="12.75" customHeight="1">
      <c r="A388" s="52"/>
      <c r="B388" s="53"/>
      <c r="C388" s="52"/>
      <c r="D388" s="52"/>
      <c r="E388" s="52"/>
      <c r="F388" s="12"/>
      <c r="G388" s="52"/>
      <c r="H388" s="52"/>
      <c r="I388" s="57"/>
      <c r="J388" s="52"/>
      <c r="K388" s="57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</row>
    <row r="389" ht="12.75" customHeight="1">
      <c r="A389" s="52"/>
      <c r="B389" s="53"/>
      <c r="C389" s="52"/>
      <c r="D389" s="52"/>
      <c r="E389" s="52"/>
      <c r="F389" s="12"/>
      <c r="G389" s="52"/>
      <c r="H389" s="52"/>
      <c r="I389" s="57"/>
      <c r="J389" s="52"/>
      <c r="K389" s="57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</row>
    <row r="390" ht="12.75" customHeight="1">
      <c r="A390" s="52"/>
      <c r="B390" s="53"/>
      <c r="C390" s="52"/>
      <c r="D390" s="52"/>
      <c r="E390" s="52"/>
      <c r="F390" s="12"/>
      <c r="G390" s="52"/>
      <c r="H390" s="52"/>
      <c r="I390" s="57"/>
      <c r="J390" s="52"/>
      <c r="K390" s="57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</row>
    <row r="391" ht="12.75" customHeight="1">
      <c r="A391" s="52"/>
      <c r="B391" s="53"/>
      <c r="C391" s="52"/>
      <c r="D391" s="52"/>
      <c r="E391" s="52"/>
      <c r="F391" s="12"/>
      <c r="G391" s="52"/>
      <c r="H391" s="52"/>
      <c r="I391" s="57"/>
      <c r="J391" s="52"/>
      <c r="K391" s="57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</row>
    <row r="392" ht="12.75" customHeight="1">
      <c r="A392" s="52"/>
      <c r="B392" s="53"/>
      <c r="C392" s="52"/>
      <c r="D392" s="52"/>
      <c r="E392" s="52"/>
      <c r="F392" s="12"/>
      <c r="G392" s="52"/>
      <c r="H392" s="52"/>
      <c r="I392" s="57"/>
      <c r="J392" s="52"/>
      <c r="K392" s="57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</row>
    <row r="393" ht="12.75" customHeight="1">
      <c r="A393" s="52"/>
      <c r="B393" s="53"/>
      <c r="C393" s="52"/>
      <c r="D393" s="52"/>
      <c r="E393" s="52"/>
      <c r="F393" s="12"/>
      <c r="G393" s="52"/>
      <c r="H393" s="52"/>
      <c r="I393" s="57"/>
      <c r="J393" s="52"/>
      <c r="K393" s="57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</row>
    <row r="394" ht="12.75" customHeight="1">
      <c r="A394" s="52"/>
      <c r="B394" s="53"/>
      <c r="C394" s="52"/>
      <c r="D394" s="52"/>
      <c r="E394" s="52"/>
      <c r="F394" s="12"/>
      <c r="G394" s="52"/>
      <c r="H394" s="52"/>
      <c r="I394" s="57"/>
      <c r="J394" s="52"/>
      <c r="K394" s="57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</row>
    <row r="395" ht="12.75" customHeight="1">
      <c r="A395" s="52"/>
      <c r="B395" s="53"/>
      <c r="C395" s="52"/>
      <c r="D395" s="52"/>
      <c r="E395" s="52"/>
      <c r="F395" s="12"/>
      <c r="G395" s="52"/>
      <c r="H395" s="52"/>
      <c r="I395" s="57"/>
      <c r="J395" s="52"/>
      <c r="K395" s="57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</row>
    <row r="396" ht="12.75" customHeight="1">
      <c r="A396" s="52"/>
      <c r="B396" s="53"/>
      <c r="C396" s="52"/>
      <c r="D396" s="52"/>
      <c r="E396" s="52"/>
      <c r="F396" s="12"/>
      <c r="G396" s="52"/>
      <c r="H396" s="52"/>
      <c r="I396" s="57"/>
      <c r="J396" s="52"/>
      <c r="K396" s="57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</row>
    <row r="397" ht="12.75" customHeight="1">
      <c r="A397" s="52"/>
      <c r="B397" s="53"/>
      <c r="C397" s="52"/>
      <c r="D397" s="52"/>
      <c r="E397" s="52"/>
      <c r="F397" s="12"/>
      <c r="G397" s="52"/>
      <c r="H397" s="52"/>
      <c r="I397" s="57"/>
      <c r="J397" s="52"/>
      <c r="K397" s="57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</row>
    <row r="398" ht="12.75" customHeight="1">
      <c r="A398" s="52"/>
      <c r="B398" s="53"/>
      <c r="C398" s="52"/>
      <c r="D398" s="52"/>
      <c r="E398" s="52"/>
      <c r="F398" s="12"/>
      <c r="G398" s="52"/>
      <c r="H398" s="52"/>
      <c r="I398" s="57"/>
      <c r="J398" s="52"/>
      <c r="K398" s="57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</row>
    <row r="399" ht="12.75" customHeight="1">
      <c r="A399" s="52"/>
      <c r="B399" s="53"/>
      <c r="C399" s="52"/>
      <c r="D399" s="52"/>
      <c r="E399" s="52"/>
      <c r="F399" s="12"/>
      <c r="G399" s="52"/>
      <c r="H399" s="52"/>
      <c r="I399" s="57"/>
      <c r="J399" s="52"/>
      <c r="K399" s="57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</row>
    <row r="400" ht="12.75" customHeight="1">
      <c r="A400" s="52"/>
      <c r="B400" s="53"/>
      <c r="C400" s="52"/>
      <c r="D400" s="52"/>
      <c r="E400" s="52"/>
      <c r="F400" s="12"/>
      <c r="G400" s="52"/>
      <c r="H400" s="52"/>
      <c r="I400" s="57"/>
      <c r="J400" s="52"/>
      <c r="K400" s="57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</row>
    <row r="401" ht="12.75" customHeight="1">
      <c r="A401" s="52"/>
      <c r="B401" s="53"/>
      <c r="C401" s="52"/>
      <c r="D401" s="52"/>
      <c r="E401" s="52"/>
      <c r="F401" s="12"/>
      <c r="G401" s="52"/>
      <c r="H401" s="52"/>
      <c r="I401" s="57"/>
      <c r="J401" s="52"/>
      <c r="K401" s="57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</row>
    <row r="402" ht="12.75" customHeight="1">
      <c r="A402" s="52"/>
      <c r="B402" s="53"/>
      <c r="C402" s="52"/>
      <c r="D402" s="52"/>
      <c r="E402" s="52"/>
      <c r="F402" s="12"/>
      <c r="G402" s="52"/>
      <c r="H402" s="52"/>
      <c r="I402" s="57"/>
      <c r="J402" s="52"/>
      <c r="K402" s="57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</row>
    <row r="403" ht="12.75" customHeight="1">
      <c r="A403" s="52"/>
      <c r="B403" s="53"/>
      <c r="C403" s="52"/>
      <c r="D403" s="52"/>
      <c r="E403" s="52"/>
      <c r="F403" s="12"/>
      <c r="G403" s="52"/>
      <c r="H403" s="52"/>
      <c r="I403" s="57"/>
      <c r="J403" s="52"/>
      <c r="K403" s="57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</row>
    <row r="404" ht="12.75" customHeight="1">
      <c r="A404" s="52"/>
      <c r="B404" s="53"/>
      <c r="C404" s="52"/>
      <c r="D404" s="52"/>
      <c r="E404" s="52"/>
      <c r="F404" s="12"/>
      <c r="G404" s="52"/>
      <c r="H404" s="52"/>
      <c r="I404" s="57"/>
      <c r="J404" s="52"/>
      <c r="K404" s="57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</row>
    <row r="405" ht="12.75" customHeight="1">
      <c r="A405" s="52"/>
      <c r="B405" s="53"/>
      <c r="C405" s="52"/>
      <c r="D405" s="52"/>
      <c r="E405" s="52"/>
      <c r="F405" s="12"/>
      <c r="G405" s="52"/>
      <c r="H405" s="52"/>
      <c r="I405" s="57"/>
      <c r="J405" s="52"/>
      <c r="K405" s="57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</row>
    <row r="406" ht="12.75" customHeight="1">
      <c r="A406" s="52"/>
      <c r="B406" s="53"/>
      <c r="C406" s="52"/>
      <c r="D406" s="52"/>
      <c r="E406" s="52"/>
      <c r="F406" s="12"/>
      <c r="G406" s="52"/>
      <c r="H406" s="52"/>
      <c r="I406" s="57"/>
      <c r="J406" s="52"/>
      <c r="K406" s="57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</row>
    <row r="407" ht="12.75" customHeight="1">
      <c r="A407" s="52"/>
      <c r="B407" s="53"/>
      <c r="C407" s="52"/>
      <c r="D407" s="52"/>
      <c r="E407" s="52"/>
      <c r="F407" s="12"/>
      <c r="G407" s="52"/>
      <c r="H407" s="52"/>
      <c r="I407" s="57"/>
      <c r="J407" s="52"/>
      <c r="K407" s="57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</row>
    <row r="408" ht="12.75" customHeight="1">
      <c r="A408" s="52"/>
      <c r="B408" s="53"/>
      <c r="C408" s="52"/>
      <c r="D408" s="52"/>
      <c r="E408" s="52"/>
      <c r="F408" s="12"/>
      <c r="G408" s="52"/>
      <c r="H408" s="52"/>
      <c r="I408" s="57"/>
      <c r="J408" s="52"/>
      <c r="K408" s="57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</row>
    <row r="409" ht="12.75" customHeight="1">
      <c r="A409" s="52"/>
      <c r="B409" s="53"/>
      <c r="C409" s="52"/>
      <c r="D409" s="52"/>
      <c r="E409" s="52"/>
      <c r="F409" s="12"/>
      <c r="G409" s="52"/>
      <c r="H409" s="52"/>
      <c r="I409" s="57"/>
      <c r="J409" s="52"/>
      <c r="K409" s="57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</row>
    <row r="410" ht="12.75" customHeight="1">
      <c r="A410" s="52"/>
      <c r="B410" s="53"/>
      <c r="C410" s="52"/>
      <c r="D410" s="52"/>
      <c r="E410" s="52"/>
      <c r="F410" s="12"/>
      <c r="G410" s="52"/>
      <c r="H410" s="52"/>
      <c r="I410" s="57"/>
      <c r="J410" s="52"/>
      <c r="K410" s="57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</row>
    <row r="411" ht="12.75" customHeight="1">
      <c r="A411" s="52"/>
      <c r="B411" s="53"/>
      <c r="C411" s="52"/>
      <c r="D411" s="52"/>
      <c r="E411" s="52"/>
      <c r="F411" s="12"/>
      <c r="G411" s="52"/>
      <c r="H411" s="52"/>
      <c r="I411" s="57"/>
      <c r="J411" s="52"/>
      <c r="K411" s="57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</row>
    <row r="412" ht="12.75" customHeight="1">
      <c r="A412" s="52"/>
      <c r="B412" s="53"/>
      <c r="C412" s="52"/>
      <c r="D412" s="52"/>
      <c r="E412" s="52"/>
      <c r="F412" s="12"/>
      <c r="G412" s="52"/>
      <c r="H412" s="52"/>
      <c r="I412" s="57"/>
      <c r="J412" s="52"/>
      <c r="K412" s="57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</row>
    <row r="413" ht="12.75" customHeight="1">
      <c r="A413" s="52"/>
      <c r="B413" s="53"/>
      <c r="C413" s="52"/>
      <c r="D413" s="52"/>
      <c r="E413" s="52"/>
      <c r="F413" s="12"/>
      <c r="G413" s="52"/>
      <c r="H413" s="52"/>
      <c r="I413" s="57"/>
      <c r="J413" s="52"/>
      <c r="K413" s="57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</row>
    <row r="414" ht="12.75" customHeight="1">
      <c r="A414" s="52"/>
      <c r="B414" s="53"/>
      <c r="C414" s="52"/>
      <c r="D414" s="52"/>
      <c r="E414" s="52"/>
      <c r="F414" s="12"/>
      <c r="G414" s="52"/>
      <c r="H414" s="52"/>
      <c r="I414" s="57"/>
      <c r="J414" s="52"/>
      <c r="K414" s="57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</row>
    <row r="415" ht="12.75" customHeight="1">
      <c r="A415" s="52"/>
      <c r="B415" s="53"/>
      <c r="C415" s="52"/>
      <c r="D415" s="52"/>
      <c r="E415" s="52"/>
      <c r="F415" s="12"/>
      <c r="G415" s="52"/>
      <c r="H415" s="52"/>
      <c r="I415" s="57"/>
      <c r="J415" s="52"/>
      <c r="K415" s="57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</row>
    <row r="416" ht="12.75" customHeight="1">
      <c r="A416" s="52"/>
      <c r="B416" s="53"/>
      <c r="C416" s="52"/>
      <c r="D416" s="52"/>
      <c r="E416" s="52"/>
      <c r="F416" s="12"/>
      <c r="G416" s="52"/>
      <c r="H416" s="52"/>
      <c r="I416" s="57"/>
      <c r="J416" s="52"/>
      <c r="K416" s="57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</row>
    <row r="417" ht="12.75" customHeight="1">
      <c r="A417" s="52"/>
      <c r="B417" s="53"/>
      <c r="C417" s="52"/>
      <c r="D417" s="52"/>
      <c r="E417" s="52"/>
      <c r="F417" s="12"/>
      <c r="G417" s="52"/>
      <c r="H417" s="52"/>
      <c r="I417" s="57"/>
      <c r="J417" s="52"/>
      <c r="K417" s="57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</row>
    <row r="418" ht="12.75" customHeight="1">
      <c r="A418" s="52"/>
      <c r="B418" s="53"/>
      <c r="C418" s="52"/>
      <c r="D418" s="52"/>
      <c r="E418" s="52"/>
      <c r="F418" s="12"/>
      <c r="G418" s="52"/>
      <c r="H418" s="52"/>
      <c r="I418" s="57"/>
      <c r="J418" s="52"/>
      <c r="K418" s="57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</row>
    <row r="419" ht="12.75" customHeight="1">
      <c r="A419" s="52"/>
      <c r="B419" s="53"/>
      <c r="C419" s="52"/>
      <c r="D419" s="52"/>
      <c r="E419" s="52"/>
      <c r="F419" s="12"/>
      <c r="G419" s="52"/>
      <c r="H419" s="52"/>
      <c r="I419" s="57"/>
      <c r="J419" s="52"/>
      <c r="K419" s="57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</row>
    <row r="420" ht="12.75" customHeight="1">
      <c r="A420" s="52"/>
      <c r="B420" s="53"/>
      <c r="C420" s="52"/>
      <c r="D420" s="52"/>
      <c r="E420" s="52"/>
      <c r="F420" s="12"/>
      <c r="G420" s="52"/>
      <c r="H420" s="52"/>
      <c r="I420" s="57"/>
      <c r="J420" s="52"/>
      <c r="K420" s="57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</row>
    <row r="421" ht="12.75" customHeight="1">
      <c r="A421" s="52"/>
      <c r="B421" s="53"/>
      <c r="C421" s="52"/>
      <c r="D421" s="52"/>
      <c r="E421" s="52"/>
      <c r="F421" s="12"/>
      <c r="G421" s="52"/>
      <c r="H421" s="52"/>
      <c r="I421" s="57"/>
      <c r="J421" s="52"/>
      <c r="K421" s="57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</row>
    <row r="422" ht="12.75" customHeight="1">
      <c r="A422" s="52"/>
      <c r="B422" s="53"/>
      <c r="C422" s="52"/>
      <c r="D422" s="52"/>
      <c r="E422" s="52"/>
      <c r="F422" s="12"/>
      <c r="G422" s="52"/>
      <c r="H422" s="52"/>
      <c r="I422" s="57"/>
      <c r="J422" s="52"/>
      <c r="K422" s="57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</row>
    <row r="423" ht="12.75" customHeight="1">
      <c r="A423" s="52"/>
      <c r="B423" s="53"/>
      <c r="C423" s="52"/>
      <c r="D423" s="52"/>
      <c r="E423" s="52"/>
      <c r="F423" s="12"/>
      <c r="G423" s="52"/>
      <c r="H423" s="52"/>
      <c r="I423" s="57"/>
      <c r="J423" s="52"/>
      <c r="K423" s="57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</row>
    <row r="424" ht="12.75" customHeight="1">
      <c r="A424" s="52"/>
      <c r="B424" s="53"/>
      <c r="C424" s="52"/>
      <c r="D424" s="52"/>
      <c r="E424" s="52"/>
      <c r="F424" s="12"/>
      <c r="G424" s="52"/>
      <c r="H424" s="52"/>
      <c r="I424" s="57"/>
      <c r="J424" s="52"/>
      <c r="K424" s="57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</row>
    <row r="425" ht="12.75" customHeight="1">
      <c r="A425" s="52"/>
      <c r="B425" s="53"/>
      <c r="C425" s="52"/>
      <c r="D425" s="52"/>
      <c r="E425" s="52"/>
      <c r="F425" s="12"/>
      <c r="G425" s="52"/>
      <c r="H425" s="52"/>
      <c r="I425" s="57"/>
      <c r="J425" s="52"/>
      <c r="K425" s="57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</row>
    <row r="426" ht="12.75" customHeight="1">
      <c r="A426" s="52"/>
      <c r="B426" s="53"/>
      <c r="C426" s="52"/>
      <c r="D426" s="52"/>
      <c r="E426" s="52"/>
      <c r="F426" s="12"/>
      <c r="G426" s="52"/>
      <c r="H426" s="52"/>
      <c r="I426" s="57"/>
      <c r="J426" s="52"/>
      <c r="K426" s="57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</row>
    <row r="427" ht="12.75" customHeight="1">
      <c r="A427" s="52"/>
      <c r="B427" s="53"/>
      <c r="C427" s="52"/>
      <c r="D427" s="52"/>
      <c r="E427" s="52"/>
      <c r="F427" s="12"/>
      <c r="G427" s="52"/>
      <c r="H427" s="52"/>
      <c r="I427" s="57"/>
      <c r="J427" s="52"/>
      <c r="K427" s="57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 ht="12.75" customHeight="1">
      <c r="A428" s="52"/>
      <c r="B428" s="53"/>
      <c r="C428" s="52"/>
      <c r="D428" s="52"/>
      <c r="E428" s="52"/>
      <c r="F428" s="12"/>
      <c r="G428" s="52"/>
      <c r="H428" s="52"/>
      <c r="I428" s="57"/>
      <c r="J428" s="52"/>
      <c r="K428" s="57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</row>
    <row r="429" ht="12.75" customHeight="1">
      <c r="A429" s="52"/>
      <c r="B429" s="53"/>
      <c r="C429" s="52"/>
      <c r="D429" s="52"/>
      <c r="E429" s="52"/>
      <c r="F429" s="12"/>
      <c r="G429" s="52"/>
      <c r="H429" s="52"/>
      <c r="I429" s="57"/>
      <c r="J429" s="52"/>
      <c r="K429" s="57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</row>
    <row r="430" ht="12.75" customHeight="1">
      <c r="A430" s="52"/>
      <c r="B430" s="53"/>
      <c r="C430" s="52"/>
      <c r="D430" s="52"/>
      <c r="E430" s="52"/>
      <c r="F430" s="12"/>
      <c r="G430" s="52"/>
      <c r="H430" s="52"/>
      <c r="I430" s="57"/>
      <c r="J430" s="52"/>
      <c r="K430" s="57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</row>
    <row r="431" ht="12.75" customHeight="1">
      <c r="A431" s="52"/>
      <c r="B431" s="53"/>
      <c r="C431" s="52"/>
      <c r="D431" s="52"/>
      <c r="E431" s="52"/>
      <c r="F431" s="12"/>
      <c r="G431" s="52"/>
      <c r="H431" s="52"/>
      <c r="I431" s="57"/>
      <c r="J431" s="52"/>
      <c r="K431" s="57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</row>
    <row r="432" ht="12.75" customHeight="1">
      <c r="A432" s="52"/>
      <c r="B432" s="53"/>
      <c r="C432" s="52"/>
      <c r="D432" s="52"/>
      <c r="E432" s="52"/>
      <c r="F432" s="12"/>
      <c r="G432" s="52"/>
      <c r="H432" s="52"/>
      <c r="I432" s="57"/>
      <c r="J432" s="52"/>
      <c r="K432" s="57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</row>
    <row r="433" ht="12.75" customHeight="1">
      <c r="A433" s="52"/>
      <c r="B433" s="53"/>
      <c r="C433" s="52"/>
      <c r="D433" s="52"/>
      <c r="E433" s="52"/>
      <c r="F433" s="12"/>
      <c r="G433" s="52"/>
      <c r="H433" s="52"/>
      <c r="I433" s="57"/>
      <c r="J433" s="52"/>
      <c r="K433" s="57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</row>
    <row r="434" ht="12.75" customHeight="1">
      <c r="A434" s="52"/>
      <c r="B434" s="53"/>
      <c r="C434" s="52"/>
      <c r="D434" s="52"/>
      <c r="E434" s="52"/>
      <c r="F434" s="12"/>
      <c r="G434" s="52"/>
      <c r="H434" s="52"/>
      <c r="I434" s="57"/>
      <c r="J434" s="52"/>
      <c r="K434" s="57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</row>
    <row r="435" ht="12.75" customHeight="1">
      <c r="A435" s="52"/>
      <c r="B435" s="53"/>
      <c r="C435" s="52"/>
      <c r="D435" s="52"/>
      <c r="E435" s="52"/>
      <c r="F435" s="12"/>
      <c r="G435" s="52"/>
      <c r="H435" s="52"/>
      <c r="I435" s="57"/>
      <c r="J435" s="52"/>
      <c r="K435" s="57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</row>
    <row r="436" ht="12.75" customHeight="1">
      <c r="A436" s="52"/>
      <c r="B436" s="53"/>
      <c r="C436" s="52"/>
      <c r="D436" s="52"/>
      <c r="E436" s="52"/>
      <c r="F436" s="12"/>
      <c r="G436" s="52"/>
      <c r="H436" s="52"/>
      <c r="I436" s="57"/>
      <c r="J436" s="52"/>
      <c r="K436" s="57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</row>
    <row r="437" ht="12.75" customHeight="1">
      <c r="A437" s="52"/>
      <c r="B437" s="53"/>
      <c r="C437" s="52"/>
      <c r="D437" s="52"/>
      <c r="E437" s="52"/>
      <c r="F437" s="12"/>
      <c r="G437" s="52"/>
      <c r="H437" s="52"/>
      <c r="I437" s="57"/>
      <c r="J437" s="52"/>
      <c r="K437" s="57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</row>
    <row r="438" ht="12.75" customHeight="1">
      <c r="A438" s="52"/>
      <c r="B438" s="53"/>
      <c r="C438" s="52"/>
      <c r="D438" s="52"/>
      <c r="E438" s="52"/>
      <c r="F438" s="12"/>
      <c r="G438" s="52"/>
      <c r="H438" s="52"/>
      <c r="I438" s="57"/>
      <c r="J438" s="52"/>
      <c r="K438" s="57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</row>
    <row r="439" ht="12.75" customHeight="1">
      <c r="A439" s="52"/>
      <c r="B439" s="53"/>
      <c r="C439" s="52"/>
      <c r="D439" s="52"/>
      <c r="E439" s="52"/>
      <c r="F439" s="12"/>
      <c r="G439" s="52"/>
      <c r="H439" s="52"/>
      <c r="I439" s="57"/>
      <c r="J439" s="52"/>
      <c r="K439" s="57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</row>
    <row r="440" ht="12.75" customHeight="1">
      <c r="A440" s="52"/>
      <c r="B440" s="53"/>
      <c r="C440" s="52"/>
      <c r="D440" s="52"/>
      <c r="E440" s="52"/>
      <c r="F440" s="12"/>
      <c r="G440" s="52"/>
      <c r="H440" s="52"/>
      <c r="I440" s="57"/>
      <c r="J440" s="52"/>
      <c r="K440" s="57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</row>
    <row r="441" ht="12.75" customHeight="1">
      <c r="A441" s="52"/>
      <c r="B441" s="53"/>
      <c r="C441" s="52"/>
      <c r="D441" s="52"/>
      <c r="E441" s="52"/>
      <c r="F441" s="12"/>
      <c r="G441" s="52"/>
      <c r="H441" s="52"/>
      <c r="I441" s="57"/>
      <c r="J441" s="52"/>
      <c r="K441" s="57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</row>
    <row r="442" ht="12.75" customHeight="1">
      <c r="A442" s="52"/>
      <c r="B442" s="53"/>
      <c r="C442" s="52"/>
      <c r="D442" s="52"/>
      <c r="E442" s="52"/>
      <c r="F442" s="12"/>
      <c r="G442" s="52"/>
      <c r="H442" s="52"/>
      <c r="I442" s="57"/>
      <c r="J442" s="52"/>
      <c r="K442" s="57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</row>
    <row r="443" ht="12.75" customHeight="1">
      <c r="A443" s="52"/>
      <c r="B443" s="53"/>
      <c r="C443" s="52"/>
      <c r="D443" s="52"/>
      <c r="E443" s="52"/>
      <c r="F443" s="12"/>
      <c r="G443" s="52"/>
      <c r="H443" s="52"/>
      <c r="I443" s="57"/>
      <c r="J443" s="52"/>
      <c r="K443" s="57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 ht="12.75" customHeight="1">
      <c r="A444" s="52"/>
      <c r="B444" s="53"/>
      <c r="C444" s="52"/>
      <c r="D444" s="52"/>
      <c r="E444" s="52"/>
      <c r="F444" s="12"/>
      <c r="G444" s="52"/>
      <c r="H444" s="52"/>
      <c r="I444" s="57"/>
      <c r="J444" s="52"/>
      <c r="K444" s="57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</row>
    <row r="445" ht="12.75" customHeight="1">
      <c r="A445" s="52"/>
      <c r="B445" s="53"/>
      <c r="C445" s="52"/>
      <c r="D445" s="52"/>
      <c r="E445" s="52"/>
      <c r="F445" s="12"/>
      <c r="G445" s="52"/>
      <c r="H445" s="52"/>
      <c r="I445" s="57"/>
      <c r="J445" s="52"/>
      <c r="K445" s="57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</row>
    <row r="446" ht="12.75" customHeight="1">
      <c r="A446" s="52"/>
      <c r="B446" s="53"/>
      <c r="C446" s="52"/>
      <c r="D446" s="52"/>
      <c r="E446" s="52"/>
      <c r="F446" s="12"/>
      <c r="G446" s="52"/>
      <c r="H446" s="52"/>
      <c r="I446" s="57"/>
      <c r="J446" s="52"/>
      <c r="K446" s="57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</row>
    <row r="447" ht="12.75" customHeight="1">
      <c r="A447" s="52"/>
      <c r="B447" s="53"/>
      <c r="C447" s="52"/>
      <c r="D447" s="52"/>
      <c r="E447" s="52"/>
      <c r="F447" s="12"/>
      <c r="G447" s="52"/>
      <c r="H447" s="52"/>
      <c r="I447" s="57"/>
      <c r="J447" s="52"/>
      <c r="K447" s="57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</row>
    <row r="448" ht="12.75" customHeight="1">
      <c r="A448" s="52"/>
      <c r="B448" s="53"/>
      <c r="C448" s="52"/>
      <c r="D448" s="52"/>
      <c r="E448" s="52"/>
      <c r="F448" s="12"/>
      <c r="G448" s="52"/>
      <c r="H448" s="52"/>
      <c r="I448" s="57"/>
      <c r="J448" s="52"/>
      <c r="K448" s="57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</row>
    <row r="449" ht="12.75" customHeight="1">
      <c r="A449" s="52"/>
      <c r="B449" s="53"/>
      <c r="C449" s="52"/>
      <c r="D449" s="52"/>
      <c r="E449" s="52"/>
      <c r="F449" s="12"/>
      <c r="G449" s="52"/>
      <c r="H449" s="52"/>
      <c r="I449" s="57"/>
      <c r="J449" s="52"/>
      <c r="K449" s="57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</row>
    <row r="450" ht="12.75" customHeight="1">
      <c r="A450" s="52"/>
      <c r="B450" s="53"/>
      <c r="C450" s="52"/>
      <c r="D450" s="52"/>
      <c r="E450" s="52"/>
      <c r="F450" s="12"/>
      <c r="G450" s="52"/>
      <c r="H450" s="52"/>
      <c r="I450" s="57"/>
      <c r="J450" s="52"/>
      <c r="K450" s="57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 ht="12.75" customHeight="1">
      <c r="A451" s="52"/>
      <c r="B451" s="53"/>
      <c r="C451" s="52"/>
      <c r="D451" s="52"/>
      <c r="E451" s="52"/>
      <c r="F451" s="12"/>
      <c r="G451" s="52"/>
      <c r="H451" s="52"/>
      <c r="I451" s="57"/>
      <c r="J451" s="52"/>
      <c r="K451" s="57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</row>
    <row r="452" ht="12.75" customHeight="1">
      <c r="A452" s="52"/>
      <c r="B452" s="53"/>
      <c r="C452" s="52"/>
      <c r="D452" s="52"/>
      <c r="E452" s="52"/>
      <c r="F452" s="12"/>
      <c r="G452" s="52"/>
      <c r="H452" s="52"/>
      <c r="I452" s="57"/>
      <c r="J452" s="52"/>
      <c r="K452" s="57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</row>
    <row r="453" ht="12.75" customHeight="1">
      <c r="A453" s="52"/>
      <c r="B453" s="53"/>
      <c r="C453" s="52"/>
      <c r="D453" s="52"/>
      <c r="E453" s="52"/>
      <c r="F453" s="12"/>
      <c r="G453" s="52"/>
      <c r="H453" s="52"/>
      <c r="I453" s="57"/>
      <c r="J453" s="52"/>
      <c r="K453" s="57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</row>
    <row r="454" ht="12.75" customHeight="1">
      <c r="A454" s="52"/>
      <c r="B454" s="53"/>
      <c r="C454" s="52"/>
      <c r="D454" s="52"/>
      <c r="E454" s="52"/>
      <c r="F454" s="12"/>
      <c r="G454" s="52"/>
      <c r="H454" s="52"/>
      <c r="I454" s="57"/>
      <c r="J454" s="52"/>
      <c r="K454" s="57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</row>
    <row r="455" ht="12.75" customHeight="1">
      <c r="A455" s="52"/>
      <c r="B455" s="53"/>
      <c r="C455" s="52"/>
      <c r="D455" s="52"/>
      <c r="E455" s="52"/>
      <c r="F455" s="12"/>
      <c r="G455" s="52"/>
      <c r="H455" s="52"/>
      <c r="I455" s="57"/>
      <c r="J455" s="52"/>
      <c r="K455" s="57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</row>
    <row r="456" ht="12.75" customHeight="1">
      <c r="A456" s="52"/>
      <c r="B456" s="53"/>
      <c r="C456" s="52"/>
      <c r="D456" s="52"/>
      <c r="E456" s="52"/>
      <c r="F456" s="12"/>
      <c r="G456" s="52"/>
      <c r="H456" s="52"/>
      <c r="I456" s="57"/>
      <c r="J456" s="52"/>
      <c r="K456" s="57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</row>
    <row r="457" ht="12.75" customHeight="1">
      <c r="A457" s="52"/>
      <c r="B457" s="53"/>
      <c r="C457" s="52"/>
      <c r="D457" s="52"/>
      <c r="E457" s="52"/>
      <c r="F457" s="12"/>
      <c r="G457" s="52"/>
      <c r="H457" s="52"/>
      <c r="I457" s="57"/>
      <c r="J457" s="52"/>
      <c r="K457" s="57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</row>
    <row r="458" ht="12.75" customHeight="1">
      <c r="A458" s="52"/>
      <c r="B458" s="53"/>
      <c r="C458" s="52"/>
      <c r="D458" s="52"/>
      <c r="E458" s="52"/>
      <c r="F458" s="12"/>
      <c r="G458" s="52"/>
      <c r="H458" s="52"/>
      <c r="I458" s="57"/>
      <c r="J458" s="52"/>
      <c r="K458" s="57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</row>
    <row r="459" ht="12.75" customHeight="1">
      <c r="A459" s="52"/>
      <c r="B459" s="53"/>
      <c r="C459" s="52"/>
      <c r="D459" s="52"/>
      <c r="E459" s="52"/>
      <c r="F459" s="12"/>
      <c r="G459" s="52"/>
      <c r="H459" s="52"/>
      <c r="I459" s="57"/>
      <c r="J459" s="52"/>
      <c r="K459" s="57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</row>
    <row r="460" ht="12.75" customHeight="1">
      <c r="A460" s="52"/>
      <c r="B460" s="53"/>
      <c r="C460" s="52"/>
      <c r="D460" s="52"/>
      <c r="E460" s="52"/>
      <c r="F460" s="12"/>
      <c r="G460" s="52"/>
      <c r="H460" s="52"/>
      <c r="I460" s="57"/>
      <c r="J460" s="52"/>
      <c r="K460" s="57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</row>
    <row r="461" ht="12.75" customHeight="1">
      <c r="A461" s="52"/>
      <c r="B461" s="53"/>
      <c r="C461" s="52"/>
      <c r="D461" s="52"/>
      <c r="E461" s="52"/>
      <c r="F461" s="12"/>
      <c r="G461" s="52"/>
      <c r="H461" s="52"/>
      <c r="I461" s="57"/>
      <c r="J461" s="52"/>
      <c r="K461" s="57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</row>
    <row r="462" ht="12.75" customHeight="1">
      <c r="A462" s="52"/>
      <c r="B462" s="53"/>
      <c r="C462" s="52"/>
      <c r="D462" s="52"/>
      <c r="E462" s="52"/>
      <c r="F462" s="12"/>
      <c r="G462" s="52"/>
      <c r="H462" s="52"/>
      <c r="I462" s="57"/>
      <c r="J462" s="52"/>
      <c r="K462" s="57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</row>
    <row r="463" ht="12.75" customHeight="1">
      <c r="A463" s="52"/>
      <c r="B463" s="53"/>
      <c r="C463" s="52"/>
      <c r="D463" s="52"/>
      <c r="E463" s="52"/>
      <c r="F463" s="12"/>
      <c r="G463" s="52"/>
      <c r="H463" s="52"/>
      <c r="I463" s="57"/>
      <c r="J463" s="52"/>
      <c r="K463" s="57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</row>
    <row r="464" ht="12.75" customHeight="1">
      <c r="A464" s="52"/>
      <c r="B464" s="53"/>
      <c r="C464" s="52"/>
      <c r="D464" s="52"/>
      <c r="E464" s="52"/>
      <c r="F464" s="12"/>
      <c r="G464" s="52"/>
      <c r="H464" s="52"/>
      <c r="I464" s="57"/>
      <c r="J464" s="52"/>
      <c r="K464" s="57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</row>
    <row r="465" ht="12.75" customHeight="1">
      <c r="A465" s="52"/>
      <c r="B465" s="53"/>
      <c r="C465" s="52"/>
      <c r="D465" s="52"/>
      <c r="E465" s="52"/>
      <c r="F465" s="12"/>
      <c r="G465" s="52"/>
      <c r="H465" s="52"/>
      <c r="I465" s="57"/>
      <c r="J465" s="52"/>
      <c r="K465" s="57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</row>
    <row r="466" ht="12.75" customHeight="1">
      <c r="A466" s="52"/>
      <c r="B466" s="53"/>
      <c r="C466" s="52"/>
      <c r="D466" s="52"/>
      <c r="E466" s="52"/>
      <c r="F466" s="12"/>
      <c r="G466" s="52"/>
      <c r="H466" s="52"/>
      <c r="I466" s="57"/>
      <c r="J466" s="52"/>
      <c r="K466" s="57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</row>
    <row r="467" ht="12.75" customHeight="1">
      <c r="A467" s="52"/>
      <c r="B467" s="53"/>
      <c r="C467" s="52"/>
      <c r="D467" s="52"/>
      <c r="E467" s="52"/>
      <c r="F467" s="12"/>
      <c r="G467" s="52"/>
      <c r="H467" s="52"/>
      <c r="I467" s="57"/>
      <c r="J467" s="52"/>
      <c r="K467" s="57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</row>
    <row r="468" ht="12.75" customHeight="1">
      <c r="A468" s="52"/>
      <c r="B468" s="53"/>
      <c r="C468" s="52"/>
      <c r="D468" s="52"/>
      <c r="E468" s="52"/>
      <c r="F468" s="12"/>
      <c r="G468" s="52"/>
      <c r="H468" s="52"/>
      <c r="I468" s="57"/>
      <c r="J468" s="52"/>
      <c r="K468" s="57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</row>
    <row r="469" ht="12.75" customHeight="1">
      <c r="A469" s="52"/>
      <c r="B469" s="53"/>
      <c r="C469" s="52"/>
      <c r="D469" s="52"/>
      <c r="E469" s="52"/>
      <c r="F469" s="12"/>
      <c r="G469" s="52"/>
      <c r="H469" s="52"/>
      <c r="I469" s="57"/>
      <c r="J469" s="52"/>
      <c r="K469" s="57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</row>
    <row r="470" ht="12.75" customHeight="1">
      <c r="A470" s="52"/>
      <c r="B470" s="53"/>
      <c r="C470" s="52"/>
      <c r="D470" s="52"/>
      <c r="E470" s="52"/>
      <c r="F470" s="12"/>
      <c r="G470" s="52"/>
      <c r="H470" s="52"/>
      <c r="I470" s="57"/>
      <c r="J470" s="52"/>
      <c r="K470" s="57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</row>
    <row r="471" ht="12.75" customHeight="1">
      <c r="A471" s="52"/>
      <c r="B471" s="53"/>
      <c r="C471" s="52"/>
      <c r="D471" s="52"/>
      <c r="E471" s="52"/>
      <c r="F471" s="12"/>
      <c r="G471" s="52"/>
      <c r="H471" s="52"/>
      <c r="I471" s="57"/>
      <c r="J471" s="52"/>
      <c r="K471" s="57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</row>
    <row r="472" ht="12.75" customHeight="1">
      <c r="A472" s="52"/>
      <c r="B472" s="53"/>
      <c r="C472" s="52"/>
      <c r="D472" s="52"/>
      <c r="E472" s="52"/>
      <c r="F472" s="12"/>
      <c r="G472" s="52"/>
      <c r="H472" s="52"/>
      <c r="I472" s="57"/>
      <c r="J472" s="52"/>
      <c r="K472" s="57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</row>
    <row r="473" ht="12.75" customHeight="1">
      <c r="A473" s="52"/>
      <c r="B473" s="53"/>
      <c r="C473" s="52"/>
      <c r="D473" s="52"/>
      <c r="E473" s="52"/>
      <c r="F473" s="12"/>
      <c r="G473" s="52"/>
      <c r="H473" s="52"/>
      <c r="I473" s="57"/>
      <c r="J473" s="52"/>
      <c r="K473" s="57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</row>
    <row r="474" ht="12.75" customHeight="1">
      <c r="A474" s="52"/>
      <c r="B474" s="53"/>
      <c r="C474" s="52"/>
      <c r="D474" s="52"/>
      <c r="E474" s="52"/>
      <c r="F474" s="12"/>
      <c r="G474" s="52"/>
      <c r="H474" s="52"/>
      <c r="I474" s="57"/>
      <c r="J474" s="52"/>
      <c r="K474" s="57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</row>
    <row r="475" ht="12.75" customHeight="1">
      <c r="A475" s="52"/>
      <c r="B475" s="53"/>
      <c r="C475" s="52"/>
      <c r="D475" s="52"/>
      <c r="E475" s="52"/>
      <c r="F475" s="12"/>
      <c r="G475" s="52"/>
      <c r="H475" s="52"/>
      <c r="I475" s="57"/>
      <c r="J475" s="52"/>
      <c r="K475" s="57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</row>
    <row r="476" ht="12.75" customHeight="1">
      <c r="A476" s="52"/>
      <c r="B476" s="53"/>
      <c r="C476" s="52"/>
      <c r="D476" s="52"/>
      <c r="E476" s="52"/>
      <c r="F476" s="12"/>
      <c r="G476" s="52"/>
      <c r="H476" s="52"/>
      <c r="I476" s="57"/>
      <c r="J476" s="52"/>
      <c r="K476" s="57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</row>
    <row r="477" ht="12.75" customHeight="1">
      <c r="A477" s="52"/>
      <c r="B477" s="53"/>
      <c r="C477" s="52"/>
      <c r="D477" s="52"/>
      <c r="E477" s="52"/>
      <c r="F477" s="12"/>
      <c r="G477" s="52"/>
      <c r="H477" s="52"/>
      <c r="I477" s="57"/>
      <c r="J477" s="52"/>
      <c r="K477" s="57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</row>
    <row r="478" ht="12.75" customHeight="1">
      <c r="A478" s="52"/>
      <c r="B478" s="53"/>
      <c r="C478" s="52"/>
      <c r="D478" s="52"/>
      <c r="E478" s="52"/>
      <c r="F478" s="12"/>
      <c r="G478" s="52"/>
      <c r="H478" s="52"/>
      <c r="I478" s="57"/>
      <c r="J478" s="52"/>
      <c r="K478" s="57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</row>
    <row r="479" ht="12.75" customHeight="1">
      <c r="A479" s="52"/>
      <c r="B479" s="53"/>
      <c r="C479" s="52"/>
      <c r="D479" s="52"/>
      <c r="E479" s="52"/>
      <c r="F479" s="12"/>
      <c r="G479" s="52"/>
      <c r="H479" s="52"/>
      <c r="I479" s="57"/>
      <c r="J479" s="52"/>
      <c r="K479" s="57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</row>
    <row r="480" ht="12.75" customHeight="1">
      <c r="A480" s="52"/>
      <c r="B480" s="53"/>
      <c r="C480" s="52"/>
      <c r="D480" s="52"/>
      <c r="E480" s="52"/>
      <c r="F480" s="12"/>
      <c r="G480" s="52"/>
      <c r="H480" s="52"/>
      <c r="I480" s="57"/>
      <c r="J480" s="52"/>
      <c r="K480" s="57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</row>
    <row r="481" ht="12.75" customHeight="1">
      <c r="A481" s="52"/>
      <c r="B481" s="53"/>
      <c r="C481" s="52"/>
      <c r="D481" s="52"/>
      <c r="E481" s="52"/>
      <c r="F481" s="12"/>
      <c r="G481" s="52"/>
      <c r="H481" s="52"/>
      <c r="I481" s="57"/>
      <c r="J481" s="52"/>
      <c r="K481" s="57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</row>
    <row r="482" ht="12.75" customHeight="1">
      <c r="A482" s="52"/>
      <c r="B482" s="53"/>
      <c r="C482" s="52"/>
      <c r="D482" s="52"/>
      <c r="E482" s="52"/>
      <c r="F482" s="12"/>
      <c r="G482" s="52"/>
      <c r="H482" s="52"/>
      <c r="I482" s="57"/>
      <c r="J482" s="52"/>
      <c r="K482" s="57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</row>
    <row r="483" ht="12.75" customHeight="1">
      <c r="A483" s="52"/>
      <c r="B483" s="53"/>
      <c r="C483" s="52"/>
      <c r="D483" s="52"/>
      <c r="E483" s="52"/>
      <c r="F483" s="12"/>
      <c r="G483" s="52"/>
      <c r="H483" s="52"/>
      <c r="I483" s="57"/>
      <c r="J483" s="52"/>
      <c r="K483" s="57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</row>
    <row r="484" ht="12.75" customHeight="1">
      <c r="A484" s="52"/>
      <c r="B484" s="53"/>
      <c r="C484" s="52"/>
      <c r="D484" s="52"/>
      <c r="E484" s="52"/>
      <c r="F484" s="12"/>
      <c r="G484" s="52"/>
      <c r="H484" s="52"/>
      <c r="I484" s="57"/>
      <c r="J484" s="52"/>
      <c r="K484" s="57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</row>
    <row r="485" ht="12.75" customHeight="1">
      <c r="A485" s="52"/>
      <c r="B485" s="53"/>
      <c r="C485" s="52"/>
      <c r="D485" s="52"/>
      <c r="E485" s="52"/>
      <c r="F485" s="12"/>
      <c r="G485" s="52"/>
      <c r="H485" s="52"/>
      <c r="I485" s="57"/>
      <c r="J485" s="52"/>
      <c r="K485" s="57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</row>
    <row r="486" ht="12.75" customHeight="1">
      <c r="A486" s="52"/>
      <c r="B486" s="53"/>
      <c r="C486" s="52"/>
      <c r="D486" s="52"/>
      <c r="E486" s="52"/>
      <c r="F486" s="12"/>
      <c r="G486" s="52"/>
      <c r="H486" s="52"/>
      <c r="I486" s="57"/>
      <c r="J486" s="52"/>
      <c r="K486" s="57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</row>
    <row r="487" ht="12.75" customHeight="1">
      <c r="A487" s="52"/>
      <c r="B487" s="53"/>
      <c r="C487" s="52"/>
      <c r="D487" s="52"/>
      <c r="E487" s="52"/>
      <c r="F487" s="12"/>
      <c r="G487" s="52"/>
      <c r="H487" s="52"/>
      <c r="I487" s="57"/>
      <c r="J487" s="52"/>
      <c r="K487" s="57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</row>
    <row r="488" ht="12.75" customHeight="1">
      <c r="A488" s="52"/>
      <c r="B488" s="53"/>
      <c r="C488" s="52"/>
      <c r="D488" s="52"/>
      <c r="E488" s="52"/>
      <c r="F488" s="12"/>
      <c r="G488" s="52"/>
      <c r="H488" s="52"/>
      <c r="I488" s="57"/>
      <c r="J488" s="52"/>
      <c r="K488" s="57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</row>
    <row r="489" ht="12.75" customHeight="1">
      <c r="A489" s="52"/>
      <c r="B489" s="53"/>
      <c r="C489" s="52"/>
      <c r="D489" s="52"/>
      <c r="E489" s="52"/>
      <c r="F489" s="12"/>
      <c r="G489" s="52"/>
      <c r="H489" s="52"/>
      <c r="I489" s="57"/>
      <c r="J489" s="52"/>
      <c r="K489" s="57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</row>
    <row r="490" ht="12.75" customHeight="1">
      <c r="A490" s="52"/>
      <c r="B490" s="53"/>
      <c r="C490" s="52"/>
      <c r="D490" s="52"/>
      <c r="E490" s="52"/>
      <c r="F490" s="12"/>
      <c r="G490" s="52"/>
      <c r="H490" s="52"/>
      <c r="I490" s="57"/>
      <c r="J490" s="52"/>
      <c r="K490" s="57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</row>
    <row r="491" ht="12.75" customHeight="1">
      <c r="A491" s="52"/>
      <c r="B491" s="53"/>
      <c r="C491" s="52"/>
      <c r="D491" s="52"/>
      <c r="E491" s="52"/>
      <c r="F491" s="12"/>
      <c r="G491" s="52"/>
      <c r="H491" s="52"/>
      <c r="I491" s="57"/>
      <c r="J491" s="52"/>
      <c r="K491" s="57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</row>
    <row r="492" ht="12.75" customHeight="1">
      <c r="A492" s="52"/>
      <c r="B492" s="53"/>
      <c r="C492" s="52"/>
      <c r="D492" s="52"/>
      <c r="E492" s="52"/>
      <c r="F492" s="12"/>
      <c r="G492" s="52"/>
      <c r="H492" s="52"/>
      <c r="I492" s="57"/>
      <c r="J492" s="52"/>
      <c r="K492" s="57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</row>
    <row r="493" ht="12.75" customHeight="1">
      <c r="A493" s="52"/>
      <c r="B493" s="53"/>
      <c r="C493" s="52"/>
      <c r="D493" s="52"/>
      <c r="E493" s="52"/>
      <c r="F493" s="12"/>
      <c r="G493" s="52"/>
      <c r="H493" s="52"/>
      <c r="I493" s="57"/>
      <c r="J493" s="52"/>
      <c r="K493" s="57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</row>
    <row r="494" ht="12.75" customHeight="1">
      <c r="A494" s="52"/>
      <c r="B494" s="53"/>
      <c r="C494" s="52"/>
      <c r="D494" s="52"/>
      <c r="E494" s="52"/>
      <c r="F494" s="12"/>
      <c r="G494" s="52"/>
      <c r="H494" s="52"/>
      <c r="I494" s="57"/>
      <c r="J494" s="52"/>
      <c r="K494" s="57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</row>
    <row r="495" ht="12.75" customHeight="1">
      <c r="A495" s="52"/>
      <c r="B495" s="53"/>
      <c r="C495" s="52"/>
      <c r="D495" s="52"/>
      <c r="E495" s="52"/>
      <c r="F495" s="12"/>
      <c r="G495" s="52"/>
      <c r="H495" s="52"/>
      <c r="I495" s="57"/>
      <c r="J495" s="52"/>
      <c r="K495" s="57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</row>
    <row r="496" ht="12.75" customHeight="1">
      <c r="A496" s="52"/>
      <c r="B496" s="53"/>
      <c r="C496" s="52"/>
      <c r="D496" s="52"/>
      <c r="E496" s="52"/>
      <c r="F496" s="12"/>
      <c r="G496" s="52"/>
      <c r="H496" s="52"/>
      <c r="I496" s="57"/>
      <c r="J496" s="52"/>
      <c r="K496" s="57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</row>
    <row r="497" ht="12.75" customHeight="1">
      <c r="A497" s="52"/>
      <c r="B497" s="53"/>
      <c r="C497" s="52"/>
      <c r="D497" s="52"/>
      <c r="E497" s="52"/>
      <c r="F497" s="12"/>
      <c r="G497" s="52"/>
      <c r="H497" s="52"/>
      <c r="I497" s="57"/>
      <c r="J497" s="52"/>
      <c r="K497" s="57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</row>
    <row r="498" ht="12.75" customHeight="1">
      <c r="A498" s="52"/>
      <c r="B498" s="53"/>
      <c r="C498" s="52"/>
      <c r="D498" s="52"/>
      <c r="E498" s="52"/>
      <c r="F498" s="12"/>
      <c r="G498" s="52"/>
      <c r="H498" s="52"/>
      <c r="I498" s="57"/>
      <c r="J498" s="52"/>
      <c r="K498" s="57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</row>
    <row r="499" ht="12.75" customHeight="1">
      <c r="A499" s="52"/>
      <c r="B499" s="53"/>
      <c r="C499" s="52"/>
      <c r="D499" s="52"/>
      <c r="E499" s="52"/>
      <c r="F499" s="12"/>
      <c r="G499" s="52"/>
      <c r="H499" s="52"/>
      <c r="I499" s="57"/>
      <c r="J499" s="52"/>
      <c r="K499" s="57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</row>
    <row r="500" ht="12.75" customHeight="1">
      <c r="A500" s="52"/>
      <c r="B500" s="53"/>
      <c r="C500" s="52"/>
      <c r="D500" s="52"/>
      <c r="E500" s="52"/>
      <c r="F500" s="12"/>
      <c r="G500" s="52"/>
      <c r="H500" s="52"/>
      <c r="I500" s="57"/>
      <c r="J500" s="52"/>
      <c r="K500" s="57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</row>
    <row r="501" ht="12.75" customHeight="1">
      <c r="A501" s="52"/>
      <c r="B501" s="53"/>
      <c r="C501" s="52"/>
      <c r="D501" s="52"/>
      <c r="E501" s="52"/>
      <c r="F501" s="12"/>
      <c r="G501" s="52"/>
      <c r="H501" s="52"/>
      <c r="I501" s="57"/>
      <c r="J501" s="52"/>
      <c r="K501" s="57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</row>
    <row r="502" ht="12.75" customHeight="1">
      <c r="A502" s="52"/>
      <c r="B502" s="53"/>
      <c r="C502" s="52"/>
      <c r="D502" s="52"/>
      <c r="E502" s="52"/>
      <c r="F502" s="12"/>
      <c r="G502" s="52"/>
      <c r="H502" s="52"/>
      <c r="I502" s="57"/>
      <c r="J502" s="52"/>
      <c r="K502" s="57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</row>
    <row r="503" ht="12.75" customHeight="1">
      <c r="A503" s="52"/>
      <c r="B503" s="53"/>
      <c r="C503" s="52"/>
      <c r="D503" s="52"/>
      <c r="E503" s="52"/>
      <c r="F503" s="12"/>
      <c r="G503" s="52"/>
      <c r="H503" s="52"/>
      <c r="I503" s="57"/>
      <c r="J503" s="52"/>
      <c r="K503" s="57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</row>
    <row r="504" ht="12.75" customHeight="1">
      <c r="A504" s="52"/>
      <c r="B504" s="53"/>
      <c r="C504" s="52"/>
      <c r="D504" s="52"/>
      <c r="E504" s="52"/>
      <c r="F504" s="12"/>
      <c r="G504" s="52"/>
      <c r="H504" s="52"/>
      <c r="I504" s="57"/>
      <c r="J504" s="52"/>
      <c r="K504" s="57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</row>
    <row r="505" ht="12.75" customHeight="1">
      <c r="A505" s="52"/>
      <c r="B505" s="53"/>
      <c r="C505" s="52"/>
      <c r="D505" s="52"/>
      <c r="E505" s="52"/>
      <c r="F505" s="12"/>
      <c r="G505" s="52"/>
      <c r="H505" s="52"/>
      <c r="I505" s="57"/>
      <c r="J505" s="52"/>
      <c r="K505" s="57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</row>
    <row r="506" ht="12.75" customHeight="1">
      <c r="A506" s="52"/>
      <c r="B506" s="53"/>
      <c r="C506" s="52"/>
      <c r="D506" s="52"/>
      <c r="E506" s="52"/>
      <c r="F506" s="12"/>
      <c r="G506" s="52"/>
      <c r="H506" s="52"/>
      <c r="I506" s="57"/>
      <c r="J506" s="52"/>
      <c r="K506" s="57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</row>
    <row r="507" ht="12.75" customHeight="1">
      <c r="A507" s="52"/>
      <c r="B507" s="53"/>
      <c r="C507" s="52"/>
      <c r="D507" s="52"/>
      <c r="E507" s="52"/>
      <c r="F507" s="12"/>
      <c r="G507" s="52"/>
      <c r="H507" s="52"/>
      <c r="I507" s="57"/>
      <c r="J507" s="52"/>
      <c r="K507" s="57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</row>
    <row r="508" ht="12.75" customHeight="1">
      <c r="A508" s="52"/>
      <c r="B508" s="53"/>
      <c r="C508" s="52"/>
      <c r="D508" s="52"/>
      <c r="E508" s="52"/>
      <c r="F508" s="12"/>
      <c r="G508" s="52"/>
      <c r="H508" s="52"/>
      <c r="I508" s="57"/>
      <c r="J508" s="52"/>
      <c r="K508" s="57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</row>
    <row r="509" ht="12.75" customHeight="1">
      <c r="A509" s="52"/>
      <c r="B509" s="53"/>
      <c r="C509" s="52"/>
      <c r="D509" s="52"/>
      <c r="E509" s="52"/>
      <c r="F509" s="12"/>
      <c r="G509" s="52"/>
      <c r="H509" s="52"/>
      <c r="I509" s="57"/>
      <c r="J509" s="52"/>
      <c r="K509" s="57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</row>
    <row r="510" ht="12.75" customHeight="1">
      <c r="A510" s="52"/>
      <c r="B510" s="53"/>
      <c r="C510" s="52"/>
      <c r="D510" s="52"/>
      <c r="E510" s="52"/>
      <c r="F510" s="12"/>
      <c r="G510" s="52"/>
      <c r="H510" s="52"/>
      <c r="I510" s="57"/>
      <c r="J510" s="52"/>
      <c r="K510" s="57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</row>
    <row r="511" ht="12.75" customHeight="1">
      <c r="A511" s="52"/>
      <c r="B511" s="53"/>
      <c r="C511" s="52"/>
      <c r="D511" s="52"/>
      <c r="E511" s="52"/>
      <c r="F511" s="12"/>
      <c r="G511" s="52"/>
      <c r="H511" s="52"/>
      <c r="I511" s="57"/>
      <c r="J511" s="52"/>
      <c r="K511" s="57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</row>
    <row r="512" ht="12.75" customHeight="1">
      <c r="A512" s="52"/>
      <c r="B512" s="53"/>
      <c r="C512" s="52"/>
      <c r="D512" s="52"/>
      <c r="E512" s="52"/>
      <c r="F512" s="12"/>
      <c r="G512" s="52"/>
      <c r="H512" s="52"/>
      <c r="I512" s="57"/>
      <c r="J512" s="52"/>
      <c r="K512" s="57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</row>
    <row r="513" ht="12.75" customHeight="1">
      <c r="A513" s="52"/>
      <c r="B513" s="53"/>
      <c r="C513" s="52"/>
      <c r="D513" s="52"/>
      <c r="E513" s="52"/>
      <c r="F513" s="12"/>
      <c r="G513" s="52"/>
      <c r="H513" s="52"/>
      <c r="I513" s="57"/>
      <c r="J513" s="52"/>
      <c r="K513" s="57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</row>
    <row r="514" ht="12.75" customHeight="1">
      <c r="A514" s="52"/>
      <c r="B514" s="53"/>
      <c r="C514" s="52"/>
      <c r="D514" s="52"/>
      <c r="E514" s="52"/>
      <c r="F514" s="12"/>
      <c r="G514" s="52"/>
      <c r="H514" s="52"/>
      <c r="I514" s="57"/>
      <c r="J514" s="52"/>
      <c r="K514" s="57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</row>
    <row r="515" ht="12.75" customHeight="1">
      <c r="A515" s="52"/>
      <c r="B515" s="53"/>
      <c r="C515" s="52"/>
      <c r="D515" s="52"/>
      <c r="E515" s="52"/>
      <c r="F515" s="12"/>
      <c r="G515" s="52"/>
      <c r="H515" s="52"/>
      <c r="I515" s="57"/>
      <c r="J515" s="52"/>
      <c r="K515" s="57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</row>
    <row r="516" ht="12.75" customHeight="1">
      <c r="A516" s="52"/>
      <c r="B516" s="53"/>
      <c r="C516" s="52"/>
      <c r="D516" s="52"/>
      <c r="E516" s="52"/>
      <c r="F516" s="12"/>
      <c r="G516" s="52"/>
      <c r="H516" s="52"/>
      <c r="I516" s="57"/>
      <c r="J516" s="52"/>
      <c r="K516" s="57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</row>
    <row r="517" ht="12.75" customHeight="1">
      <c r="A517" s="52"/>
      <c r="B517" s="53"/>
      <c r="C517" s="52"/>
      <c r="D517" s="52"/>
      <c r="E517" s="52"/>
      <c r="F517" s="12"/>
      <c r="G517" s="52"/>
      <c r="H517" s="52"/>
      <c r="I517" s="57"/>
      <c r="J517" s="52"/>
      <c r="K517" s="57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</row>
    <row r="518" ht="12.75" customHeight="1">
      <c r="A518" s="52"/>
      <c r="B518" s="53"/>
      <c r="C518" s="52"/>
      <c r="D518" s="52"/>
      <c r="E518" s="52"/>
      <c r="F518" s="12"/>
      <c r="G518" s="52"/>
      <c r="H518" s="52"/>
      <c r="I518" s="57"/>
      <c r="J518" s="52"/>
      <c r="K518" s="57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</row>
    <row r="519" ht="12.75" customHeight="1">
      <c r="A519" s="52"/>
      <c r="B519" s="53"/>
      <c r="C519" s="52"/>
      <c r="D519" s="52"/>
      <c r="E519" s="52"/>
      <c r="F519" s="12"/>
      <c r="G519" s="52"/>
      <c r="H519" s="52"/>
      <c r="I519" s="57"/>
      <c r="J519" s="52"/>
      <c r="K519" s="57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</row>
    <row r="520" ht="12.75" customHeight="1">
      <c r="A520" s="52"/>
      <c r="B520" s="53"/>
      <c r="C520" s="52"/>
      <c r="D520" s="52"/>
      <c r="E520" s="52"/>
      <c r="F520" s="12"/>
      <c r="G520" s="52"/>
      <c r="H520" s="52"/>
      <c r="I520" s="57"/>
      <c r="J520" s="52"/>
      <c r="K520" s="57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</row>
    <row r="521" ht="12.75" customHeight="1">
      <c r="A521" s="52"/>
      <c r="B521" s="53"/>
      <c r="C521" s="52"/>
      <c r="D521" s="52"/>
      <c r="E521" s="52"/>
      <c r="F521" s="12"/>
      <c r="G521" s="52"/>
      <c r="H521" s="52"/>
      <c r="I521" s="57"/>
      <c r="J521" s="52"/>
      <c r="K521" s="57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</row>
    <row r="522" ht="12.75" customHeight="1">
      <c r="A522" s="52"/>
      <c r="B522" s="53"/>
      <c r="C522" s="52"/>
      <c r="D522" s="52"/>
      <c r="E522" s="52"/>
      <c r="F522" s="12"/>
      <c r="G522" s="52"/>
      <c r="H522" s="52"/>
      <c r="I522" s="57"/>
      <c r="J522" s="52"/>
      <c r="K522" s="57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</row>
    <row r="523" ht="12.75" customHeight="1">
      <c r="A523" s="52"/>
      <c r="B523" s="53"/>
      <c r="C523" s="52"/>
      <c r="D523" s="52"/>
      <c r="E523" s="52"/>
      <c r="F523" s="12"/>
      <c r="G523" s="52"/>
      <c r="H523" s="52"/>
      <c r="I523" s="57"/>
      <c r="J523" s="52"/>
      <c r="K523" s="57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</row>
    <row r="524" ht="12.75" customHeight="1">
      <c r="A524" s="52"/>
      <c r="B524" s="53"/>
      <c r="C524" s="52"/>
      <c r="D524" s="52"/>
      <c r="E524" s="52"/>
      <c r="F524" s="12"/>
      <c r="G524" s="52"/>
      <c r="H524" s="52"/>
      <c r="I524" s="57"/>
      <c r="J524" s="52"/>
      <c r="K524" s="57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</row>
    <row r="525" ht="12.75" customHeight="1">
      <c r="A525" s="52"/>
      <c r="B525" s="53"/>
      <c r="C525" s="52"/>
      <c r="D525" s="52"/>
      <c r="E525" s="52"/>
      <c r="F525" s="12"/>
      <c r="G525" s="52"/>
      <c r="H525" s="52"/>
      <c r="I525" s="57"/>
      <c r="J525" s="52"/>
      <c r="K525" s="57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</row>
    <row r="526" ht="12.75" customHeight="1">
      <c r="A526" s="52"/>
      <c r="B526" s="53"/>
      <c r="C526" s="52"/>
      <c r="D526" s="52"/>
      <c r="E526" s="52"/>
      <c r="F526" s="12"/>
      <c r="G526" s="52"/>
      <c r="H526" s="52"/>
      <c r="I526" s="57"/>
      <c r="J526" s="52"/>
      <c r="K526" s="57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</row>
    <row r="527" ht="12.75" customHeight="1">
      <c r="A527" s="52"/>
      <c r="B527" s="53"/>
      <c r="C527" s="52"/>
      <c r="D527" s="52"/>
      <c r="E527" s="52"/>
      <c r="F527" s="12"/>
      <c r="G527" s="52"/>
      <c r="H527" s="52"/>
      <c r="I527" s="57"/>
      <c r="J527" s="52"/>
      <c r="K527" s="57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</row>
    <row r="528" ht="12.75" customHeight="1">
      <c r="A528" s="52"/>
      <c r="B528" s="53"/>
      <c r="C528" s="52"/>
      <c r="D528" s="52"/>
      <c r="E528" s="52"/>
      <c r="F528" s="12"/>
      <c r="G528" s="52"/>
      <c r="H528" s="52"/>
      <c r="I528" s="57"/>
      <c r="J528" s="52"/>
      <c r="K528" s="57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</row>
    <row r="529" ht="12.75" customHeight="1">
      <c r="A529" s="52"/>
      <c r="B529" s="53"/>
      <c r="C529" s="52"/>
      <c r="D529" s="52"/>
      <c r="E529" s="52"/>
      <c r="F529" s="12"/>
      <c r="G529" s="52"/>
      <c r="H529" s="52"/>
      <c r="I529" s="57"/>
      <c r="J529" s="52"/>
      <c r="K529" s="57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</row>
    <row r="530" ht="12.75" customHeight="1">
      <c r="A530" s="52"/>
      <c r="B530" s="53"/>
      <c r="C530" s="52"/>
      <c r="D530" s="52"/>
      <c r="E530" s="52"/>
      <c r="F530" s="12"/>
      <c r="G530" s="52"/>
      <c r="H530" s="52"/>
      <c r="I530" s="57"/>
      <c r="J530" s="52"/>
      <c r="K530" s="57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</row>
    <row r="531" ht="12.75" customHeight="1">
      <c r="A531" s="52"/>
      <c r="B531" s="53"/>
      <c r="C531" s="52"/>
      <c r="D531" s="52"/>
      <c r="E531" s="52"/>
      <c r="F531" s="12"/>
      <c r="G531" s="52"/>
      <c r="H531" s="52"/>
      <c r="I531" s="57"/>
      <c r="J531" s="52"/>
      <c r="K531" s="57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</row>
    <row r="532" ht="12.75" customHeight="1">
      <c r="A532" s="52"/>
      <c r="B532" s="53"/>
      <c r="C532" s="52"/>
      <c r="D532" s="52"/>
      <c r="E532" s="52"/>
      <c r="F532" s="12"/>
      <c r="G532" s="52"/>
      <c r="H532" s="52"/>
      <c r="I532" s="57"/>
      <c r="J532" s="52"/>
      <c r="K532" s="57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</row>
    <row r="533" ht="12.75" customHeight="1">
      <c r="A533" s="52"/>
      <c r="B533" s="53"/>
      <c r="C533" s="52"/>
      <c r="D533" s="52"/>
      <c r="E533" s="52"/>
      <c r="F533" s="12"/>
      <c r="G533" s="52"/>
      <c r="H533" s="52"/>
      <c r="I533" s="57"/>
      <c r="J533" s="52"/>
      <c r="K533" s="57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</row>
    <row r="534" ht="12.75" customHeight="1">
      <c r="A534" s="52"/>
      <c r="B534" s="53"/>
      <c r="C534" s="52"/>
      <c r="D534" s="52"/>
      <c r="E534" s="52"/>
      <c r="F534" s="12"/>
      <c r="G534" s="52"/>
      <c r="H534" s="52"/>
      <c r="I534" s="57"/>
      <c r="J534" s="52"/>
      <c r="K534" s="57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</row>
    <row r="535" ht="12.75" customHeight="1">
      <c r="A535" s="52"/>
      <c r="B535" s="53"/>
      <c r="C535" s="52"/>
      <c r="D535" s="52"/>
      <c r="E535" s="52"/>
      <c r="F535" s="12"/>
      <c r="G535" s="52"/>
      <c r="H535" s="52"/>
      <c r="I535" s="57"/>
      <c r="J535" s="52"/>
      <c r="K535" s="57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</row>
    <row r="536" ht="12.75" customHeight="1">
      <c r="A536" s="52"/>
      <c r="B536" s="53"/>
      <c r="C536" s="52"/>
      <c r="D536" s="52"/>
      <c r="E536" s="52"/>
      <c r="F536" s="12"/>
      <c r="G536" s="52"/>
      <c r="H536" s="52"/>
      <c r="I536" s="57"/>
      <c r="J536" s="52"/>
      <c r="K536" s="57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</row>
    <row r="537" ht="12.75" customHeight="1">
      <c r="A537" s="52"/>
      <c r="B537" s="53"/>
      <c r="C537" s="52"/>
      <c r="D537" s="52"/>
      <c r="E537" s="52"/>
      <c r="F537" s="12"/>
      <c r="G537" s="52"/>
      <c r="H537" s="52"/>
      <c r="I537" s="57"/>
      <c r="J537" s="52"/>
      <c r="K537" s="57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</row>
    <row r="538" ht="12.75" customHeight="1">
      <c r="A538" s="52"/>
      <c r="B538" s="53"/>
      <c r="C538" s="52"/>
      <c r="D538" s="52"/>
      <c r="E538" s="52"/>
      <c r="F538" s="12"/>
      <c r="G538" s="52"/>
      <c r="H538" s="52"/>
      <c r="I538" s="57"/>
      <c r="J538" s="52"/>
      <c r="K538" s="57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</row>
    <row r="539" ht="12.75" customHeight="1">
      <c r="A539" s="52"/>
      <c r="B539" s="53"/>
      <c r="C539" s="52"/>
      <c r="D539" s="52"/>
      <c r="E539" s="52"/>
      <c r="F539" s="12"/>
      <c r="G539" s="52"/>
      <c r="H539" s="52"/>
      <c r="I539" s="57"/>
      <c r="J539" s="52"/>
      <c r="K539" s="57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</row>
    <row r="540" ht="12.75" customHeight="1">
      <c r="A540" s="52"/>
      <c r="B540" s="53"/>
      <c r="C540" s="52"/>
      <c r="D540" s="52"/>
      <c r="E540" s="52"/>
      <c r="F540" s="12"/>
      <c r="G540" s="52"/>
      <c r="H540" s="52"/>
      <c r="I540" s="57"/>
      <c r="J540" s="52"/>
      <c r="K540" s="57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</row>
    <row r="541" ht="12.75" customHeight="1">
      <c r="A541" s="52"/>
      <c r="B541" s="53"/>
      <c r="C541" s="52"/>
      <c r="D541" s="52"/>
      <c r="E541" s="52"/>
      <c r="F541" s="12"/>
      <c r="G541" s="52"/>
      <c r="H541" s="52"/>
      <c r="I541" s="57"/>
      <c r="J541" s="52"/>
      <c r="K541" s="57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</row>
    <row r="542" ht="12.75" customHeight="1">
      <c r="A542" s="52"/>
      <c r="B542" s="53"/>
      <c r="C542" s="52"/>
      <c r="D542" s="52"/>
      <c r="E542" s="52"/>
      <c r="F542" s="12"/>
      <c r="G542" s="52"/>
      <c r="H542" s="52"/>
      <c r="I542" s="57"/>
      <c r="J542" s="52"/>
      <c r="K542" s="57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</row>
    <row r="543" ht="12.75" customHeight="1">
      <c r="A543" s="52"/>
      <c r="B543" s="53"/>
      <c r="C543" s="52"/>
      <c r="D543" s="52"/>
      <c r="E543" s="52"/>
      <c r="F543" s="12"/>
      <c r="G543" s="52"/>
      <c r="H543" s="52"/>
      <c r="I543" s="57"/>
      <c r="J543" s="52"/>
      <c r="K543" s="57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</row>
    <row r="544" ht="12.75" customHeight="1">
      <c r="A544" s="52"/>
      <c r="B544" s="53"/>
      <c r="C544" s="52"/>
      <c r="D544" s="52"/>
      <c r="E544" s="52"/>
      <c r="F544" s="12"/>
      <c r="G544" s="52"/>
      <c r="H544" s="52"/>
      <c r="I544" s="57"/>
      <c r="J544" s="52"/>
      <c r="K544" s="57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</row>
    <row r="545" ht="12.75" customHeight="1">
      <c r="A545" s="52"/>
      <c r="B545" s="53"/>
      <c r="C545" s="52"/>
      <c r="D545" s="52"/>
      <c r="E545" s="52"/>
      <c r="F545" s="12"/>
      <c r="G545" s="52"/>
      <c r="H545" s="52"/>
      <c r="I545" s="57"/>
      <c r="J545" s="52"/>
      <c r="K545" s="57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</row>
    <row r="546" ht="12.75" customHeight="1">
      <c r="A546" s="52"/>
      <c r="B546" s="53"/>
      <c r="C546" s="52"/>
      <c r="D546" s="52"/>
      <c r="E546" s="52"/>
      <c r="F546" s="12"/>
      <c r="G546" s="52"/>
      <c r="H546" s="52"/>
      <c r="I546" s="57"/>
      <c r="J546" s="52"/>
      <c r="K546" s="57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</row>
    <row r="547" ht="12.75" customHeight="1">
      <c r="A547" s="52"/>
      <c r="B547" s="53"/>
      <c r="C547" s="52"/>
      <c r="D547" s="52"/>
      <c r="E547" s="52"/>
      <c r="F547" s="12"/>
      <c r="G547" s="52"/>
      <c r="H547" s="52"/>
      <c r="I547" s="57"/>
      <c r="J547" s="52"/>
      <c r="K547" s="57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</row>
    <row r="548" ht="12.75" customHeight="1">
      <c r="A548" s="52"/>
      <c r="B548" s="53"/>
      <c r="C548" s="52"/>
      <c r="D548" s="52"/>
      <c r="E548" s="52"/>
      <c r="F548" s="12"/>
      <c r="G548" s="52"/>
      <c r="H548" s="52"/>
      <c r="I548" s="57"/>
      <c r="J548" s="52"/>
      <c r="K548" s="57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</row>
    <row r="549" ht="12.75" customHeight="1">
      <c r="A549" s="52"/>
      <c r="B549" s="53"/>
      <c r="C549" s="52"/>
      <c r="D549" s="52"/>
      <c r="E549" s="52"/>
      <c r="F549" s="12"/>
      <c r="G549" s="52"/>
      <c r="H549" s="52"/>
      <c r="I549" s="57"/>
      <c r="J549" s="52"/>
      <c r="K549" s="57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</row>
    <row r="550" ht="12.75" customHeight="1">
      <c r="A550" s="52"/>
      <c r="B550" s="53"/>
      <c r="C550" s="52"/>
      <c r="D550" s="52"/>
      <c r="E550" s="52"/>
      <c r="F550" s="12"/>
      <c r="G550" s="52"/>
      <c r="H550" s="52"/>
      <c r="I550" s="57"/>
      <c r="J550" s="52"/>
      <c r="K550" s="57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</row>
    <row r="551" ht="12.75" customHeight="1">
      <c r="A551" s="52"/>
      <c r="B551" s="53"/>
      <c r="C551" s="52"/>
      <c r="D551" s="52"/>
      <c r="E551" s="52"/>
      <c r="F551" s="12"/>
      <c r="G551" s="52"/>
      <c r="H551" s="52"/>
      <c r="I551" s="57"/>
      <c r="J551" s="52"/>
      <c r="K551" s="57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</row>
    <row r="552" ht="12.75" customHeight="1">
      <c r="A552" s="52"/>
      <c r="B552" s="53"/>
      <c r="C552" s="52"/>
      <c r="D552" s="52"/>
      <c r="E552" s="52"/>
      <c r="F552" s="12"/>
      <c r="G552" s="52"/>
      <c r="H552" s="52"/>
      <c r="I552" s="57"/>
      <c r="J552" s="52"/>
      <c r="K552" s="57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</row>
    <row r="553" ht="12.75" customHeight="1">
      <c r="A553" s="52"/>
      <c r="B553" s="53"/>
      <c r="C553" s="52"/>
      <c r="D553" s="52"/>
      <c r="E553" s="52"/>
      <c r="F553" s="12"/>
      <c r="G553" s="52"/>
      <c r="H553" s="52"/>
      <c r="I553" s="57"/>
      <c r="J553" s="52"/>
      <c r="K553" s="57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</row>
    <row r="554" ht="12.75" customHeight="1">
      <c r="A554" s="52"/>
      <c r="B554" s="53"/>
      <c r="C554" s="52"/>
      <c r="D554" s="52"/>
      <c r="E554" s="52"/>
      <c r="F554" s="12"/>
      <c r="G554" s="52"/>
      <c r="H554" s="52"/>
      <c r="I554" s="57"/>
      <c r="J554" s="52"/>
      <c r="K554" s="57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</row>
    <row r="555" ht="12.75" customHeight="1">
      <c r="A555" s="52"/>
      <c r="B555" s="53"/>
      <c r="C555" s="52"/>
      <c r="D555" s="52"/>
      <c r="E555" s="52"/>
      <c r="F555" s="12"/>
      <c r="G555" s="52"/>
      <c r="H555" s="52"/>
      <c r="I555" s="57"/>
      <c r="J555" s="52"/>
      <c r="K555" s="57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</row>
    <row r="556" ht="12.75" customHeight="1">
      <c r="A556" s="52"/>
      <c r="B556" s="53"/>
      <c r="C556" s="52"/>
      <c r="D556" s="52"/>
      <c r="E556" s="52"/>
      <c r="F556" s="12"/>
      <c r="G556" s="52"/>
      <c r="H556" s="52"/>
      <c r="I556" s="57"/>
      <c r="J556" s="52"/>
      <c r="K556" s="57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 ht="12.75" customHeight="1">
      <c r="A557" s="52"/>
      <c r="B557" s="53"/>
      <c r="C557" s="52"/>
      <c r="D557" s="52"/>
      <c r="E557" s="52"/>
      <c r="F557" s="12"/>
      <c r="G557" s="52"/>
      <c r="H557" s="52"/>
      <c r="I557" s="57"/>
      <c r="J557" s="52"/>
      <c r="K557" s="57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</row>
    <row r="558" ht="12.75" customHeight="1">
      <c r="A558" s="52"/>
      <c r="B558" s="53"/>
      <c r="C558" s="52"/>
      <c r="D558" s="52"/>
      <c r="E558" s="52"/>
      <c r="F558" s="12"/>
      <c r="G558" s="52"/>
      <c r="H558" s="52"/>
      <c r="I558" s="57"/>
      <c r="J558" s="52"/>
      <c r="K558" s="57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</row>
    <row r="559" ht="12.75" customHeight="1">
      <c r="A559" s="52"/>
      <c r="B559" s="53"/>
      <c r="C559" s="52"/>
      <c r="D559" s="52"/>
      <c r="E559" s="52"/>
      <c r="F559" s="12"/>
      <c r="G559" s="52"/>
      <c r="H559" s="52"/>
      <c r="I559" s="57"/>
      <c r="J559" s="52"/>
      <c r="K559" s="57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</row>
    <row r="560" ht="12.75" customHeight="1">
      <c r="A560" s="52"/>
      <c r="B560" s="53"/>
      <c r="C560" s="52"/>
      <c r="D560" s="52"/>
      <c r="E560" s="52"/>
      <c r="F560" s="12"/>
      <c r="G560" s="52"/>
      <c r="H560" s="52"/>
      <c r="I560" s="57"/>
      <c r="J560" s="52"/>
      <c r="K560" s="57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</row>
    <row r="561" ht="12.75" customHeight="1">
      <c r="A561" s="52"/>
      <c r="B561" s="53"/>
      <c r="C561" s="52"/>
      <c r="D561" s="52"/>
      <c r="E561" s="52"/>
      <c r="F561" s="12"/>
      <c r="G561" s="52"/>
      <c r="H561" s="52"/>
      <c r="I561" s="57"/>
      <c r="J561" s="52"/>
      <c r="K561" s="57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</row>
    <row r="562" ht="12.75" customHeight="1">
      <c r="A562" s="52"/>
      <c r="B562" s="53"/>
      <c r="C562" s="52"/>
      <c r="D562" s="52"/>
      <c r="E562" s="52"/>
      <c r="F562" s="12"/>
      <c r="G562" s="52"/>
      <c r="H562" s="52"/>
      <c r="I562" s="57"/>
      <c r="J562" s="52"/>
      <c r="K562" s="57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</row>
    <row r="563" ht="12.75" customHeight="1">
      <c r="A563" s="52"/>
      <c r="B563" s="53"/>
      <c r="C563" s="52"/>
      <c r="D563" s="52"/>
      <c r="E563" s="52"/>
      <c r="F563" s="12"/>
      <c r="G563" s="52"/>
      <c r="H563" s="52"/>
      <c r="I563" s="57"/>
      <c r="J563" s="52"/>
      <c r="K563" s="57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</row>
    <row r="564" ht="12.75" customHeight="1">
      <c r="A564" s="52"/>
      <c r="B564" s="53"/>
      <c r="C564" s="52"/>
      <c r="D564" s="52"/>
      <c r="E564" s="52"/>
      <c r="F564" s="12"/>
      <c r="G564" s="52"/>
      <c r="H564" s="52"/>
      <c r="I564" s="57"/>
      <c r="J564" s="52"/>
      <c r="K564" s="57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</row>
    <row r="565" ht="12.75" customHeight="1">
      <c r="A565" s="52"/>
      <c r="B565" s="53"/>
      <c r="C565" s="52"/>
      <c r="D565" s="52"/>
      <c r="E565" s="52"/>
      <c r="F565" s="12"/>
      <c r="G565" s="52"/>
      <c r="H565" s="52"/>
      <c r="I565" s="57"/>
      <c r="J565" s="52"/>
      <c r="K565" s="57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</row>
    <row r="566" ht="12.75" customHeight="1">
      <c r="A566" s="52"/>
      <c r="B566" s="53"/>
      <c r="C566" s="52"/>
      <c r="D566" s="52"/>
      <c r="E566" s="52"/>
      <c r="F566" s="12"/>
      <c r="G566" s="52"/>
      <c r="H566" s="52"/>
      <c r="I566" s="57"/>
      <c r="J566" s="52"/>
      <c r="K566" s="57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</row>
    <row r="567" ht="12.75" customHeight="1">
      <c r="A567" s="52"/>
      <c r="B567" s="53"/>
      <c r="C567" s="52"/>
      <c r="D567" s="52"/>
      <c r="E567" s="52"/>
      <c r="F567" s="12"/>
      <c r="G567" s="52"/>
      <c r="H567" s="52"/>
      <c r="I567" s="57"/>
      <c r="J567" s="52"/>
      <c r="K567" s="57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</row>
    <row r="568" ht="12.75" customHeight="1">
      <c r="A568" s="52"/>
      <c r="B568" s="53"/>
      <c r="C568" s="52"/>
      <c r="D568" s="52"/>
      <c r="E568" s="52"/>
      <c r="F568" s="12"/>
      <c r="G568" s="52"/>
      <c r="H568" s="52"/>
      <c r="I568" s="57"/>
      <c r="J568" s="52"/>
      <c r="K568" s="57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</row>
    <row r="569" ht="12.75" customHeight="1">
      <c r="A569" s="52"/>
      <c r="B569" s="53"/>
      <c r="C569" s="52"/>
      <c r="D569" s="52"/>
      <c r="E569" s="52"/>
      <c r="F569" s="12"/>
      <c r="G569" s="52"/>
      <c r="H569" s="52"/>
      <c r="I569" s="57"/>
      <c r="J569" s="52"/>
      <c r="K569" s="57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</row>
    <row r="570" ht="12.75" customHeight="1">
      <c r="A570" s="52"/>
      <c r="B570" s="53"/>
      <c r="C570" s="52"/>
      <c r="D570" s="52"/>
      <c r="E570" s="52"/>
      <c r="F570" s="12"/>
      <c r="G570" s="52"/>
      <c r="H570" s="52"/>
      <c r="I570" s="57"/>
      <c r="J570" s="52"/>
      <c r="K570" s="57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</row>
    <row r="571" ht="12.75" customHeight="1">
      <c r="A571" s="52"/>
      <c r="B571" s="53"/>
      <c r="C571" s="52"/>
      <c r="D571" s="52"/>
      <c r="E571" s="52"/>
      <c r="F571" s="12"/>
      <c r="G571" s="52"/>
      <c r="H571" s="52"/>
      <c r="I571" s="57"/>
      <c r="J571" s="52"/>
      <c r="K571" s="57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</row>
    <row r="572" ht="12.75" customHeight="1">
      <c r="A572" s="52"/>
      <c r="B572" s="53"/>
      <c r="C572" s="52"/>
      <c r="D572" s="52"/>
      <c r="E572" s="52"/>
      <c r="F572" s="12"/>
      <c r="G572" s="52"/>
      <c r="H572" s="52"/>
      <c r="I572" s="57"/>
      <c r="J572" s="52"/>
      <c r="K572" s="57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</row>
    <row r="573" ht="12.75" customHeight="1">
      <c r="A573" s="52"/>
      <c r="B573" s="53"/>
      <c r="C573" s="52"/>
      <c r="D573" s="52"/>
      <c r="E573" s="52"/>
      <c r="F573" s="12"/>
      <c r="G573" s="52"/>
      <c r="H573" s="52"/>
      <c r="I573" s="57"/>
      <c r="J573" s="52"/>
      <c r="K573" s="57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</row>
    <row r="574" ht="12.75" customHeight="1">
      <c r="A574" s="52"/>
      <c r="B574" s="53"/>
      <c r="C574" s="52"/>
      <c r="D574" s="52"/>
      <c r="E574" s="52"/>
      <c r="F574" s="12"/>
      <c r="G574" s="52"/>
      <c r="H574" s="52"/>
      <c r="I574" s="57"/>
      <c r="J574" s="52"/>
      <c r="K574" s="57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</row>
    <row r="575" ht="12.75" customHeight="1">
      <c r="A575" s="52"/>
      <c r="B575" s="53"/>
      <c r="C575" s="52"/>
      <c r="D575" s="52"/>
      <c r="E575" s="52"/>
      <c r="F575" s="12"/>
      <c r="G575" s="52"/>
      <c r="H575" s="52"/>
      <c r="I575" s="57"/>
      <c r="J575" s="52"/>
      <c r="K575" s="57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</row>
    <row r="576" ht="12.75" customHeight="1">
      <c r="A576" s="52"/>
      <c r="B576" s="53"/>
      <c r="C576" s="52"/>
      <c r="D576" s="52"/>
      <c r="E576" s="52"/>
      <c r="F576" s="12"/>
      <c r="G576" s="52"/>
      <c r="H576" s="52"/>
      <c r="I576" s="57"/>
      <c r="J576" s="52"/>
      <c r="K576" s="57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</row>
    <row r="577" ht="12.75" customHeight="1">
      <c r="A577" s="52"/>
      <c r="B577" s="53"/>
      <c r="C577" s="52"/>
      <c r="D577" s="52"/>
      <c r="E577" s="52"/>
      <c r="F577" s="12"/>
      <c r="G577" s="52"/>
      <c r="H577" s="52"/>
      <c r="I577" s="57"/>
      <c r="J577" s="52"/>
      <c r="K577" s="57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</row>
    <row r="578" ht="12.75" customHeight="1">
      <c r="A578" s="52"/>
      <c r="B578" s="53"/>
      <c r="C578" s="52"/>
      <c r="D578" s="52"/>
      <c r="E578" s="52"/>
      <c r="F578" s="12"/>
      <c r="G578" s="52"/>
      <c r="H578" s="52"/>
      <c r="I578" s="57"/>
      <c r="J578" s="52"/>
      <c r="K578" s="57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</row>
    <row r="579" ht="12.75" customHeight="1">
      <c r="A579" s="52"/>
      <c r="B579" s="53"/>
      <c r="C579" s="52"/>
      <c r="D579" s="52"/>
      <c r="E579" s="52"/>
      <c r="F579" s="12"/>
      <c r="G579" s="52"/>
      <c r="H579" s="52"/>
      <c r="I579" s="57"/>
      <c r="J579" s="52"/>
      <c r="K579" s="57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</row>
    <row r="580" ht="12.75" customHeight="1">
      <c r="A580" s="52"/>
      <c r="B580" s="53"/>
      <c r="C580" s="52"/>
      <c r="D580" s="52"/>
      <c r="E580" s="52"/>
      <c r="F580" s="12"/>
      <c r="G580" s="52"/>
      <c r="H580" s="52"/>
      <c r="I580" s="57"/>
      <c r="J580" s="52"/>
      <c r="K580" s="57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</row>
    <row r="581" ht="12.75" customHeight="1">
      <c r="A581" s="52"/>
      <c r="B581" s="53"/>
      <c r="C581" s="52"/>
      <c r="D581" s="52"/>
      <c r="E581" s="52"/>
      <c r="F581" s="12"/>
      <c r="G581" s="52"/>
      <c r="H581" s="52"/>
      <c r="I581" s="57"/>
      <c r="J581" s="52"/>
      <c r="K581" s="57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</row>
    <row r="582" ht="12.75" customHeight="1">
      <c r="A582" s="52"/>
      <c r="B582" s="53"/>
      <c r="C582" s="52"/>
      <c r="D582" s="52"/>
      <c r="E582" s="52"/>
      <c r="F582" s="12"/>
      <c r="G582" s="52"/>
      <c r="H582" s="52"/>
      <c r="I582" s="57"/>
      <c r="J582" s="52"/>
      <c r="K582" s="57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</row>
    <row r="583" ht="12.75" customHeight="1">
      <c r="A583" s="52"/>
      <c r="B583" s="53"/>
      <c r="C583" s="52"/>
      <c r="D583" s="52"/>
      <c r="E583" s="52"/>
      <c r="F583" s="12"/>
      <c r="G583" s="52"/>
      <c r="H583" s="52"/>
      <c r="I583" s="57"/>
      <c r="J583" s="52"/>
      <c r="K583" s="57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</row>
    <row r="584" ht="12.75" customHeight="1">
      <c r="A584" s="52"/>
      <c r="B584" s="53"/>
      <c r="C584" s="52"/>
      <c r="D584" s="52"/>
      <c r="E584" s="52"/>
      <c r="F584" s="12"/>
      <c r="G584" s="52"/>
      <c r="H584" s="52"/>
      <c r="I584" s="57"/>
      <c r="J584" s="52"/>
      <c r="K584" s="57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</row>
    <row r="585" ht="12.75" customHeight="1">
      <c r="A585" s="52"/>
      <c r="B585" s="53"/>
      <c r="C585" s="52"/>
      <c r="D585" s="52"/>
      <c r="E585" s="52"/>
      <c r="F585" s="12"/>
      <c r="G585" s="52"/>
      <c r="H585" s="52"/>
      <c r="I585" s="57"/>
      <c r="J585" s="52"/>
      <c r="K585" s="57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</row>
    <row r="586" ht="12.75" customHeight="1">
      <c r="A586" s="52"/>
      <c r="B586" s="53"/>
      <c r="C586" s="52"/>
      <c r="D586" s="52"/>
      <c r="E586" s="52"/>
      <c r="F586" s="12"/>
      <c r="G586" s="52"/>
      <c r="H586" s="52"/>
      <c r="I586" s="57"/>
      <c r="J586" s="52"/>
      <c r="K586" s="57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</row>
    <row r="587" ht="12.75" customHeight="1">
      <c r="A587" s="52"/>
      <c r="B587" s="53"/>
      <c r="C587" s="52"/>
      <c r="D587" s="52"/>
      <c r="E587" s="52"/>
      <c r="F587" s="12"/>
      <c r="G587" s="52"/>
      <c r="H587" s="52"/>
      <c r="I587" s="57"/>
      <c r="J587" s="52"/>
      <c r="K587" s="57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</row>
    <row r="588" ht="12.75" customHeight="1">
      <c r="A588" s="52"/>
      <c r="B588" s="53"/>
      <c r="C588" s="52"/>
      <c r="D588" s="52"/>
      <c r="E588" s="52"/>
      <c r="F588" s="12"/>
      <c r="G588" s="52"/>
      <c r="H588" s="52"/>
      <c r="I588" s="57"/>
      <c r="J588" s="52"/>
      <c r="K588" s="57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</row>
    <row r="589" ht="12.75" customHeight="1">
      <c r="A589" s="52"/>
      <c r="B589" s="53"/>
      <c r="C589" s="52"/>
      <c r="D589" s="52"/>
      <c r="E589" s="52"/>
      <c r="F589" s="12"/>
      <c r="G589" s="52"/>
      <c r="H589" s="52"/>
      <c r="I589" s="57"/>
      <c r="J589" s="52"/>
      <c r="K589" s="57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</row>
    <row r="590" ht="12.75" customHeight="1">
      <c r="A590" s="52"/>
      <c r="B590" s="53"/>
      <c r="C590" s="52"/>
      <c r="D590" s="52"/>
      <c r="E590" s="52"/>
      <c r="F590" s="12"/>
      <c r="G590" s="52"/>
      <c r="H590" s="52"/>
      <c r="I590" s="57"/>
      <c r="J590" s="52"/>
      <c r="K590" s="57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</row>
    <row r="591" ht="12.75" customHeight="1">
      <c r="A591" s="52"/>
      <c r="B591" s="53"/>
      <c r="C591" s="52"/>
      <c r="D591" s="52"/>
      <c r="E591" s="52"/>
      <c r="F591" s="12"/>
      <c r="G591" s="52"/>
      <c r="H591" s="52"/>
      <c r="I591" s="57"/>
      <c r="J591" s="52"/>
      <c r="K591" s="57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</row>
    <row r="592" ht="12.75" customHeight="1">
      <c r="A592" s="52"/>
      <c r="B592" s="53"/>
      <c r="C592" s="52"/>
      <c r="D592" s="52"/>
      <c r="E592" s="52"/>
      <c r="F592" s="12"/>
      <c r="G592" s="52"/>
      <c r="H592" s="52"/>
      <c r="I592" s="57"/>
      <c r="J592" s="52"/>
      <c r="K592" s="57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</row>
    <row r="593" ht="12.75" customHeight="1">
      <c r="A593" s="52"/>
      <c r="B593" s="53"/>
      <c r="C593" s="52"/>
      <c r="D593" s="52"/>
      <c r="E593" s="52"/>
      <c r="F593" s="12"/>
      <c r="G593" s="52"/>
      <c r="H593" s="52"/>
      <c r="I593" s="57"/>
      <c r="J593" s="52"/>
      <c r="K593" s="57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</row>
    <row r="594" ht="12.75" customHeight="1">
      <c r="A594" s="52"/>
      <c r="B594" s="53"/>
      <c r="C594" s="52"/>
      <c r="D594" s="52"/>
      <c r="E594" s="52"/>
      <c r="F594" s="12"/>
      <c r="G594" s="52"/>
      <c r="H594" s="52"/>
      <c r="I594" s="57"/>
      <c r="J594" s="52"/>
      <c r="K594" s="57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</row>
    <row r="595" ht="12.75" customHeight="1">
      <c r="A595" s="52"/>
      <c r="B595" s="53"/>
      <c r="C595" s="52"/>
      <c r="D595" s="52"/>
      <c r="E595" s="52"/>
      <c r="F595" s="12"/>
      <c r="G595" s="52"/>
      <c r="H595" s="52"/>
      <c r="I595" s="57"/>
      <c r="J595" s="52"/>
      <c r="K595" s="57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</row>
    <row r="596" ht="12.75" customHeight="1">
      <c r="A596" s="52"/>
      <c r="B596" s="53"/>
      <c r="C596" s="52"/>
      <c r="D596" s="52"/>
      <c r="E596" s="52"/>
      <c r="F596" s="12"/>
      <c r="G596" s="52"/>
      <c r="H596" s="52"/>
      <c r="I596" s="57"/>
      <c r="J596" s="52"/>
      <c r="K596" s="57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</row>
    <row r="597" ht="12.75" customHeight="1">
      <c r="A597" s="52"/>
      <c r="B597" s="53"/>
      <c r="C597" s="52"/>
      <c r="D597" s="52"/>
      <c r="E597" s="52"/>
      <c r="F597" s="12"/>
      <c r="G597" s="52"/>
      <c r="H597" s="52"/>
      <c r="I597" s="57"/>
      <c r="J597" s="52"/>
      <c r="K597" s="57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</row>
    <row r="598" ht="12.75" customHeight="1">
      <c r="A598" s="52"/>
      <c r="B598" s="53"/>
      <c r="C598" s="52"/>
      <c r="D598" s="52"/>
      <c r="E598" s="52"/>
      <c r="F598" s="12"/>
      <c r="G598" s="52"/>
      <c r="H598" s="52"/>
      <c r="I598" s="57"/>
      <c r="J598" s="52"/>
      <c r="K598" s="57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</row>
    <row r="599" ht="12.75" customHeight="1">
      <c r="A599" s="52"/>
      <c r="B599" s="53"/>
      <c r="C599" s="52"/>
      <c r="D599" s="52"/>
      <c r="E599" s="52"/>
      <c r="F599" s="12"/>
      <c r="G599" s="52"/>
      <c r="H599" s="52"/>
      <c r="I599" s="57"/>
      <c r="J599" s="52"/>
      <c r="K599" s="57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</row>
    <row r="600" ht="12.75" customHeight="1">
      <c r="A600" s="52"/>
      <c r="B600" s="53"/>
      <c r="C600" s="52"/>
      <c r="D600" s="52"/>
      <c r="E600" s="52"/>
      <c r="F600" s="12"/>
      <c r="G600" s="52"/>
      <c r="H600" s="52"/>
      <c r="I600" s="57"/>
      <c r="J600" s="52"/>
      <c r="K600" s="57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</row>
    <row r="601" ht="12.75" customHeight="1">
      <c r="A601" s="52"/>
      <c r="B601" s="53"/>
      <c r="C601" s="52"/>
      <c r="D601" s="52"/>
      <c r="E601" s="52"/>
      <c r="F601" s="12"/>
      <c r="G601" s="52"/>
      <c r="H601" s="52"/>
      <c r="I601" s="57"/>
      <c r="J601" s="52"/>
      <c r="K601" s="57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</row>
    <row r="602" ht="12.75" customHeight="1">
      <c r="A602" s="52"/>
      <c r="B602" s="53"/>
      <c r="C602" s="52"/>
      <c r="D602" s="52"/>
      <c r="E602" s="52"/>
      <c r="F602" s="12"/>
      <c r="G602" s="52"/>
      <c r="H602" s="52"/>
      <c r="I602" s="57"/>
      <c r="J602" s="52"/>
      <c r="K602" s="57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</row>
    <row r="603" ht="12.75" customHeight="1">
      <c r="A603" s="52"/>
      <c r="B603" s="53"/>
      <c r="C603" s="52"/>
      <c r="D603" s="52"/>
      <c r="E603" s="52"/>
      <c r="F603" s="12"/>
      <c r="G603" s="52"/>
      <c r="H603" s="52"/>
      <c r="I603" s="57"/>
      <c r="J603" s="52"/>
      <c r="K603" s="57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</row>
    <row r="604" ht="12.75" customHeight="1">
      <c r="A604" s="52"/>
      <c r="B604" s="53"/>
      <c r="C604" s="52"/>
      <c r="D604" s="52"/>
      <c r="E604" s="52"/>
      <c r="F604" s="12"/>
      <c r="G604" s="52"/>
      <c r="H604" s="52"/>
      <c r="I604" s="57"/>
      <c r="J604" s="52"/>
      <c r="K604" s="57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</row>
    <row r="605" ht="12.75" customHeight="1">
      <c r="A605" s="52"/>
      <c r="B605" s="53"/>
      <c r="C605" s="52"/>
      <c r="D605" s="52"/>
      <c r="E605" s="52"/>
      <c r="F605" s="12"/>
      <c r="G605" s="52"/>
      <c r="H605" s="52"/>
      <c r="I605" s="57"/>
      <c r="J605" s="52"/>
      <c r="K605" s="57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</row>
    <row r="606" ht="12.75" customHeight="1">
      <c r="A606" s="52"/>
      <c r="B606" s="53"/>
      <c r="C606" s="52"/>
      <c r="D606" s="52"/>
      <c r="E606" s="52"/>
      <c r="F606" s="12"/>
      <c r="G606" s="52"/>
      <c r="H606" s="52"/>
      <c r="I606" s="57"/>
      <c r="J606" s="52"/>
      <c r="K606" s="57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</row>
    <row r="607" ht="12.75" customHeight="1">
      <c r="A607" s="52"/>
      <c r="B607" s="53"/>
      <c r="C607" s="52"/>
      <c r="D607" s="52"/>
      <c r="E607" s="52"/>
      <c r="F607" s="12"/>
      <c r="G607" s="52"/>
      <c r="H607" s="52"/>
      <c r="I607" s="57"/>
      <c r="J607" s="52"/>
      <c r="K607" s="57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</row>
    <row r="608" ht="12.75" customHeight="1">
      <c r="A608" s="52"/>
      <c r="B608" s="53"/>
      <c r="C608" s="52"/>
      <c r="D608" s="52"/>
      <c r="E608" s="52"/>
      <c r="F608" s="12"/>
      <c r="G608" s="52"/>
      <c r="H608" s="52"/>
      <c r="I608" s="57"/>
      <c r="J608" s="52"/>
      <c r="K608" s="57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</row>
    <row r="609" ht="12.75" customHeight="1">
      <c r="A609" s="52"/>
      <c r="B609" s="53"/>
      <c r="C609" s="52"/>
      <c r="D609" s="52"/>
      <c r="E609" s="52"/>
      <c r="F609" s="12"/>
      <c r="G609" s="52"/>
      <c r="H609" s="52"/>
      <c r="I609" s="57"/>
      <c r="J609" s="52"/>
      <c r="K609" s="57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</row>
    <row r="610" ht="12.75" customHeight="1">
      <c r="A610" s="52"/>
      <c r="B610" s="53"/>
      <c r="C610" s="52"/>
      <c r="D610" s="52"/>
      <c r="E610" s="52"/>
      <c r="F610" s="12"/>
      <c r="G610" s="52"/>
      <c r="H610" s="52"/>
      <c r="I610" s="57"/>
      <c r="J610" s="52"/>
      <c r="K610" s="57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</row>
    <row r="611" ht="12.75" customHeight="1">
      <c r="A611" s="52"/>
      <c r="B611" s="53"/>
      <c r="C611" s="52"/>
      <c r="D611" s="52"/>
      <c r="E611" s="52"/>
      <c r="F611" s="12"/>
      <c r="G611" s="52"/>
      <c r="H611" s="52"/>
      <c r="I611" s="57"/>
      <c r="J611" s="52"/>
      <c r="K611" s="57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</row>
    <row r="612" ht="12.75" customHeight="1">
      <c r="A612" s="52"/>
      <c r="B612" s="53"/>
      <c r="C612" s="52"/>
      <c r="D612" s="52"/>
      <c r="E612" s="52"/>
      <c r="F612" s="12"/>
      <c r="G612" s="52"/>
      <c r="H612" s="52"/>
      <c r="I612" s="57"/>
      <c r="J612" s="52"/>
      <c r="K612" s="57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</row>
    <row r="613" ht="12.75" customHeight="1">
      <c r="A613" s="52"/>
      <c r="B613" s="53"/>
      <c r="C613" s="52"/>
      <c r="D613" s="52"/>
      <c r="E613" s="52"/>
      <c r="F613" s="12"/>
      <c r="G613" s="52"/>
      <c r="H613" s="52"/>
      <c r="I613" s="57"/>
      <c r="J613" s="52"/>
      <c r="K613" s="57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</row>
    <row r="614" ht="12.75" customHeight="1">
      <c r="A614" s="52"/>
      <c r="B614" s="53"/>
      <c r="C614" s="52"/>
      <c r="D614" s="52"/>
      <c r="E614" s="52"/>
      <c r="F614" s="12"/>
      <c r="G614" s="52"/>
      <c r="H614" s="52"/>
      <c r="I614" s="57"/>
      <c r="J614" s="52"/>
      <c r="K614" s="57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</row>
    <row r="615" ht="12.75" customHeight="1">
      <c r="A615" s="52"/>
      <c r="B615" s="53"/>
      <c r="C615" s="52"/>
      <c r="D615" s="52"/>
      <c r="E615" s="52"/>
      <c r="F615" s="12"/>
      <c r="G615" s="52"/>
      <c r="H615" s="52"/>
      <c r="I615" s="57"/>
      <c r="J615" s="52"/>
      <c r="K615" s="57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</row>
    <row r="616" ht="12.75" customHeight="1">
      <c r="A616" s="52"/>
      <c r="B616" s="53"/>
      <c r="C616" s="52"/>
      <c r="D616" s="52"/>
      <c r="E616" s="52"/>
      <c r="F616" s="12"/>
      <c r="G616" s="52"/>
      <c r="H616" s="52"/>
      <c r="I616" s="57"/>
      <c r="J616" s="52"/>
      <c r="K616" s="57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</row>
    <row r="617" ht="12.75" customHeight="1">
      <c r="A617" s="52"/>
      <c r="B617" s="53"/>
      <c r="C617" s="52"/>
      <c r="D617" s="52"/>
      <c r="E617" s="52"/>
      <c r="F617" s="12"/>
      <c r="G617" s="52"/>
      <c r="H617" s="52"/>
      <c r="I617" s="57"/>
      <c r="J617" s="52"/>
      <c r="K617" s="57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</row>
    <row r="618" ht="12.75" customHeight="1">
      <c r="A618" s="52"/>
      <c r="B618" s="53"/>
      <c r="C618" s="52"/>
      <c r="D618" s="52"/>
      <c r="E618" s="52"/>
      <c r="F618" s="12"/>
      <c r="G618" s="52"/>
      <c r="H618" s="52"/>
      <c r="I618" s="57"/>
      <c r="J618" s="52"/>
      <c r="K618" s="57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</row>
    <row r="619" ht="12.75" customHeight="1">
      <c r="A619" s="52"/>
      <c r="B619" s="53"/>
      <c r="C619" s="52"/>
      <c r="D619" s="52"/>
      <c r="E619" s="52"/>
      <c r="F619" s="12"/>
      <c r="G619" s="52"/>
      <c r="H619" s="52"/>
      <c r="I619" s="57"/>
      <c r="J619" s="52"/>
      <c r="K619" s="57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</row>
    <row r="620" ht="12.75" customHeight="1">
      <c r="A620" s="52"/>
      <c r="B620" s="53"/>
      <c r="C620" s="52"/>
      <c r="D620" s="52"/>
      <c r="E620" s="52"/>
      <c r="F620" s="12"/>
      <c r="G620" s="52"/>
      <c r="H620" s="52"/>
      <c r="I620" s="57"/>
      <c r="J620" s="52"/>
      <c r="K620" s="57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</row>
    <row r="621" ht="12.75" customHeight="1">
      <c r="A621" s="52"/>
      <c r="B621" s="53"/>
      <c r="C621" s="52"/>
      <c r="D621" s="52"/>
      <c r="E621" s="52"/>
      <c r="F621" s="12"/>
      <c r="G621" s="52"/>
      <c r="H621" s="52"/>
      <c r="I621" s="57"/>
      <c r="J621" s="52"/>
      <c r="K621" s="57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</row>
    <row r="622" ht="12.75" customHeight="1">
      <c r="A622" s="52"/>
      <c r="B622" s="53"/>
      <c r="C622" s="52"/>
      <c r="D622" s="52"/>
      <c r="E622" s="52"/>
      <c r="F622" s="12"/>
      <c r="G622" s="52"/>
      <c r="H622" s="52"/>
      <c r="I622" s="57"/>
      <c r="J622" s="52"/>
      <c r="K622" s="57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</row>
    <row r="623" ht="12.75" customHeight="1">
      <c r="A623" s="52"/>
      <c r="B623" s="53"/>
      <c r="C623" s="52"/>
      <c r="D623" s="52"/>
      <c r="E623" s="52"/>
      <c r="F623" s="12"/>
      <c r="G623" s="52"/>
      <c r="H623" s="52"/>
      <c r="I623" s="57"/>
      <c r="J623" s="52"/>
      <c r="K623" s="57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</row>
    <row r="624" ht="12.75" customHeight="1">
      <c r="A624" s="52"/>
      <c r="B624" s="53"/>
      <c r="C624" s="52"/>
      <c r="D624" s="52"/>
      <c r="E624" s="52"/>
      <c r="F624" s="12"/>
      <c r="G624" s="52"/>
      <c r="H624" s="52"/>
      <c r="I624" s="57"/>
      <c r="J624" s="52"/>
      <c r="K624" s="57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</row>
    <row r="625" ht="12.75" customHeight="1">
      <c r="A625" s="52"/>
      <c r="B625" s="53"/>
      <c r="C625" s="52"/>
      <c r="D625" s="52"/>
      <c r="E625" s="52"/>
      <c r="F625" s="12"/>
      <c r="G625" s="52"/>
      <c r="H625" s="52"/>
      <c r="I625" s="57"/>
      <c r="J625" s="52"/>
      <c r="K625" s="57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</row>
    <row r="626" ht="12.75" customHeight="1">
      <c r="A626" s="52"/>
      <c r="B626" s="53"/>
      <c r="C626" s="52"/>
      <c r="D626" s="52"/>
      <c r="E626" s="52"/>
      <c r="F626" s="12"/>
      <c r="G626" s="52"/>
      <c r="H626" s="52"/>
      <c r="I626" s="57"/>
      <c r="J626" s="52"/>
      <c r="K626" s="57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</row>
    <row r="627" ht="12.75" customHeight="1">
      <c r="A627" s="52"/>
      <c r="B627" s="53"/>
      <c r="C627" s="52"/>
      <c r="D627" s="52"/>
      <c r="E627" s="52"/>
      <c r="F627" s="12"/>
      <c r="G627" s="52"/>
      <c r="H627" s="52"/>
      <c r="I627" s="57"/>
      <c r="J627" s="52"/>
      <c r="K627" s="57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</row>
    <row r="628" ht="12.75" customHeight="1">
      <c r="A628" s="52"/>
      <c r="B628" s="53"/>
      <c r="C628" s="52"/>
      <c r="D628" s="52"/>
      <c r="E628" s="52"/>
      <c r="F628" s="12"/>
      <c r="G628" s="52"/>
      <c r="H628" s="52"/>
      <c r="I628" s="57"/>
      <c r="J628" s="52"/>
      <c r="K628" s="57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</row>
    <row r="629" ht="12.75" customHeight="1">
      <c r="A629" s="52"/>
      <c r="B629" s="53"/>
      <c r="C629" s="52"/>
      <c r="D629" s="52"/>
      <c r="E629" s="52"/>
      <c r="F629" s="12"/>
      <c r="G629" s="52"/>
      <c r="H629" s="52"/>
      <c r="I629" s="57"/>
      <c r="J629" s="52"/>
      <c r="K629" s="57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</row>
    <row r="630" ht="12.75" customHeight="1">
      <c r="A630" s="52"/>
      <c r="B630" s="53"/>
      <c r="C630" s="52"/>
      <c r="D630" s="52"/>
      <c r="E630" s="52"/>
      <c r="F630" s="12"/>
      <c r="G630" s="52"/>
      <c r="H630" s="52"/>
      <c r="I630" s="57"/>
      <c r="J630" s="52"/>
      <c r="K630" s="57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</row>
    <row r="631" ht="12.75" customHeight="1">
      <c r="A631" s="52"/>
      <c r="B631" s="53"/>
      <c r="C631" s="52"/>
      <c r="D631" s="52"/>
      <c r="E631" s="52"/>
      <c r="F631" s="12"/>
      <c r="G631" s="52"/>
      <c r="H631" s="52"/>
      <c r="I631" s="57"/>
      <c r="J631" s="52"/>
      <c r="K631" s="57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</row>
    <row r="632" ht="12.75" customHeight="1">
      <c r="A632" s="52"/>
      <c r="B632" s="53"/>
      <c r="C632" s="52"/>
      <c r="D632" s="52"/>
      <c r="E632" s="52"/>
      <c r="F632" s="12"/>
      <c r="G632" s="52"/>
      <c r="H632" s="52"/>
      <c r="I632" s="57"/>
      <c r="J632" s="52"/>
      <c r="K632" s="57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</row>
    <row r="633" ht="12.75" customHeight="1">
      <c r="A633" s="52"/>
      <c r="B633" s="53"/>
      <c r="C633" s="52"/>
      <c r="D633" s="52"/>
      <c r="E633" s="52"/>
      <c r="F633" s="12"/>
      <c r="G633" s="52"/>
      <c r="H633" s="52"/>
      <c r="I633" s="57"/>
      <c r="J633" s="52"/>
      <c r="K633" s="57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</row>
    <row r="634" ht="12.75" customHeight="1">
      <c r="A634" s="52"/>
      <c r="B634" s="53"/>
      <c r="C634" s="52"/>
      <c r="D634" s="52"/>
      <c r="E634" s="52"/>
      <c r="F634" s="12"/>
      <c r="G634" s="52"/>
      <c r="H634" s="52"/>
      <c r="I634" s="57"/>
      <c r="J634" s="52"/>
      <c r="K634" s="57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</row>
    <row r="635" ht="12.75" customHeight="1">
      <c r="A635" s="52"/>
      <c r="B635" s="53"/>
      <c r="C635" s="52"/>
      <c r="D635" s="52"/>
      <c r="E635" s="52"/>
      <c r="F635" s="12"/>
      <c r="G635" s="52"/>
      <c r="H635" s="52"/>
      <c r="I635" s="57"/>
      <c r="J635" s="52"/>
      <c r="K635" s="57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</row>
    <row r="636" ht="12.75" customHeight="1">
      <c r="A636" s="52"/>
      <c r="B636" s="53"/>
      <c r="C636" s="52"/>
      <c r="D636" s="52"/>
      <c r="E636" s="52"/>
      <c r="F636" s="12"/>
      <c r="G636" s="52"/>
      <c r="H636" s="52"/>
      <c r="I636" s="57"/>
      <c r="J636" s="52"/>
      <c r="K636" s="57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</row>
    <row r="637" ht="12.75" customHeight="1">
      <c r="A637" s="52"/>
      <c r="B637" s="53"/>
      <c r="C637" s="52"/>
      <c r="D637" s="52"/>
      <c r="E637" s="52"/>
      <c r="F637" s="12"/>
      <c r="G637" s="52"/>
      <c r="H637" s="52"/>
      <c r="I637" s="57"/>
      <c r="J637" s="52"/>
      <c r="K637" s="57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</row>
    <row r="638" ht="12.75" customHeight="1">
      <c r="A638" s="52"/>
      <c r="B638" s="53"/>
      <c r="C638" s="52"/>
      <c r="D638" s="52"/>
      <c r="E638" s="52"/>
      <c r="F638" s="12"/>
      <c r="G638" s="52"/>
      <c r="H638" s="52"/>
      <c r="I638" s="57"/>
      <c r="J638" s="52"/>
      <c r="K638" s="57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</row>
    <row r="639" ht="12.75" customHeight="1">
      <c r="A639" s="52"/>
      <c r="B639" s="53"/>
      <c r="C639" s="52"/>
      <c r="D639" s="52"/>
      <c r="E639" s="52"/>
      <c r="F639" s="12"/>
      <c r="G639" s="52"/>
      <c r="H639" s="52"/>
      <c r="I639" s="57"/>
      <c r="J639" s="52"/>
      <c r="K639" s="57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</row>
    <row r="640" ht="12.75" customHeight="1">
      <c r="A640" s="52"/>
      <c r="B640" s="53"/>
      <c r="C640" s="52"/>
      <c r="D640" s="52"/>
      <c r="E640" s="52"/>
      <c r="F640" s="12"/>
      <c r="G640" s="52"/>
      <c r="H640" s="52"/>
      <c r="I640" s="57"/>
      <c r="J640" s="52"/>
      <c r="K640" s="57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</row>
    <row r="641" ht="12.75" customHeight="1">
      <c r="A641" s="52"/>
      <c r="B641" s="53"/>
      <c r="C641" s="52"/>
      <c r="D641" s="52"/>
      <c r="E641" s="52"/>
      <c r="F641" s="12"/>
      <c r="G641" s="52"/>
      <c r="H641" s="52"/>
      <c r="I641" s="57"/>
      <c r="J641" s="52"/>
      <c r="K641" s="57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</row>
    <row r="642" ht="12.75" customHeight="1">
      <c r="A642" s="52"/>
      <c r="B642" s="53"/>
      <c r="C642" s="52"/>
      <c r="D642" s="52"/>
      <c r="E642" s="52"/>
      <c r="F642" s="12"/>
      <c r="G642" s="52"/>
      <c r="H642" s="52"/>
      <c r="I642" s="57"/>
      <c r="J642" s="52"/>
      <c r="K642" s="57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</row>
    <row r="643" ht="12.75" customHeight="1">
      <c r="A643" s="52"/>
      <c r="B643" s="53"/>
      <c r="C643" s="52"/>
      <c r="D643" s="52"/>
      <c r="E643" s="52"/>
      <c r="F643" s="12"/>
      <c r="G643" s="52"/>
      <c r="H643" s="52"/>
      <c r="I643" s="57"/>
      <c r="J643" s="52"/>
      <c r="K643" s="57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</row>
    <row r="644" ht="12.75" customHeight="1">
      <c r="A644" s="52"/>
      <c r="B644" s="53"/>
      <c r="C644" s="52"/>
      <c r="D644" s="52"/>
      <c r="E644" s="52"/>
      <c r="F644" s="12"/>
      <c r="G644" s="52"/>
      <c r="H644" s="52"/>
      <c r="I644" s="57"/>
      <c r="J644" s="52"/>
      <c r="K644" s="57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</row>
    <row r="645" ht="12.75" customHeight="1">
      <c r="A645" s="52"/>
      <c r="B645" s="53"/>
      <c r="C645" s="52"/>
      <c r="D645" s="52"/>
      <c r="E645" s="52"/>
      <c r="F645" s="12"/>
      <c r="G645" s="52"/>
      <c r="H645" s="52"/>
      <c r="I645" s="57"/>
      <c r="J645" s="52"/>
      <c r="K645" s="57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</row>
    <row r="646" ht="12.75" customHeight="1">
      <c r="A646" s="52"/>
      <c r="B646" s="53"/>
      <c r="C646" s="52"/>
      <c r="D646" s="52"/>
      <c r="E646" s="52"/>
      <c r="F646" s="12"/>
      <c r="G646" s="52"/>
      <c r="H646" s="52"/>
      <c r="I646" s="57"/>
      <c r="J646" s="52"/>
      <c r="K646" s="57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</row>
    <row r="647" ht="12.75" customHeight="1">
      <c r="A647" s="52"/>
      <c r="B647" s="53"/>
      <c r="C647" s="52"/>
      <c r="D647" s="52"/>
      <c r="E647" s="52"/>
      <c r="F647" s="12"/>
      <c r="G647" s="52"/>
      <c r="H647" s="52"/>
      <c r="I647" s="57"/>
      <c r="J647" s="52"/>
      <c r="K647" s="57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</row>
    <row r="648" ht="12.75" customHeight="1">
      <c r="A648" s="52"/>
      <c r="B648" s="53"/>
      <c r="C648" s="52"/>
      <c r="D648" s="52"/>
      <c r="E648" s="52"/>
      <c r="F648" s="12"/>
      <c r="G648" s="52"/>
      <c r="H648" s="52"/>
      <c r="I648" s="57"/>
      <c r="J648" s="52"/>
      <c r="K648" s="57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</row>
    <row r="649" ht="12.75" customHeight="1">
      <c r="A649" s="52"/>
      <c r="B649" s="53"/>
      <c r="C649" s="52"/>
      <c r="D649" s="52"/>
      <c r="E649" s="52"/>
      <c r="F649" s="12"/>
      <c r="G649" s="52"/>
      <c r="H649" s="52"/>
      <c r="I649" s="57"/>
      <c r="J649" s="52"/>
      <c r="K649" s="57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</row>
    <row r="650" ht="12.75" customHeight="1">
      <c r="A650" s="52"/>
      <c r="B650" s="53"/>
      <c r="C650" s="52"/>
      <c r="D650" s="52"/>
      <c r="E650" s="52"/>
      <c r="F650" s="12"/>
      <c r="G650" s="52"/>
      <c r="H650" s="52"/>
      <c r="I650" s="57"/>
      <c r="J650" s="52"/>
      <c r="K650" s="57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</row>
    <row r="651" ht="12.75" customHeight="1">
      <c r="A651" s="52"/>
      <c r="B651" s="53"/>
      <c r="C651" s="52"/>
      <c r="D651" s="52"/>
      <c r="E651" s="52"/>
      <c r="F651" s="12"/>
      <c r="G651" s="52"/>
      <c r="H651" s="52"/>
      <c r="I651" s="57"/>
      <c r="J651" s="52"/>
      <c r="K651" s="57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</row>
    <row r="652" ht="12.75" customHeight="1">
      <c r="A652" s="52"/>
      <c r="B652" s="53"/>
      <c r="C652" s="52"/>
      <c r="D652" s="52"/>
      <c r="E652" s="52"/>
      <c r="F652" s="12"/>
      <c r="G652" s="52"/>
      <c r="H652" s="52"/>
      <c r="I652" s="57"/>
      <c r="J652" s="52"/>
      <c r="K652" s="57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</row>
    <row r="653" ht="12.75" customHeight="1">
      <c r="A653" s="52"/>
      <c r="B653" s="53"/>
      <c r="C653" s="52"/>
      <c r="D653" s="52"/>
      <c r="E653" s="52"/>
      <c r="F653" s="12"/>
      <c r="G653" s="52"/>
      <c r="H653" s="52"/>
      <c r="I653" s="57"/>
      <c r="J653" s="52"/>
      <c r="K653" s="57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</row>
    <row r="654" ht="12.75" customHeight="1">
      <c r="A654" s="52"/>
      <c r="B654" s="53"/>
      <c r="C654" s="52"/>
      <c r="D654" s="52"/>
      <c r="E654" s="52"/>
      <c r="F654" s="12"/>
      <c r="G654" s="52"/>
      <c r="H654" s="52"/>
      <c r="I654" s="57"/>
      <c r="J654" s="52"/>
      <c r="K654" s="57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</row>
    <row r="655" ht="12.75" customHeight="1">
      <c r="A655" s="52"/>
      <c r="B655" s="53"/>
      <c r="C655" s="52"/>
      <c r="D655" s="52"/>
      <c r="E655" s="52"/>
      <c r="F655" s="12"/>
      <c r="G655" s="52"/>
      <c r="H655" s="52"/>
      <c r="I655" s="57"/>
      <c r="J655" s="52"/>
      <c r="K655" s="57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</row>
    <row r="656" ht="12.75" customHeight="1">
      <c r="A656" s="52"/>
      <c r="B656" s="53"/>
      <c r="C656" s="52"/>
      <c r="D656" s="52"/>
      <c r="E656" s="52"/>
      <c r="F656" s="12"/>
      <c r="G656" s="52"/>
      <c r="H656" s="52"/>
      <c r="I656" s="57"/>
      <c r="J656" s="52"/>
      <c r="K656" s="57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</row>
    <row r="657" ht="12.75" customHeight="1">
      <c r="A657" s="52"/>
      <c r="B657" s="53"/>
      <c r="C657" s="52"/>
      <c r="D657" s="52"/>
      <c r="E657" s="52"/>
      <c r="F657" s="12"/>
      <c r="G657" s="52"/>
      <c r="H657" s="52"/>
      <c r="I657" s="57"/>
      <c r="J657" s="52"/>
      <c r="K657" s="57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</row>
    <row r="658" ht="12.75" customHeight="1">
      <c r="A658" s="52"/>
      <c r="B658" s="53"/>
      <c r="C658" s="52"/>
      <c r="D658" s="52"/>
      <c r="E658" s="52"/>
      <c r="F658" s="12"/>
      <c r="G658" s="52"/>
      <c r="H658" s="52"/>
      <c r="I658" s="57"/>
      <c r="J658" s="52"/>
      <c r="K658" s="57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</row>
    <row r="659" ht="12.75" customHeight="1">
      <c r="A659" s="52"/>
      <c r="B659" s="53"/>
      <c r="C659" s="52"/>
      <c r="D659" s="52"/>
      <c r="E659" s="52"/>
      <c r="F659" s="12"/>
      <c r="G659" s="52"/>
      <c r="H659" s="52"/>
      <c r="I659" s="57"/>
      <c r="J659" s="52"/>
      <c r="K659" s="57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</row>
    <row r="660" ht="12.75" customHeight="1">
      <c r="A660" s="52"/>
      <c r="B660" s="53"/>
      <c r="C660" s="52"/>
      <c r="D660" s="52"/>
      <c r="E660" s="52"/>
      <c r="F660" s="12"/>
      <c r="G660" s="52"/>
      <c r="H660" s="52"/>
      <c r="I660" s="57"/>
      <c r="J660" s="52"/>
      <c r="K660" s="57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</row>
    <row r="661" ht="12.75" customHeight="1">
      <c r="A661" s="52"/>
      <c r="B661" s="53"/>
      <c r="C661" s="52"/>
      <c r="D661" s="52"/>
      <c r="E661" s="52"/>
      <c r="F661" s="12"/>
      <c r="G661" s="52"/>
      <c r="H661" s="52"/>
      <c r="I661" s="57"/>
      <c r="J661" s="52"/>
      <c r="K661" s="57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</row>
    <row r="662" ht="12.75" customHeight="1">
      <c r="A662" s="52"/>
      <c r="B662" s="53"/>
      <c r="C662" s="52"/>
      <c r="D662" s="52"/>
      <c r="E662" s="52"/>
      <c r="F662" s="12"/>
      <c r="G662" s="52"/>
      <c r="H662" s="52"/>
      <c r="I662" s="57"/>
      <c r="J662" s="52"/>
      <c r="K662" s="57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</row>
    <row r="663" ht="12.75" customHeight="1">
      <c r="A663" s="52"/>
      <c r="B663" s="53"/>
      <c r="C663" s="52"/>
      <c r="D663" s="52"/>
      <c r="E663" s="52"/>
      <c r="F663" s="12"/>
      <c r="G663" s="52"/>
      <c r="H663" s="52"/>
      <c r="I663" s="57"/>
      <c r="J663" s="52"/>
      <c r="K663" s="57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</row>
    <row r="664" ht="12.75" customHeight="1">
      <c r="A664" s="52"/>
      <c r="B664" s="53"/>
      <c r="C664" s="52"/>
      <c r="D664" s="52"/>
      <c r="E664" s="52"/>
      <c r="F664" s="12"/>
      <c r="G664" s="52"/>
      <c r="H664" s="52"/>
      <c r="I664" s="57"/>
      <c r="J664" s="52"/>
      <c r="K664" s="57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</row>
    <row r="665" ht="12.75" customHeight="1">
      <c r="A665" s="52"/>
      <c r="B665" s="53"/>
      <c r="C665" s="52"/>
      <c r="D665" s="52"/>
      <c r="E665" s="52"/>
      <c r="F665" s="12"/>
      <c r="G665" s="52"/>
      <c r="H665" s="52"/>
      <c r="I665" s="57"/>
      <c r="J665" s="52"/>
      <c r="K665" s="57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</row>
    <row r="666" ht="12.75" customHeight="1">
      <c r="A666" s="52"/>
      <c r="B666" s="53"/>
      <c r="C666" s="52"/>
      <c r="D666" s="52"/>
      <c r="E666" s="52"/>
      <c r="F666" s="12"/>
      <c r="G666" s="52"/>
      <c r="H666" s="52"/>
      <c r="I666" s="57"/>
      <c r="J666" s="52"/>
      <c r="K666" s="57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</row>
    <row r="667" ht="12.75" customHeight="1">
      <c r="A667" s="52"/>
      <c r="B667" s="53"/>
      <c r="C667" s="52"/>
      <c r="D667" s="52"/>
      <c r="E667" s="52"/>
      <c r="F667" s="12"/>
      <c r="G667" s="52"/>
      <c r="H667" s="52"/>
      <c r="I667" s="57"/>
      <c r="J667" s="52"/>
      <c r="K667" s="57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</row>
    <row r="668" ht="12.75" customHeight="1">
      <c r="A668" s="52"/>
      <c r="B668" s="53"/>
      <c r="C668" s="52"/>
      <c r="D668" s="52"/>
      <c r="E668" s="52"/>
      <c r="F668" s="12"/>
      <c r="G668" s="52"/>
      <c r="H668" s="52"/>
      <c r="I668" s="57"/>
      <c r="J668" s="52"/>
      <c r="K668" s="57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</row>
    <row r="669" ht="12.75" customHeight="1">
      <c r="A669" s="52"/>
      <c r="B669" s="53"/>
      <c r="C669" s="52"/>
      <c r="D669" s="52"/>
      <c r="E669" s="52"/>
      <c r="F669" s="12"/>
      <c r="G669" s="52"/>
      <c r="H669" s="52"/>
      <c r="I669" s="57"/>
      <c r="J669" s="52"/>
      <c r="K669" s="57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</row>
    <row r="670" ht="12.75" customHeight="1">
      <c r="A670" s="52"/>
      <c r="B670" s="53"/>
      <c r="C670" s="52"/>
      <c r="D670" s="52"/>
      <c r="E670" s="52"/>
      <c r="F670" s="12"/>
      <c r="G670" s="52"/>
      <c r="H670" s="52"/>
      <c r="I670" s="57"/>
      <c r="J670" s="52"/>
      <c r="K670" s="57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</row>
    <row r="671" ht="12.75" customHeight="1">
      <c r="A671" s="52"/>
      <c r="B671" s="53"/>
      <c r="C671" s="52"/>
      <c r="D671" s="52"/>
      <c r="E671" s="52"/>
      <c r="F671" s="12"/>
      <c r="G671" s="52"/>
      <c r="H671" s="52"/>
      <c r="I671" s="57"/>
      <c r="J671" s="52"/>
      <c r="K671" s="57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</row>
    <row r="672" ht="12.75" customHeight="1">
      <c r="A672" s="52"/>
      <c r="B672" s="53"/>
      <c r="C672" s="52"/>
      <c r="D672" s="52"/>
      <c r="E672" s="52"/>
      <c r="F672" s="12"/>
      <c r="G672" s="52"/>
      <c r="H672" s="52"/>
      <c r="I672" s="57"/>
      <c r="J672" s="52"/>
      <c r="K672" s="57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</row>
    <row r="673" ht="12.75" customHeight="1">
      <c r="A673" s="52"/>
      <c r="B673" s="53"/>
      <c r="C673" s="52"/>
      <c r="D673" s="52"/>
      <c r="E673" s="52"/>
      <c r="F673" s="12"/>
      <c r="G673" s="52"/>
      <c r="H673" s="52"/>
      <c r="I673" s="57"/>
      <c r="J673" s="52"/>
      <c r="K673" s="57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</row>
    <row r="674" ht="12.75" customHeight="1">
      <c r="A674" s="52"/>
      <c r="B674" s="53"/>
      <c r="C674" s="52"/>
      <c r="D674" s="52"/>
      <c r="E674" s="52"/>
      <c r="F674" s="12"/>
      <c r="G674" s="52"/>
      <c r="H674" s="52"/>
      <c r="I674" s="57"/>
      <c r="J674" s="52"/>
      <c r="K674" s="57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</row>
    <row r="675" ht="12.75" customHeight="1">
      <c r="A675" s="52"/>
      <c r="B675" s="53"/>
      <c r="C675" s="52"/>
      <c r="D675" s="52"/>
      <c r="E675" s="52"/>
      <c r="F675" s="12"/>
      <c r="G675" s="52"/>
      <c r="H675" s="52"/>
      <c r="I675" s="57"/>
      <c r="J675" s="52"/>
      <c r="K675" s="57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</row>
    <row r="676" ht="12.75" customHeight="1">
      <c r="A676" s="52"/>
      <c r="B676" s="53"/>
      <c r="C676" s="52"/>
      <c r="D676" s="52"/>
      <c r="E676" s="52"/>
      <c r="F676" s="12"/>
      <c r="G676" s="52"/>
      <c r="H676" s="52"/>
      <c r="I676" s="57"/>
      <c r="J676" s="52"/>
      <c r="K676" s="57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</row>
    <row r="677" ht="12.75" customHeight="1">
      <c r="A677" s="52"/>
      <c r="B677" s="53"/>
      <c r="C677" s="52"/>
      <c r="D677" s="52"/>
      <c r="E677" s="52"/>
      <c r="F677" s="12"/>
      <c r="G677" s="52"/>
      <c r="H677" s="52"/>
      <c r="I677" s="57"/>
      <c r="J677" s="52"/>
      <c r="K677" s="57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</row>
    <row r="678" ht="12.75" customHeight="1">
      <c r="A678" s="52"/>
      <c r="B678" s="53"/>
      <c r="C678" s="52"/>
      <c r="D678" s="52"/>
      <c r="E678" s="52"/>
      <c r="F678" s="12"/>
      <c r="G678" s="52"/>
      <c r="H678" s="52"/>
      <c r="I678" s="57"/>
      <c r="J678" s="52"/>
      <c r="K678" s="57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</row>
    <row r="679" ht="12.75" customHeight="1">
      <c r="A679" s="52"/>
      <c r="B679" s="53"/>
      <c r="C679" s="52"/>
      <c r="D679" s="52"/>
      <c r="E679" s="52"/>
      <c r="F679" s="12"/>
      <c r="G679" s="52"/>
      <c r="H679" s="52"/>
      <c r="I679" s="57"/>
      <c r="J679" s="52"/>
      <c r="K679" s="57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</row>
    <row r="680" ht="12.75" customHeight="1">
      <c r="A680" s="52"/>
      <c r="B680" s="53"/>
      <c r="C680" s="52"/>
      <c r="D680" s="52"/>
      <c r="E680" s="52"/>
      <c r="F680" s="12"/>
      <c r="G680" s="52"/>
      <c r="H680" s="52"/>
      <c r="I680" s="57"/>
      <c r="J680" s="52"/>
      <c r="K680" s="57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</row>
    <row r="681" ht="12.75" customHeight="1">
      <c r="A681" s="52"/>
      <c r="B681" s="53"/>
      <c r="C681" s="52"/>
      <c r="D681" s="52"/>
      <c r="E681" s="52"/>
      <c r="F681" s="12"/>
      <c r="G681" s="52"/>
      <c r="H681" s="52"/>
      <c r="I681" s="57"/>
      <c r="J681" s="52"/>
      <c r="K681" s="57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</row>
    <row r="682" ht="12.75" customHeight="1">
      <c r="A682" s="52"/>
      <c r="B682" s="53"/>
      <c r="C682" s="52"/>
      <c r="D682" s="52"/>
      <c r="E682" s="52"/>
      <c r="F682" s="12"/>
      <c r="G682" s="52"/>
      <c r="H682" s="52"/>
      <c r="I682" s="57"/>
      <c r="J682" s="52"/>
      <c r="K682" s="57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</row>
    <row r="683" ht="12.75" customHeight="1">
      <c r="A683" s="52"/>
      <c r="B683" s="53"/>
      <c r="C683" s="52"/>
      <c r="D683" s="52"/>
      <c r="E683" s="52"/>
      <c r="F683" s="12"/>
      <c r="G683" s="52"/>
      <c r="H683" s="52"/>
      <c r="I683" s="57"/>
      <c r="J683" s="52"/>
      <c r="K683" s="57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</row>
    <row r="684" ht="12.75" customHeight="1">
      <c r="A684" s="52"/>
      <c r="B684" s="53"/>
      <c r="C684" s="52"/>
      <c r="D684" s="52"/>
      <c r="E684" s="52"/>
      <c r="F684" s="12"/>
      <c r="G684" s="52"/>
      <c r="H684" s="52"/>
      <c r="I684" s="57"/>
      <c r="J684" s="52"/>
      <c r="K684" s="57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</row>
    <row r="685" ht="12.75" customHeight="1">
      <c r="A685" s="52"/>
      <c r="B685" s="53"/>
      <c r="C685" s="52"/>
      <c r="D685" s="52"/>
      <c r="E685" s="52"/>
      <c r="F685" s="12"/>
      <c r="G685" s="52"/>
      <c r="H685" s="52"/>
      <c r="I685" s="57"/>
      <c r="J685" s="52"/>
      <c r="K685" s="57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</row>
    <row r="686" ht="12.75" customHeight="1">
      <c r="A686" s="52"/>
      <c r="B686" s="53"/>
      <c r="C686" s="52"/>
      <c r="D686" s="52"/>
      <c r="E686" s="52"/>
      <c r="F686" s="12"/>
      <c r="G686" s="52"/>
      <c r="H686" s="52"/>
      <c r="I686" s="57"/>
      <c r="J686" s="52"/>
      <c r="K686" s="57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</row>
    <row r="687" ht="12.75" customHeight="1">
      <c r="A687" s="52"/>
      <c r="B687" s="53"/>
      <c r="C687" s="52"/>
      <c r="D687" s="52"/>
      <c r="E687" s="52"/>
      <c r="F687" s="12"/>
      <c r="G687" s="52"/>
      <c r="H687" s="52"/>
      <c r="I687" s="57"/>
      <c r="J687" s="52"/>
      <c r="K687" s="57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</row>
    <row r="688" ht="12.75" customHeight="1">
      <c r="A688" s="52"/>
      <c r="B688" s="53"/>
      <c r="C688" s="52"/>
      <c r="D688" s="52"/>
      <c r="E688" s="52"/>
      <c r="F688" s="12"/>
      <c r="G688" s="52"/>
      <c r="H688" s="52"/>
      <c r="I688" s="57"/>
      <c r="J688" s="52"/>
      <c r="K688" s="57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</row>
    <row r="689" ht="12.75" customHeight="1">
      <c r="A689" s="52"/>
      <c r="B689" s="53"/>
      <c r="C689" s="52"/>
      <c r="D689" s="52"/>
      <c r="E689" s="52"/>
      <c r="F689" s="12"/>
      <c r="G689" s="52"/>
      <c r="H689" s="52"/>
      <c r="I689" s="57"/>
      <c r="J689" s="52"/>
      <c r="K689" s="57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</row>
    <row r="690" ht="12.75" customHeight="1">
      <c r="A690" s="52"/>
      <c r="B690" s="53"/>
      <c r="C690" s="52"/>
      <c r="D690" s="52"/>
      <c r="E690" s="52"/>
      <c r="F690" s="12"/>
      <c r="G690" s="52"/>
      <c r="H690" s="52"/>
      <c r="I690" s="57"/>
      <c r="J690" s="52"/>
      <c r="K690" s="57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</row>
    <row r="691" ht="12.75" customHeight="1">
      <c r="A691" s="52"/>
      <c r="B691" s="53"/>
      <c r="C691" s="52"/>
      <c r="D691" s="52"/>
      <c r="E691" s="52"/>
      <c r="F691" s="12"/>
      <c r="G691" s="52"/>
      <c r="H691" s="52"/>
      <c r="I691" s="57"/>
      <c r="J691" s="52"/>
      <c r="K691" s="57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</row>
    <row r="692" ht="12.75" customHeight="1">
      <c r="A692" s="52"/>
      <c r="B692" s="53"/>
      <c r="C692" s="52"/>
      <c r="D692" s="52"/>
      <c r="E692" s="52"/>
      <c r="F692" s="12"/>
      <c r="G692" s="52"/>
      <c r="H692" s="52"/>
      <c r="I692" s="57"/>
      <c r="J692" s="52"/>
      <c r="K692" s="57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</row>
    <row r="693" ht="12.75" customHeight="1">
      <c r="A693" s="52"/>
      <c r="B693" s="53"/>
      <c r="C693" s="52"/>
      <c r="D693" s="52"/>
      <c r="E693" s="52"/>
      <c r="F693" s="12"/>
      <c r="G693" s="52"/>
      <c r="H693" s="52"/>
      <c r="I693" s="57"/>
      <c r="J693" s="52"/>
      <c r="K693" s="57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</row>
    <row r="694" ht="12.75" customHeight="1">
      <c r="A694" s="52"/>
      <c r="B694" s="53"/>
      <c r="C694" s="52"/>
      <c r="D694" s="52"/>
      <c r="E694" s="52"/>
      <c r="F694" s="12"/>
      <c r="G694" s="52"/>
      <c r="H694" s="52"/>
      <c r="I694" s="57"/>
      <c r="J694" s="52"/>
      <c r="K694" s="57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</row>
    <row r="695" ht="12.75" customHeight="1">
      <c r="A695" s="52"/>
      <c r="B695" s="53"/>
      <c r="C695" s="52"/>
      <c r="D695" s="52"/>
      <c r="E695" s="52"/>
      <c r="F695" s="12"/>
      <c r="G695" s="52"/>
      <c r="H695" s="52"/>
      <c r="I695" s="57"/>
      <c r="J695" s="52"/>
      <c r="K695" s="57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</row>
    <row r="696" ht="12.75" customHeight="1">
      <c r="A696" s="52"/>
      <c r="B696" s="53"/>
      <c r="C696" s="52"/>
      <c r="D696" s="52"/>
      <c r="E696" s="52"/>
      <c r="F696" s="12"/>
      <c r="G696" s="52"/>
      <c r="H696" s="52"/>
      <c r="I696" s="57"/>
      <c r="J696" s="52"/>
      <c r="K696" s="57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</row>
    <row r="697" ht="12.75" customHeight="1">
      <c r="A697" s="52"/>
      <c r="B697" s="53"/>
      <c r="C697" s="52"/>
      <c r="D697" s="52"/>
      <c r="E697" s="52"/>
      <c r="F697" s="12"/>
      <c r="G697" s="52"/>
      <c r="H697" s="52"/>
      <c r="I697" s="57"/>
      <c r="J697" s="52"/>
      <c r="K697" s="57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</row>
    <row r="698" ht="12.75" customHeight="1">
      <c r="A698" s="52"/>
      <c r="B698" s="53"/>
      <c r="C698" s="52"/>
      <c r="D698" s="52"/>
      <c r="E698" s="52"/>
      <c r="F698" s="12"/>
      <c r="G698" s="52"/>
      <c r="H698" s="52"/>
      <c r="I698" s="57"/>
      <c r="J698" s="52"/>
      <c r="K698" s="57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</row>
    <row r="699" ht="12.75" customHeight="1">
      <c r="A699" s="52"/>
      <c r="B699" s="53"/>
      <c r="C699" s="52"/>
      <c r="D699" s="52"/>
      <c r="E699" s="52"/>
      <c r="F699" s="12"/>
      <c r="G699" s="52"/>
      <c r="H699" s="52"/>
      <c r="I699" s="57"/>
      <c r="J699" s="52"/>
      <c r="K699" s="57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</row>
    <row r="700" ht="12.75" customHeight="1">
      <c r="A700" s="52"/>
      <c r="B700" s="53"/>
      <c r="C700" s="52"/>
      <c r="D700" s="52"/>
      <c r="E700" s="52"/>
      <c r="F700" s="12"/>
      <c r="G700" s="52"/>
      <c r="H700" s="52"/>
      <c r="I700" s="57"/>
      <c r="J700" s="52"/>
      <c r="K700" s="57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</row>
    <row r="701" ht="12.75" customHeight="1">
      <c r="A701" s="52"/>
      <c r="B701" s="53"/>
      <c r="C701" s="52"/>
      <c r="D701" s="52"/>
      <c r="E701" s="52"/>
      <c r="F701" s="12"/>
      <c r="G701" s="52"/>
      <c r="H701" s="52"/>
      <c r="I701" s="57"/>
      <c r="J701" s="52"/>
      <c r="K701" s="57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</row>
    <row r="702" ht="12.75" customHeight="1">
      <c r="A702" s="52"/>
      <c r="B702" s="53"/>
      <c r="C702" s="52"/>
      <c r="D702" s="52"/>
      <c r="E702" s="52"/>
      <c r="F702" s="12"/>
      <c r="G702" s="52"/>
      <c r="H702" s="52"/>
      <c r="I702" s="57"/>
      <c r="J702" s="52"/>
      <c r="K702" s="57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</row>
    <row r="703" ht="12.75" customHeight="1">
      <c r="A703" s="52"/>
      <c r="B703" s="53"/>
      <c r="C703" s="52"/>
      <c r="D703" s="52"/>
      <c r="E703" s="52"/>
      <c r="F703" s="12"/>
      <c r="G703" s="52"/>
      <c r="H703" s="52"/>
      <c r="I703" s="57"/>
      <c r="J703" s="52"/>
      <c r="K703" s="57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</row>
    <row r="704" ht="12.75" customHeight="1">
      <c r="A704" s="52"/>
      <c r="B704" s="53"/>
      <c r="C704" s="52"/>
      <c r="D704" s="52"/>
      <c r="E704" s="52"/>
      <c r="F704" s="12"/>
      <c r="G704" s="52"/>
      <c r="H704" s="52"/>
      <c r="I704" s="57"/>
      <c r="J704" s="52"/>
      <c r="K704" s="57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</row>
    <row r="705" ht="12.75" customHeight="1">
      <c r="A705" s="52"/>
      <c r="B705" s="53"/>
      <c r="C705" s="52"/>
      <c r="D705" s="52"/>
      <c r="E705" s="52"/>
      <c r="F705" s="12"/>
      <c r="G705" s="52"/>
      <c r="H705" s="52"/>
      <c r="I705" s="57"/>
      <c r="J705" s="52"/>
      <c r="K705" s="57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</row>
    <row r="706" ht="12.75" customHeight="1">
      <c r="A706" s="52"/>
      <c r="B706" s="53"/>
      <c r="C706" s="52"/>
      <c r="D706" s="52"/>
      <c r="E706" s="52"/>
      <c r="F706" s="12"/>
      <c r="G706" s="52"/>
      <c r="H706" s="52"/>
      <c r="I706" s="57"/>
      <c r="J706" s="52"/>
      <c r="K706" s="57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</row>
    <row r="707" ht="12.75" customHeight="1">
      <c r="A707" s="52"/>
      <c r="B707" s="53"/>
      <c r="C707" s="52"/>
      <c r="D707" s="52"/>
      <c r="E707" s="52"/>
      <c r="F707" s="12"/>
      <c r="G707" s="52"/>
      <c r="H707" s="52"/>
      <c r="I707" s="57"/>
      <c r="J707" s="52"/>
      <c r="K707" s="57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</row>
    <row r="708" ht="12.75" customHeight="1">
      <c r="A708" s="52"/>
      <c r="B708" s="53"/>
      <c r="C708" s="52"/>
      <c r="D708" s="52"/>
      <c r="E708" s="52"/>
      <c r="F708" s="12"/>
      <c r="G708" s="52"/>
      <c r="H708" s="52"/>
      <c r="I708" s="57"/>
      <c r="J708" s="52"/>
      <c r="K708" s="57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</row>
    <row r="709" ht="12.75" customHeight="1">
      <c r="A709" s="52"/>
      <c r="B709" s="53"/>
      <c r="C709" s="52"/>
      <c r="D709" s="52"/>
      <c r="E709" s="52"/>
      <c r="F709" s="12"/>
      <c r="G709" s="52"/>
      <c r="H709" s="52"/>
      <c r="I709" s="57"/>
      <c r="J709" s="52"/>
      <c r="K709" s="57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</row>
    <row r="710" ht="12.75" customHeight="1">
      <c r="A710" s="52"/>
      <c r="B710" s="53"/>
      <c r="C710" s="52"/>
      <c r="D710" s="52"/>
      <c r="E710" s="52"/>
      <c r="F710" s="12"/>
      <c r="G710" s="52"/>
      <c r="H710" s="52"/>
      <c r="I710" s="57"/>
      <c r="J710" s="52"/>
      <c r="K710" s="57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</row>
    <row r="711" ht="12.75" customHeight="1">
      <c r="A711" s="52"/>
      <c r="B711" s="53"/>
      <c r="C711" s="52"/>
      <c r="D711" s="52"/>
      <c r="E711" s="52"/>
      <c r="F711" s="12"/>
      <c r="G711" s="52"/>
      <c r="H711" s="52"/>
      <c r="I711" s="57"/>
      <c r="J711" s="52"/>
      <c r="K711" s="57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</row>
    <row r="712" ht="12.75" customHeight="1">
      <c r="A712" s="52"/>
      <c r="B712" s="53"/>
      <c r="C712" s="52"/>
      <c r="D712" s="52"/>
      <c r="E712" s="52"/>
      <c r="F712" s="12"/>
      <c r="G712" s="52"/>
      <c r="H712" s="52"/>
      <c r="I712" s="57"/>
      <c r="J712" s="52"/>
      <c r="K712" s="57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</row>
    <row r="713" ht="12.75" customHeight="1">
      <c r="A713" s="52"/>
      <c r="B713" s="53"/>
      <c r="C713" s="52"/>
      <c r="D713" s="52"/>
      <c r="E713" s="52"/>
      <c r="F713" s="12"/>
      <c r="G713" s="52"/>
      <c r="H713" s="52"/>
      <c r="I713" s="57"/>
      <c r="J713" s="52"/>
      <c r="K713" s="57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</row>
    <row r="714" ht="12.75" customHeight="1">
      <c r="A714" s="52"/>
      <c r="B714" s="53"/>
      <c r="C714" s="52"/>
      <c r="D714" s="52"/>
      <c r="E714" s="52"/>
      <c r="F714" s="12"/>
      <c r="G714" s="52"/>
      <c r="H714" s="52"/>
      <c r="I714" s="57"/>
      <c r="J714" s="52"/>
      <c r="K714" s="57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</row>
    <row r="715" ht="12.75" customHeight="1">
      <c r="A715" s="52"/>
      <c r="B715" s="53"/>
      <c r="C715" s="52"/>
      <c r="D715" s="52"/>
      <c r="E715" s="52"/>
      <c r="F715" s="12"/>
      <c r="G715" s="52"/>
      <c r="H715" s="52"/>
      <c r="I715" s="57"/>
      <c r="J715" s="52"/>
      <c r="K715" s="57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</row>
    <row r="716" ht="12.75" customHeight="1">
      <c r="A716" s="52"/>
      <c r="B716" s="53"/>
      <c r="C716" s="52"/>
      <c r="D716" s="52"/>
      <c r="E716" s="52"/>
      <c r="F716" s="12"/>
      <c r="G716" s="52"/>
      <c r="H716" s="52"/>
      <c r="I716" s="57"/>
      <c r="J716" s="52"/>
      <c r="K716" s="57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</row>
    <row r="717" ht="12.75" customHeight="1">
      <c r="A717" s="52"/>
      <c r="B717" s="53"/>
      <c r="C717" s="52"/>
      <c r="D717" s="52"/>
      <c r="E717" s="52"/>
      <c r="F717" s="12"/>
      <c r="G717" s="52"/>
      <c r="H717" s="52"/>
      <c r="I717" s="57"/>
      <c r="J717" s="52"/>
      <c r="K717" s="57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</row>
    <row r="718" ht="12.75" customHeight="1">
      <c r="A718" s="52"/>
      <c r="B718" s="53"/>
      <c r="C718" s="52"/>
      <c r="D718" s="52"/>
      <c r="E718" s="52"/>
      <c r="F718" s="12"/>
      <c r="G718" s="52"/>
      <c r="H718" s="52"/>
      <c r="I718" s="57"/>
      <c r="J718" s="52"/>
      <c r="K718" s="57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</row>
    <row r="719" ht="12.75" customHeight="1">
      <c r="A719" s="52"/>
      <c r="B719" s="53"/>
      <c r="C719" s="52"/>
      <c r="D719" s="52"/>
      <c r="E719" s="52"/>
      <c r="F719" s="12"/>
      <c r="G719" s="52"/>
      <c r="H719" s="52"/>
      <c r="I719" s="57"/>
      <c r="J719" s="52"/>
      <c r="K719" s="57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</row>
    <row r="720" ht="12.75" customHeight="1">
      <c r="A720" s="52"/>
      <c r="B720" s="53"/>
      <c r="C720" s="52"/>
      <c r="D720" s="52"/>
      <c r="E720" s="52"/>
      <c r="F720" s="12"/>
      <c r="G720" s="52"/>
      <c r="H720" s="52"/>
      <c r="I720" s="57"/>
      <c r="J720" s="52"/>
      <c r="K720" s="57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</row>
    <row r="721" ht="12.75" customHeight="1">
      <c r="A721" s="52"/>
      <c r="B721" s="53"/>
      <c r="C721" s="52"/>
      <c r="D721" s="52"/>
      <c r="E721" s="52"/>
      <c r="F721" s="12"/>
      <c r="G721" s="52"/>
      <c r="H721" s="52"/>
      <c r="I721" s="57"/>
      <c r="J721" s="52"/>
      <c r="K721" s="57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</row>
    <row r="722" ht="12.75" customHeight="1">
      <c r="A722" s="52"/>
      <c r="B722" s="53"/>
      <c r="C722" s="52"/>
      <c r="D722" s="52"/>
      <c r="E722" s="52"/>
      <c r="F722" s="12"/>
      <c r="G722" s="52"/>
      <c r="H722" s="52"/>
      <c r="I722" s="57"/>
      <c r="J722" s="52"/>
      <c r="K722" s="57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</row>
    <row r="723" ht="12.75" customHeight="1">
      <c r="A723" s="52"/>
      <c r="B723" s="53"/>
      <c r="C723" s="52"/>
      <c r="D723" s="52"/>
      <c r="E723" s="52"/>
      <c r="F723" s="12"/>
      <c r="G723" s="52"/>
      <c r="H723" s="52"/>
      <c r="I723" s="57"/>
      <c r="J723" s="52"/>
      <c r="K723" s="57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</row>
    <row r="724" ht="12.75" customHeight="1">
      <c r="A724" s="52"/>
      <c r="B724" s="53"/>
      <c r="C724" s="52"/>
      <c r="D724" s="52"/>
      <c r="E724" s="52"/>
      <c r="F724" s="12"/>
      <c r="G724" s="52"/>
      <c r="H724" s="52"/>
      <c r="I724" s="57"/>
      <c r="J724" s="52"/>
      <c r="K724" s="57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</row>
    <row r="725" ht="12.75" customHeight="1">
      <c r="A725" s="52"/>
      <c r="B725" s="53"/>
      <c r="C725" s="52"/>
      <c r="D725" s="52"/>
      <c r="E725" s="52"/>
      <c r="F725" s="12"/>
      <c r="G725" s="52"/>
      <c r="H725" s="52"/>
      <c r="I725" s="57"/>
      <c r="J725" s="52"/>
      <c r="K725" s="57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</row>
    <row r="726" ht="12.75" customHeight="1">
      <c r="A726" s="52"/>
      <c r="B726" s="53"/>
      <c r="C726" s="52"/>
      <c r="D726" s="52"/>
      <c r="E726" s="52"/>
      <c r="F726" s="12"/>
      <c r="G726" s="52"/>
      <c r="H726" s="52"/>
      <c r="I726" s="57"/>
      <c r="J726" s="52"/>
      <c r="K726" s="57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</row>
    <row r="727" ht="12.75" customHeight="1">
      <c r="A727" s="52"/>
      <c r="B727" s="53"/>
      <c r="C727" s="52"/>
      <c r="D727" s="52"/>
      <c r="E727" s="52"/>
      <c r="F727" s="12"/>
      <c r="G727" s="52"/>
      <c r="H727" s="52"/>
      <c r="I727" s="57"/>
      <c r="J727" s="52"/>
      <c r="K727" s="57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</row>
    <row r="728" ht="12.75" customHeight="1">
      <c r="A728" s="52"/>
      <c r="B728" s="53"/>
      <c r="C728" s="52"/>
      <c r="D728" s="52"/>
      <c r="E728" s="52"/>
      <c r="F728" s="12"/>
      <c r="G728" s="52"/>
      <c r="H728" s="52"/>
      <c r="I728" s="57"/>
      <c r="J728" s="52"/>
      <c r="K728" s="57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</row>
    <row r="729" ht="12.75" customHeight="1">
      <c r="A729" s="52"/>
      <c r="B729" s="53"/>
      <c r="C729" s="52"/>
      <c r="D729" s="52"/>
      <c r="E729" s="52"/>
      <c r="F729" s="12"/>
      <c r="G729" s="52"/>
      <c r="H729" s="52"/>
      <c r="I729" s="57"/>
      <c r="J729" s="52"/>
      <c r="K729" s="57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</row>
    <row r="730" ht="12.75" customHeight="1">
      <c r="A730" s="52"/>
      <c r="B730" s="53"/>
      <c r="C730" s="52"/>
      <c r="D730" s="52"/>
      <c r="E730" s="52"/>
      <c r="F730" s="12"/>
      <c r="G730" s="52"/>
      <c r="H730" s="52"/>
      <c r="I730" s="57"/>
      <c r="J730" s="52"/>
      <c r="K730" s="57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</row>
    <row r="731" ht="12.75" customHeight="1">
      <c r="A731" s="52"/>
      <c r="B731" s="53"/>
      <c r="C731" s="52"/>
      <c r="D731" s="52"/>
      <c r="E731" s="52"/>
      <c r="F731" s="12"/>
      <c r="G731" s="52"/>
      <c r="H731" s="52"/>
      <c r="I731" s="57"/>
      <c r="J731" s="52"/>
      <c r="K731" s="57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</row>
    <row r="732" ht="12.75" customHeight="1">
      <c r="A732" s="52"/>
      <c r="B732" s="53"/>
      <c r="C732" s="52"/>
      <c r="D732" s="52"/>
      <c r="E732" s="52"/>
      <c r="F732" s="12"/>
      <c r="G732" s="52"/>
      <c r="H732" s="52"/>
      <c r="I732" s="57"/>
      <c r="J732" s="52"/>
      <c r="K732" s="57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</row>
    <row r="733" ht="12.75" customHeight="1">
      <c r="A733" s="52"/>
      <c r="B733" s="53"/>
      <c r="C733" s="52"/>
      <c r="D733" s="52"/>
      <c r="E733" s="52"/>
      <c r="F733" s="12"/>
      <c r="G733" s="52"/>
      <c r="H733" s="52"/>
      <c r="I733" s="57"/>
      <c r="J733" s="52"/>
      <c r="K733" s="57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</row>
    <row r="734" ht="12.75" customHeight="1">
      <c r="A734" s="52"/>
      <c r="B734" s="53"/>
      <c r="C734" s="52"/>
      <c r="D734" s="52"/>
      <c r="E734" s="52"/>
      <c r="F734" s="12"/>
      <c r="G734" s="52"/>
      <c r="H734" s="52"/>
      <c r="I734" s="57"/>
      <c r="J734" s="52"/>
      <c r="K734" s="57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</row>
    <row r="735" ht="12.75" customHeight="1">
      <c r="A735" s="52"/>
      <c r="B735" s="53"/>
      <c r="C735" s="52"/>
      <c r="D735" s="52"/>
      <c r="E735" s="52"/>
      <c r="F735" s="12"/>
      <c r="G735" s="52"/>
      <c r="H735" s="52"/>
      <c r="I735" s="57"/>
      <c r="J735" s="52"/>
      <c r="K735" s="57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</row>
    <row r="736" ht="12.75" customHeight="1">
      <c r="A736" s="52"/>
      <c r="B736" s="53"/>
      <c r="C736" s="52"/>
      <c r="D736" s="52"/>
      <c r="E736" s="52"/>
      <c r="F736" s="12"/>
      <c r="G736" s="52"/>
      <c r="H736" s="52"/>
      <c r="I736" s="57"/>
      <c r="J736" s="52"/>
      <c r="K736" s="57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</row>
    <row r="737" ht="12.75" customHeight="1">
      <c r="A737" s="52"/>
      <c r="B737" s="53"/>
      <c r="C737" s="52"/>
      <c r="D737" s="52"/>
      <c r="E737" s="52"/>
      <c r="F737" s="12"/>
      <c r="G737" s="52"/>
      <c r="H737" s="52"/>
      <c r="I737" s="57"/>
      <c r="J737" s="52"/>
      <c r="K737" s="57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</row>
    <row r="738" ht="12.75" customHeight="1">
      <c r="A738" s="52"/>
      <c r="B738" s="53"/>
      <c r="C738" s="52"/>
      <c r="D738" s="52"/>
      <c r="E738" s="52"/>
      <c r="F738" s="12"/>
      <c r="G738" s="52"/>
      <c r="H738" s="52"/>
      <c r="I738" s="57"/>
      <c r="J738" s="52"/>
      <c r="K738" s="57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</row>
    <row r="739" ht="12.75" customHeight="1">
      <c r="A739" s="52"/>
      <c r="B739" s="53"/>
      <c r="C739" s="52"/>
      <c r="D739" s="52"/>
      <c r="E739" s="52"/>
      <c r="F739" s="12"/>
      <c r="G739" s="52"/>
      <c r="H739" s="52"/>
      <c r="I739" s="57"/>
      <c r="J739" s="52"/>
      <c r="K739" s="57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</row>
    <row r="740" ht="12.75" customHeight="1">
      <c r="A740" s="52"/>
      <c r="B740" s="53"/>
      <c r="C740" s="52"/>
      <c r="D740" s="52"/>
      <c r="E740" s="52"/>
      <c r="F740" s="12"/>
      <c r="G740" s="52"/>
      <c r="H740" s="52"/>
      <c r="I740" s="57"/>
      <c r="J740" s="52"/>
      <c r="K740" s="57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</row>
    <row r="741" ht="12.75" customHeight="1">
      <c r="A741" s="52"/>
      <c r="B741" s="53"/>
      <c r="C741" s="52"/>
      <c r="D741" s="52"/>
      <c r="E741" s="52"/>
      <c r="F741" s="12"/>
      <c r="G741" s="52"/>
      <c r="H741" s="52"/>
      <c r="I741" s="57"/>
      <c r="J741" s="52"/>
      <c r="K741" s="57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</row>
    <row r="742" ht="12.75" customHeight="1">
      <c r="A742" s="52"/>
      <c r="B742" s="53"/>
      <c r="C742" s="52"/>
      <c r="D742" s="52"/>
      <c r="E742" s="52"/>
      <c r="F742" s="12"/>
      <c r="G742" s="52"/>
      <c r="H742" s="52"/>
      <c r="I742" s="57"/>
      <c r="J742" s="52"/>
      <c r="K742" s="57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</row>
    <row r="743" ht="12.75" customHeight="1">
      <c r="A743" s="52"/>
      <c r="B743" s="53"/>
      <c r="C743" s="52"/>
      <c r="D743" s="52"/>
      <c r="E743" s="52"/>
      <c r="F743" s="12"/>
      <c r="G743" s="52"/>
      <c r="H743" s="52"/>
      <c r="I743" s="57"/>
      <c r="J743" s="52"/>
      <c r="K743" s="57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</row>
    <row r="744" ht="12.75" customHeight="1">
      <c r="A744" s="52"/>
      <c r="B744" s="53"/>
      <c r="C744" s="52"/>
      <c r="D744" s="52"/>
      <c r="E744" s="52"/>
      <c r="F744" s="12"/>
      <c r="G744" s="52"/>
      <c r="H744" s="52"/>
      <c r="I744" s="57"/>
      <c r="J744" s="52"/>
      <c r="K744" s="57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</row>
    <row r="745" ht="12.75" customHeight="1">
      <c r="A745" s="52"/>
      <c r="B745" s="53"/>
      <c r="C745" s="52"/>
      <c r="D745" s="52"/>
      <c r="E745" s="52"/>
      <c r="F745" s="12"/>
      <c r="G745" s="52"/>
      <c r="H745" s="52"/>
      <c r="I745" s="57"/>
      <c r="J745" s="52"/>
      <c r="K745" s="57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</row>
    <row r="746" ht="12.75" customHeight="1">
      <c r="A746" s="52"/>
      <c r="B746" s="53"/>
      <c r="C746" s="52"/>
      <c r="D746" s="52"/>
      <c r="E746" s="52"/>
      <c r="F746" s="12"/>
      <c r="G746" s="52"/>
      <c r="H746" s="52"/>
      <c r="I746" s="57"/>
      <c r="J746" s="52"/>
      <c r="K746" s="57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</row>
    <row r="747" ht="12.75" customHeight="1">
      <c r="A747" s="52"/>
      <c r="B747" s="53"/>
      <c r="C747" s="52"/>
      <c r="D747" s="52"/>
      <c r="E747" s="52"/>
      <c r="F747" s="12"/>
      <c r="G747" s="52"/>
      <c r="H747" s="52"/>
      <c r="I747" s="57"/>
      <c r="J747" s="52"/>
      <c r="K747" s="57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</row>
    <row r="748" ht="12.75" customHeight="1">
      <c r="A748" s="52"/>
      <c r="B748" s="53"/>
      <c r="C748" s="52"/>
      <c r="D748" s="52"/>
      <c r="E748" s="52"/>
      <c r="F748" s="12"/>
      <c r="G748" s="52"/>
      <c r="H748" s="52"/>
      <c r="I748" s="57"/>
      <c r="J748" s="52"/>
      <c r="K748" s="57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</row>
    <row r="749" ht="12.75" customHeight="1">
      <c r="A749" s="52"/>
      <c r="B749" s="53"/>
      <c r="C749" s="52"/>
      <c r="D749" s="52"/>
      <c r="E749" s="52"/>
      <c r="F749" s="12"/>
      <c r="G749" s="52"/>
      <c r="H749" s="52"/>
      <c r="I749" s="57"/>
      <c r="J749" s="52"/>
      <c r="K749" s="57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</row>
    <row r="750" ht="12.75" customHeight="1">
      <c r="A750" s="52"/>
      <c r="B750" s="53"/>
      <c r="C750" s="52"/>
      <c r="D750" s="52"/>
      <c r="E750" s="52"/>
      <c r="F750" s="12"/>
      <c r="G750" s="52"/>
      <c r="H750" s="52"/>
      <c r="I750" s="57"/>
      <c r="J750" s="52"/>
      <c r="K750" s="57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</row>
    <row r="751" ht="12.75" customHeight="1">
      <c r="A751" s="52"/>
      <c r="B751" s="53"/>
      <c r="C751" s="52"/>
      <c r="D751" s="52"/>
      <c r="E751" s="52"/>
      <c r="F751" s="12"/>
      <c r="G751" s="52"/>
      <c r="H751" s="52"/>
      <c r="I751" s="57"/>
      <c r="J751" s="52"/>
      <c r="K751" s="57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</row>
    <row r="752" ht="12.75" customHeight="1">
      <c r="A752" s="52"/>
      <c r="B752" s="53"/>
      <c r="C752" s="52"/>
      <c r="D752" s="52"/>
      <c r="E752" s="52"/>
      <c r="F752" s="12"/>
      <c r="G752" s="52"/>
      <c r="H752" s="52"/>
      <c r="I752" s="57"/>
      <c r="J752" s="52"/>
      <c r="K752" s="57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</row>
    <row r="753" ht="12.75" customHeight="1">
      <c r="A753" s="52"/>
      <c r="B753" s="53"/>
      <c r="C753" s="52"/>
      <c r="D753" s="52"/>
      <c r="E753" s="52"/>
      <c r="F753" s="12"/>
      <c r="G753" s="52"/>
      <c r="H753" s="52"/>
      <c r="I753" s="57"/>
      <c r="J753" s="52"/>
      <c r="K753" s="57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</row>
    <row r="754" ht="12.75" customHeight="1">
      <c r="A754" s="52"/>
      <c r="B754" s="53"/>
      <c r="C754" s="52"/>
      <c r="D754" s="52"/>
      <c r="E754" s="52"/>
      <c r="F754" s="12"/>
      <c r="G754" s="52"/>
      <c r="H754" s="52"/>
      <c r="I754" s="57"/>
      <c r="J754" s="52"/>
      <c r="K754" s="57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</row>
    <row r="755" ht="12.75" customHeight="1">
      <c r="A755" s="52"/>
      <c r="B755" s="53"/>
      <c r="C755" s="52"/>
      <c r="D755" s="52"/>
      <c r="E755" s="52"/>
      <c r="F755" s="12"/>
      <c r="G755" s="52"/>
      <c r="H755" s="52"/>
      <c r="I755" s="57"/>
      <c r="J755" s="52"/>
      <c r="K755" s="57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</row>
    <row r="756" ht="12.75" customHeight="1">
      <c r="A756" s="52"/>
      <c r="B756" s="53"/>
      <c r="C756" s="52"/>
      <c r="D756" s="52"/>
      <c r="E756" s="52"/>
      <c r="F756" s="12"/>
      <c r="G756" s="52"/>
      <c r="H756" s="52"/>
      <c r="I756" s="57"/>
      <c r="J756" s="52"/>
      <c r="K756" s="57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</row>
    <row r="757" ht="12.75" customHeight="1">
      <c r="A757" s="52"/>
      <c r="B757" s="53"/>
      <c r="C757" s="52"/>
      <c r="D757" s="52"/>
      <c r="E757" s="52"/>
      <c r="F757" s="12"/>
      <c r="G757" s="52"/>
      <c r="H757" s="52"/>
      <c r="I757" s="57"/>
      <c r="J757" s="52"/>
      <c r="K757" s="57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</row>
    <row r="758" ht="12.75" customHeight="1">
      <c r="A758" s="52"/>
      <c r="B758" s="53"/>
      <c r="C758" s="52"/>
      <c r="D758" s="52"/>
      <c r="E758" s="52"/>
      <c r="F758" s="12"/>
      <c r="G758" s="52"/>
      <c r="H758" s="52"/>
      <c r="I758" s="57"/>
      <c r="J758" s="52"/>
      <c r="K758" s="57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</row>
    <row r="759" ht="12.75" customHeight="1">
      <c r="A759" s="52"/>
      <c r="B759" s="53"/>
      <c r="C759" s="52"/>
      <c r="D759" s="52"/>
      <c r="E759" s="52"/>
      <c r="F759" s="12"/>
      <c r="G759" s="52"/>
      <c r="H759" s="52"/>
      <c r="I759" s="57"/>
      <c r="J759" s="52"/>
      <c r="K759" s="57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</row>
    <row r="760" ht="12.75" customHeight="1">
      <c r="A760" s="52"/>
      <c r="B760" s="53"/>
      <c r="C760" s="52"/>
      <c r="D760" s="52"/>
      <c r="E760" s="52"/>
      <c r="F760" s="12"/>
      <c r="G760" s="52"/>
      <c r="H760" s="52"/>
      <c r="I760" s="57"/>
      <c r="J760" s="52"/>
      <c r="K760" s="57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</row>
    <row r="761" ht="12.75" customHeight="1">
      <c r="A761" s="52"/>
      <c r="B761" s="53"/>
      <c r="C761" s="52"/>
      <c r="D761" s="52"/>
      <c r="E761" s="52"/>
      <c r="F761" s="12"/>
      <c r="G761" s="52"/>
      <c r="H761" s="52"/>
      <c r="I761" s="57"/>
      <c r="J761" s="52"/>
      <c r="K761" s="57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</row>
    <row r="762" ht="12.75" customHeight="1">
      <c r="A762" s="52"/>
      <c r="B762" s="53"/>
      <c r="C762" s="52"/>
      <c r="D762" s="52"/>
      <c r="E762" s="52"/>
      <c r="F762" s="12"/>
      <c r="G762" s="52"/>
      <c r="H762" s="52"/>
      <c r="I762" s="57"/>
      <c r="J762" s="52"/>
      <c r="K762" s="57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</row>
    <row r="763" ht="12.75" customHeight="1">
      <c r="A763" s="52"/>
      <c r="B763" s="53"/>
      <c r="C763" s="52"/>
      <c r="D763" s="52"/>
      <c r="E763" s="52"/>
      <c r="F763" s="12"/>
      <c r="G763" s="52"/>
      <c r="H763" s="52"/>
      <c r="I763" s="57"/>
      <c r="J763" s="52"/>
      <c r="K763" s="57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</row>
    <row r="764" ht="12.75" customHeight="1">
      <c r="A764" s="52"/>
      <c r="B764" s="53"/>
      <c r="C764" s="52"/>
      <c r="D764" s="52"/>
      <c r="E764" s="52"/>
      <c r="F764" s="12"/>
      <c r="G764" s="52"/>
      <c r="H764" s="52"/>
      <c r="I764" s="57"/>
      <c r="J764" s="52"/>
      <c r="K764" s="57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</row>
    <row r="765" ht="12.75" customHeight="1">
      <c r="A765" s="52"/>
      <c r="B765" s="53"/>
      <c r="C765" s="52"/>
      <c r="D765" s="52"/>
      <c r="E765" s="52"/>
      <c r="F765" s="12"/>
      <c r="G765" s="52"/>
      <c r="H765" s="52"/>
      <c r="I765" s="57"/>
      <c r="J765" s="52"/>
      <c r="K765" s="57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</row>
    <row r="766" ht="12.75" customHeight="1">
      <c r="A766" s="52"/>
      <c r="B766" s="53"/>
      <c r="C766" s="52"/>
      <c r="D766" s="52"/>
      <c r="E766" s="52"/>
      <c r="F766" s="12"/>
      <c r="G766" s="52"/>
      <c r="H766" s="52"/>
      <c r="I766" s="57"/>
      <c r="J766" s="52"/>
      <c r="K766" s="57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</row>
    <row r="767" ht="12.75" customHeight="1">
      <c r="A767" s="52"/>
      <c r="B767" s="53"/>
      <c r="C767" s="52"/>
      <c r="D767" s="52"/>
      <c r="E767" s="52"/>
      <c r="F767" s="12"/>
      <c r="G767" s="52"/>
      <c r="H767" s="52"/>
      <c r="I767" s="57"/>
      <c r="J767" s="52"/>
      <c r="K767" s="57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</row>
    <row r="768" ht="12.75" customHeight="1">
      <c r="A768" s="52"/>
      <c r="B768" s="53"/>
      <c r="C768" s="52"/>
      <c r="D768" s="52"/>
      <c r="E768" s="52"/>
      <c r="F768" s="12"/>
      <c r="G768" s="52"/>
      <c r="H768" s="52"/>
      <c r="I768" s="57"/>
      <c r="J768" s="52"/>
      <c r="K768" s="57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</row>
    <row r="769" ht="12.75" customHeight="1">
      <c r="A769" s="52"/>
      <c r="B769" s="53"/>
      <c r="C769" s="52"/>
      <c r="D769" s="52"/>
      <c r="E769" s="52"/>
      <c r="F769" s="12"/>
      <c r="G769" s="52"/>
      <c r="H769" s="52"/>
      <c r="I769" s="57"/>
      <c r="J769" s="52"/>
      <c r="K769" s="57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</row>
    <row r="770" ht="12.75" customHeight="1">
      <c r="A770" s="52"/>
      <c r="B770" s="53"/>
      <c r="C770" s="52"/>
      <c r="D770" s="52"/>
      <c r="E770" s="52"/>
      <c r="F770" s="12"/>
      <c r="G770" s="52"/>
      <c r="H770" s="52"/>
      <c r="I770" s="57"/>
      <c r="J770" s="52"/>
      <c r="K770" s="57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</row>
    <row r="771" ht="12.75" customHeight="1">
      <c r="A771" s="52"/>
      <c r="B771" s="53"/>
      <c r="C771" s="52"/>
      <c r="D771" s="52"/>
      <c r="E771" s="52"/>
      <c r="F771" s="12"/>
      <c r="G771" s="52"/>
      <c r="H771" s="52"/>
      <c r="I771" s="57"/>
      <c r="J771" s="52"/>
      <c r="K771" s="57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</row>
    <row r="772" ht="12.75" customHeight="1">
      <c r="A772" s="52"/>
      <c r="B772" s="53"/>
      <c r="C772" s="52"/>
      <c r="D772" s="52"/>
      <c r="E772" s="52"/>
      <c r="F772" s="12"/>
      <c r="G772" s="52"/>
      <c r="H772" s="52"/>
      <c r="I772" s="57"/>
      <c r="J772" s="52"/>
      <c r="K772" s="57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</row>
    <row r="773" ht="12.75" customHeight="1">
      <c r="A773" s="52"/>
      <c r="B773" s="53"/>
      <c r="C773" s="52"/>
      <c r="D773" s="52"/>
      <c r="E773" s="52"/>
      <c r="F773" s="12"/>
      <c r="G773" s="52"/>
      <c r="H773" s="52"/>
      <c r="I773" s="57"/>
      <c r="J773" s="52"/>
      <c r="K773" s="57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</row>
    <row r="774" ht="12.75" customHeight="1">
      <c r="A774" s="52"/>
      <c r="B774" s="53"/>
      <c r="C774" s="52"/>
      <c r="D774" s="52"/>
      <c r="E774" s="52"/>
      <c r="F774" s="12"/>
      <c r="G774" s="52"/>
      <c r="H774" s="52"/>
      <c r="I774" s="57"/>
      <c r="J774" s="52"/>
      <c r="K774" s="57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</row>
    <row r="775" ht="12.75" customHeight="1">
      <c r="A775" s="52"/>
      <c r="B775" s="53"/>
      <c r="C775" s="52"/>
      <c r="D775" s="52"/>
      <c r="E775" s="52"/>
      <c r="F775" s="12"/>
      <c r="G775" s="52"/>
      <c r="H775" s="52"/>
      <c r="I775" s="57"/>
      <c r="J775" s="52"/>
      <c r="K775" s="57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</row>
    <row r="776" ht="12.75" customHeight="1">
      <c r="A776" s="52"/>
      <c r="B776" s="53"/>
      <c r="C776" s="52"/>
      <c r="D776" s="52"/>
      <c r="E776" s="52"/>
      <c r="F776" s="12"/>
      <c r="G776" s="52"/>
      <c r="H776" s="52"/>
      <c r="I776" s="57"/>
      <c r="J776" s="52"/>
      <c r="K776" s="57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</row>
    <row r="777" ht="12.75" customHeight="1">
      <c r="A777" s="52"/>
      <c r="B777" s="53"/>
      <c r="C777" s="52"/>
      <c r="D777" s="52"/>
      <c r="E777" s="52"/>
      <c r="F777" s="12"/>
      <c r="G777" s="52"/>
      <c r="H777" s="52"/>
      <c r="I777" s="57"/>
      <c r="J777" s="52"/>
      <c r="K777" s="57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</row>
    <row r="778" ht="12.75" customHeight="1">
      <c r="A778" s="52"/>
      <c r="B778" s="53"/>
      <c r="C778" s="52"/>
      <c r="D778" s="52"/>
      <c r="E778" s="52"/>
      <c r="F778" s="12"/>
      <c r="G778" s="52"/>
      <c r="H778" s="52"/>
      <c r="I778" s="57"/>
      <c r="J778" s="52"/>
      <c r="K778" s="57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</row>
    <row r="779" ht="12.75" customHeight="1">
      <c r="A779" s="52"/>
      <c r="B779" s="53"/>
      <c r="C779" s="52"/>
      <c r="D779" s="52"/>
      <c r="E779" s="52"/>
      <c r="F779" s="12"/>
      <c r="G779" s="52"/>
      <c r="H779" s="52"/>
      <c r="I779" s="57"/>
      <c r="J779" s="52"/>
      <c r="K779" s="57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</row>
    <row r="780" ht="12.75" customHeight="1">
      <c r="A780" s="52"/>
      <c r="B780" s="53"/>
      <c r="C780" s="52"/>
      <c r="D780" s="52"/>
      <c r="E780" s="52"/>
      <c r="F780" s="12"/>
      <c r="G780" s="52"/>
      <c r="H780" s="52"/>
      <c r="I780" s="57"/>
      <c r="J780" s="52"/>
      <c r="K780" s="57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</row>
    <row r="781" ht="12.75" customHeight="1">
      <c r="A781" s="52"/>
      <c r="B781" s="53"/>
      <c r="C781" s="52"/>
      <c r="D781" s="52"/>
      <c r="E781" s="52"/>
      <c r="F781" s="12"/>
      <c r="G781" s="52"/>
      <c r="H781" s="52"/>
      <c r="I781" s="57"/>
      <c r="J781" s="52"/>
      <c r="K781" s="57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</row>
    <row r="782" ht="12.75" customHeight="1">
      <c r="A782" s="52"/>
      <c r="B782" s="53"/>
      <c r="C782" s="52"/>
      <c r="D782" s="52"/>
      <c r="E782" s="52"/>
      <c r="F782" s="12"/>
      <c r="G782" s="52"/>
      <c r="H782" s="52"/>
      <c r="I782" s="57"/>
      <c r="J782" s="52"/>
      <c r="K782" s="57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</row>
    <row r="783" ht="12.75" customHeight="1">
      <c r="A783" s="52"/>
      <c r="B783" s="53"/>
      <c r="C783" s="52"/>
      <c r="D783" s="52"/>
      <c r="E783" s="52"/>
      <c r="F783" s="12"/>
      <c r="G783" s="52"/>
      <c r="H783" s="52"/>
      <c r="I783" s="57"/>
      <c r="J783" s="52"/>
      <c r="K783" s="57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</row>
    <row r="784" ht="12.75" customHeight="1">
      <c r="A784" s="52"/>
      <c r="B784" s="53"/>
      <c r="C784" s="52"/>
      <c r="D784" s="52"/>
      <c r="E784" s="52"/>
      <c r="F784" s="12"/>
      <c r="G784" s="52"/>
      <c r="H784" s="52"/>
      <c r="I784" s="57"/>
      <c r="J784" s="52"/>
      <c r="K784" s="57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</row>
    <row r="785" ht="12.75" customHeight="1">
      <c r="A785" s="52"/>
      <c r="B785" s="53"/>
      <c r="C785" s="52"/>
      <c r="D785" s="52"/>
      <c r="E785" s="52"/>
      <c r="F785" s="12"/>
      <c r="G785" s="52"/>
      <c r="H785" s="52"/>
      <c r="I785" s="57"/>
      <c r="J785" s="52"/>
      <c r="K785" s="57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</row>
    <row r="786" ht="12.75" customHeight="1">
      <c r="A786" s="52"/>
      <c r="B786" s="53"/>
      <c r="C786" s="52"/>
      <c r="D786" s="52"/>
      <c r="E786" s="52"/>
      <c r="F786" s="12"/>
      <c r="G786" s="52"/>
      <c r="H786" s="52"/>
      <c r="I786" s="57"/>
      <c r="J786" s="52"/>
      <c r="K786" s="57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</row>
    <row r="787" ht="12.75" customHeight="1">
      <c r="A787" s="52"/>
      <c r="B787" s="53"/>
      <c r="C787" s="52"/>
      <c r="D787" s="52"/>
      <c r="E787" s="52"/>
      <c r="F787" s="12"/>
      <c r="G787" s="52"/>
      <c r="H787" s="52"/>
      <c r="I787" s="57"/>
      <c r="J787" s="52"/>
      <c r="K787" s="57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</row>
    <row r="788" ht="12.75" customHeight="1">
      <c r="A788" s="52"/>
      <c r="B788" s="53"/>
      <c r="C788" s="52"/>
      <c r="D788" s="52"/>
      <c r="E788" s="52"/>
      <c r="F788" s="12"/>
      <c r="G788" s="52"/>
      <c r="H788" s="52"/>
      <c r="I788" s="57"/>
      <c r="J788" s="52"/>
      <c r="K788" s="57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</row>
    <row r="789" ht="12.75" customHeight="1">
      <c r="A789" s="52"/>
      <c r="B789" s="53"/>
      <c r="C789" s="52"/>
      <c r="D789" s="52"/>
      <c r="E789" s="52"/>
      <c r="F789" s="12"/>
      <c r="G789" s="52"/>
      <c r="H789" s="52"/>
      <c r="I789" s="57"/>
      <c r="J789" s="52"/>
      <c r="K789" s="57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</row>
    <row r="790" ht="12.75" customHeight="1">
      <c r="A790" s="52"/>
      <c r="B790" s="53"/>
      <c r="C790" s="52"/>
      <c r="D790" s="52"/>
      <c r="E790" s="52"/>
      <c r="F790" s="12"/>
      <c r="G790" s="52"/>
      <c r="H790" s="52"/>
      <c r="I790" s="57"/>
      <c r="J790" s="52"/>
      <c r="K790" s="57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</row>
    <row r="791" ht="12.75" customHeight="1">
      <c r="A791" s="52"/>
      <c r="B791" s="53"/>
      <c r="C791" s="52"/>
      <c r="D791" s="52"/>
      <c r="E791" s="52"/>
      <c r="F791" s="12"/>
      <c r="G791" s="52"/>
      <c r="H791" s="52"/>
      <c r="I791" s="57"/>
      <c r="J791" s="52"/>
      <c r="K791" s="57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</row>
    <row r="792" ht="12.75" customHeight="1">
      <c r="A792" s="52"/>
      <c r="B792" s="53"/>
      <c r="C792" s="52"/>
      <c r="D792" s="52"/>
      <c r="E792" s="52"/>
      <c r="F792" s="12"/>
      <c r="G792" s="52"/>
      <c r="H792" s="52"/>
      <c r="I792" s="57"/>
      <c r="J792" s="52"/>
      <c r="K792" s="57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</row>
    <row r="793" ht="12.75" customHeight="1">
      <c r="A793" s="52"/>
      <c r="B793" s="53"/>
      <c r="C793" s="52"/>
      <c r="D793" s="52"/>
      <c r="E793" s="52"/>
      <c r="F793" s="12"/>
      <c r="G793" s="52"/>
      <c r="H793" s="52"/>
      <c r="I793" s="57"/>
      <c r="J793" s="52"/>
      <c r="K793" s="57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</row>
    <row r="794" ht="12.75" customHeight="1">
      <c r="A794" s="52"/>
      <c r="B794" s="53"/>
      <c r="C794" s="52"/>
      <c r="D794" s="52"/>
      <c r="E794" s="52"/>
      <c r="F794" s="12"/>
      <c r="G794" s="52"/>
      <c r="H794" s="52"/>
      <c r="I794" s="57"/>
      <c r="J794" s="52"/>
      <c r="K794" s="57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</row>
    <row r="795" ht="12.75" customHeight="1">
      <c r="A795" s="52"/>
      <c r="B795" s="53"/>
      <c r="C795" s="52"/>
      <c r="D795" s="52"/>
      <c r="E795" s="52"/>
      <c r="F795" s="12"/>
      <c r="G795" s="52"/>
      <c r="H795" s="52"/>
      <c r="I795" s="57"/>
      <c r="J795" s="52"/>
      <c r="K795" s="57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</row>
    <row r="796" ht="12.75" customHeight="1">
      <c r="A796" s="52"/>
      <c r="B796" s="53"/>
      <c r="C796" s="52"/>
      <c r="D796" s="52"/>
      <c r="E796" s="52"/>
      <c r="F796" s="12"/>
      <c r="G796" s="52"/>
      <c r="H796" s="52"/>
      <c r="I796" s="57"/>
      <c r="J796" s="52"/>
      <c r="K796" s="57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</row>
    <row r="797" ht="12.75" customHeight="1">
      <c r="A797" s="52"/>
      <c r="B797" s="53"/>
      <c r="C797" s="52"/>
      <c r="D797" s="52"/>
      <c r="E797" s="52"/>
      <c r="F797" s="12"/>
      <c r="G797" s="52"/>
      <c r="H797" s="52"/>
      <c r="I797" s="57"/>
      <c r="J797" s="52"/>
      <c r="K797" s="57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</row>
    <row r="798" ht="12.75" customHeight="1">
      <c r="A798" s="52"/>
      <c r="B798" s="53"/>
      <c r="C798" s="52"/>
      <c r="D798" s="52"/>
      <c r="E798" s="52"/>
      <c r="F798" s="12"/>
      <c r="G798" s="52"/>
      <c r="H798" s="52"/>
      <c r="I798" s="57"/>
      <c r="J798" s="52"/>
      <c r="K798" s="57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</row>
    <row r="799" ht="12.75" customHeight="1">
      <c r="A799" s="52"/>
      <c r="B799" s="53"/>
      <c r="C799" s="52"/>
      <c r="D799" s="52"/>
      <c r="E799" s="52"/>
      <c r="F799" s="12"/>
      <c r="G799" s="52"/>
      <c r="H799" s="52"/>
      <c r="I799" s="57"/>
      <c r="J799" s="52"/>
      <c r="K799" s="57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</row>
    <row r="800" ht="12.75" customHeight="1">
      <c r="A800" s="52"/>
      <c r="B800" s="53"/>
      <c r="C800" s="52"/>
      <c r="D800" s="52"/>
      <c r="E800" s="52"/>
      <c r="F800" s="12"/>
      <c r="G800" s="52"/>
      <c r="H800" s="52"/>
      <c r="I800" s="57"/>
      <c r="J800" s="52"/>
      <c r="K800" s="57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</row>
    <row r="801" ht="12.75" customHeight="1">
      <c r="A801" s="52"/>
      <c r="B801" s="53"/>
      <c r="C801" s="52"/>
      <c r="D801" s="52"/>
      <c r="E801" s="52"/>
      <c r="F801" s="12"/>
      <c r="G801" s="52"/>
      <c r="H801" s="52"/>
      <c r="I801" s="57"/>
      <c r="J801" s="52"/>
      <c r="K801" s="57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</row>
    <row r="802" ht="12.75" customHeight="1">
      <c r="A802" s="52"/>
      <c r="B802" s="53"/>
      <c r="C802" s="52"/>
      <c r="D802" s="52"/>
      <c r="E802" s="52"/>
      <c r="F802" s="12"/>
      <c r="G802" s="52"/>
      <c r="H802" s="52"/>
      <c r="I802" s="57"/>
      <c r="J802" s="52"/>
      <c r="K802" s="57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</row>
    <row r="803" ht="12.75" customHeight="1">
      <c r="A803" s="52"/>
      <c r="B803" s="53"/>
      <c r="C803" s="52"/>
      <c r="D803" s="52"/>
      <c r="E803" s="52"/>
      <c r="F803" s="12"/>
      <c r="G803" s="52"/>
      <c r="H803" s="52"/>
      <c r="I803" s="57"/>
      <c r="J803" s="52"/>
      <c r="K803" s="57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</row>
    <row r="804" ht="12.75" customHeight="1">
      <c r="A804" s="52"/>
      <c r="B804" s="53"/>
      <c r="C804" s="52"/>
      <c r="D804" s="52"/>
      <c r="E804" s="52"/>
      <c r="F804" s="12"/>
      <c r="G804" s="52"/>
      <c r="H804" s="52"/>
      <c r="I804" s="57"/>
      <c r="J804" s="52"/>
      <c r="K804" s="57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</row>
    <row r="805" ht="12.75" customHeight="1">
      <c r="A805" s="52"/>
      <c r="B805" s="53"/>
      <c r="C805" s="52"/>
      <c r="D805" s="52"/>
      <c r="E805" s="52"/>
      <c r="F805" s="12"/>
      <c r="G805" s="52"/>
      <c r="H805" s="52"/>
      <c r="I805" s="57"/>
      <c r="J805" s="52"/>
      <c r="K805" s="57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</row>
    <row r="806" ht="12.75" customHeight="1">
      <c r="A806" s="52"/>
      <c r="B806" s="53"/>
      <c r="C806" s="52"/>
      <c r="D806" s="52"/>
      <c r="E806" s="52"/>
      <c r="F806" s="12"/>
      <c r="G806" s="52"/>
      <c r="H806" s="52"/>
      <c r="I806" s="57"/>
      <c r="J806" s="52"/>
      <c r="K806" s="57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</row>
    <row r="807" ht="12.75" customHeight="1">
      <c r="A807" s="52"/>
      <c r="B807" s="53"/>
      <c r="C807" s="52"/>
      <c r="D807" s="52"/>
      <c r="E807" s="52"/>
      <c r="F807" s="12"/>
      <c r="G807" s="52"/>
      <c r="H807" s="52"/>
      <c r="I807" s="57"/>
      <c r="J807" s="52"/>
      <c r="K807" s="57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</row>
    <row r="808" ht="12.75" customHeight="1">
      <c r="A808" s="52"/>
      <c r="B808" s="53"/>
      <c r="C808" s="52"/>
      <c r="D808" s="52"/>
      <c r="E808" s="52"/>
      <c r="F808" s="12"/>
      <c r="G808" s="52"/>
      <c r="H808" s="52"/>
      <c r="I808" s="57"/>
      <c r="J808" s="52"/>
      <c r="K808" s="57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</row>
    <row r="809" ht="12.75" customHeight="1">
      <c r="A809" s="52"/>
      <c r="B809" s="53"/>
      <c r="C809" s="52"/>
      <c r="D809" s="52"/>
      <c r="E809" s="52"/>
      <c r="F809" s="12"/>
      <c r="G809" s="52"/>
      <c r="H809" s="52"/>
      <c r="I809" s="57"/>
      <c r="J809" s="52"/>
      <c r="K809" s="57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</row>
    <row r="810" ht="12.75" customHeight="1">
      <c r="A810" s="52"/>
      <c r="B810" s="53"/>
      <c r="C810" s="52"/>
      <c r="D810" s="52"/>
      <c r="E810" s="52"/>
      <c r="F810" s="12"/>
      <c r="G810" s="52"/>
      <c r="H810" s="52"/>
      <c r="I810" s="57"/>
      <c r="J810" s="52"/>
      <c r="K810" s="57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</row>
    <row r="811" ht="12.75" customHeight="1">
      <c r="A811" s="52"/>
      <c r="B811" s="53"/>
      <c r="C811" s="52"/>
      <c r="D811" s="52"/>
      <c r="E811" s="52"/>
      <c r="F811" s="12"/>
      <c r="G811" s="52"/>
      <c r="H811" s="52"/>
      <c r="I811" s="57"/>
      <c r="J811" s="52"/>
      <c r="K811" s="57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</row>
    <row r="812" ht="12.75" customHeight="1">
      <c r="A812" s="52"/>
      <c r="B812" s="53"/>
      <c r="C812" s="52"/>
      <c r="D812" s="52"/>
      <c r="E812" s="52"/>
      <c r="F812" s="12"/>
      <c r="G812" s="52"/>
      <c r="H812" s="52"/>
      <c r="I812" s="57"/>
      <c r="J812" s="52"/>
      <c r="K812" s="57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</row>
    <row r="813" ht="12.75" customHeight="1">
      <c r="A813" s="52"/>
      <c r="B813" s="53"/>
      <c r="C813" s="52"/>
      <c r="D813" s="52"/>
      <c r="E813" s="52"/>
      <c r="F813" s="12"/>
      <c r="G813" s="52"/>
      <c r="H813" s="52"/>
      <c r="I813" s="57"/>
      <c r="J813" s="52"/>
      <c r="K813" s="57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</row>
    <row r="814" ht="12.75" customHeight="1">
      <c r="A814" s="52"/>
      <c r="B814" s="53"/>
      <c r="C814" s="52"/>
      <c r="D814" s="52"/>
      <c r="E814" s="52"/>
      <c r="F814" s="12"/>
      <c r="G814" s="52"/>
      <c r="H814" s="52"/>
      <c r="I814" s="57"/>
      <c r="J814" s="52"/>
      <c r="K814" s="57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</row>
    <row r="815" ht="12.75" customHeight="1">
      <c r="A815" s="52"/>
      <c r="B815" s="53"/>
      <c r="C815" s="52"/>
      <c r="D815" s="52"/>
      <c r="E815" s="52"/>
      <c r="F815" s="12"/>
      <c r="G815" s="52"/>
      <c r="H815" s="52"/>
      <c r="I815" s="57"/>
      <c r="J815" s="52"/>
      <c r="K815" s="57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</row>
    <row r="816" ht="12.75" customHeight="1">
      <c r="A816" s="52"/>
      <c r="B816" s="53"/>
      <c r="C816" s="52"/>
      <c r="D816" s="52"/>
      <c r="E816" s="52"/>
      <c r="F816" s="12"/>
      <c r="G816" s="52"/>
      <c r="H816" s="52"/>
      <c r="I816" s="57"/>
      <c r="J816" s="52"/>
      <c r="K816" s="57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</row>
    <row r="817" ht="12.75" customHeight="1">
      <c r="A817" s="52"/>
      <c r="B817" s="53"/>
      <c r="C817" s="52"/>
      <c r="D817" s="52"/>
      <c r="E817" s="52"/>
      <c r="F817" s="12"/>
      <c r="G817" s="52"/>
      <c r="H817" s="52"/>
      <c r="I817" s="57"/>
      <c r="J817" s="52"/>
      <c r="K817" s="57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</row>
    <row r="818" ht="12.75" customHeight="1">
      <c r="A818" s="52"/>
      <c r="B818" s="53"/>
      <c r="C818" s="52"/>
      <c r="D818" s="52"/>
      <c r="E818" s="52"/>
      <c r="F818" s="12"/>
      <c r="G818" s="52"/>
      <c r="H818" s="52"/>
      <c r="I818" s="57"/>
      <c r="J818" s="52"/>
      <c r="K818" s="57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</row>
    <row r="819" ht="12.75" customHeight="1">
      <c r="A819" s="52"/>
      <c r="B819" s="53"/>
      <c r="C819" s="52"/>
      <c r="D819" s="52"/>
      <c r="E819" s="52"/>
      <c r="F819" s="12"/>
      <c r="G819" s="52"/>
      <c r="H819" s="52"/>
      <c r="I819" s="57"/>
      <c r="J819" s="52"/>
      <c r="K819" s="57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</row>
    <row r="820" ht="12.75" customHeight="1">
      <c r="A820" s="52"/>
      <c r="B820" s="53"/>
      <c r="C820" s="52"/>
      <c r="D820" s="52"/>
      <c r="E820" s="52"/>
      <c r="F820" s="12"/>
      <c r="G820" s="52"/>
      <c r="H820" s="52"/>
      <c r="I820" s="57"/>
      <c r="J820" s="52"/>
      <c r="K820" s="57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</row>
    <row r="821" ht="12.75" customHeight="1">
      <c r="A821" s="52"/>
      <c r="B821" s="53"/>
      <c r="C821" s="52"/>
      <c r="D821" s="52"/>
      <c r="E821" s="52"/>
      <c r="F821" s="12"/>
      <c r="G821" s="52"/>
      <c r="H821" s="52"/>
      <c r="I821" s="57"/>
      <c r="J821" s="52"/>
      <c r="K821" s="57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</row>
    <row r="822" ht="12.75" customHeight="1">
      <c r="A822" s="52"/>
      <c r="B822" s="53"/>
      <c r="C822" s="52"/>
      <c r="D822" s="52"/>
      <c r="E822" s="52"/>
      <c r="F822" s="12"/>
      <c r="G822" s="52"/>
      <c r="H822" s="52"/>
      <c r="I822" s="57"/>
      <c r="J822" s="52"/>
      <c r="K822" s="57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</row>
    <row r="823" ht="12.75" customHeight="1">
      <c r="A823" s="52"/>
      <c r="B823" s="53"/>
      <c r="C823" s="52"/>
      <c r="D823" s="52"/>
      <c r="E823" s="52"/>
      <c r="F823" s="12"/>
      <c r="G823" s="52"/>
      <c r="H823" s="52"/>
      <c r="I823" s="57"/>
      <c r="J823" s="52"/>
      <c r="K823" s="57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</row>
    <row r="824" ht="12.75" customHeight="1">
      <c r="A824" s="52"/>
      <c r="B824" s="53"/>
      <c r="C824" s="52"/>
      <c r="D824" s="52"/>
      <c r="E824" s="52"/>
      <c r="F824" s="12"/>
      <c r="G824" s="52"/>
      <c r="H824" s="52"/>
      <c r="I824" s="57"/>
      <c r="J824" s="52"/>
      <c r="K824" s="57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</row>
    <row r="825" ht="12.75" customHeight="1">
      <c r="A825" s="52"/>
      <c r="B825" s="53"/>
      <c r="C825" s="52"/>
      <c r="D825" s="52"/>
      <c r="E825" s="52"/>
      <c r="F825" s="12"/>
      <c r="G825" s="52"/>
      <c r="H825" s="52"/>
      <c r="I825" s="57"/>
      <c r="J825" s="52"/>
      <c r="K825" s="57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</row>
    <row r="826" ht="12.75" customHeight="1">
      <c r="A826" s="52"/>
      <c r="B826" s="53"/>
      <c r="C826" s="52"/>
      <c r="D826" s="52"/>
      <c r="E826" s="52"/>
      <c r="F826" s="12"/>
      <c r="G826" s="52"/>
      <c r="H826" s="52"/>
      <c r="I826" s="57"/>
      <c r="J826" s="52"/>
      <c r="K826" s="57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</row>
    <row r="827" ht="12.75" customHeight="1">
      <c r="A827" s="52"/>
      <c r="B827" s="53"/>
      <c r="C827" s="52"/>
      <c r="D827" s="52"/>
      <c r="E827" s="52"/>
      <c r="F827" s="12"/>
      <c r="G827" s="52"/>
      <c r="H827" s="52"/>
      <c r="I827" s="57"/>
      <c r="J827" s="52"/>
      <c r="K827" s="57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</row>
    <row r="828" ht="12.75" customHeight="1">
      <c r="A828" s="52"/>
      <c r="B828" s="53"/>
      <c r="C828" s="52"/>
      <c r="D828" s="52"/>
      <c r="E828" s="52"/>
      <c r="F828" s="12"/>
      <c r="G828" s="52"/>
      <c r="H828" s="52"/>
      <c r="I828" s="57"/>
      <c r="J828" s="52"/>
      <c r="K828" s="57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</row>
    <row r="829" ht="12.75" customHeight="1">
      <c r="A829" s="52"/>
      <c r="B829" s="53"/>
      <c r="C829" s="52"/>
      <c r="D829" s="52"/>
      <c r="E829" s="52"/>
      <c r="F829" s="12"/>
      <c r="G829" s="52"/>
      <c r="H829" s="52"/>
      <c r="I829" s="57"/>
      <c r="J829" s="52"/>
      <c r="K829" s="57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</row>
    <row r="830" ht="12.75" customHeight="1">
      <c r="A830" s="52"/>
      <c r="B830" s="53"/>
      <c r="C830" s="52"/>
      <c r="D830" s="52"/>
      <c r="E830" s="52"/>
      <c r="F830" s="12"/>
      <c r="G830" s="52"/>
      <c r="H830" s="52"/>
      <c r="I830" s="57"/>
      <c r="J830" s="52"/>
      <c r="K830" s="57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</row>
    <row r="831" ht="12.75" customHeight="1">
      <c r="A831" s="52"/>
      <c r="B831" s="53"/>
      <c r="C831" s="52"/>
      <c r="D831" s="52"/>
      <c r="E831" s="52"/>
      <c r="F831" s="12"/>
      <c r="G831" s="52"/>
      <c r="H831" s="52"/>
      <c r="I831" s="57"/>
      <c r="J831" s="52"/>
      <c r="K831" s="57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</row>
    <row r="832" ht="12.75" customHeight="1">
      <c r="A832" s="52"/>
      <c r="B832" s="53"/>
      <c r="C832" s="52"/>
      <c r="D832" s="52"/>
      <c r="E832" s="52"/>
      <c r="F832" s="12"/>
      <c r="G832" s="52"/>
      <c r="H832" s="52"/>
      <c r="I832" s="57"/>
      <c r="J832" s="52"/>
      <c r="K832" s="57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</row>
    <row r="833" ht="12.75" customHeight="1">
      <c r="A833" s="52"/>
      <c r="B833" s="53"/>
      <c r="C833" s="52"/>
      <c r="D833" s="52"/>
      <c r="E833" s="52"/>
      <c r="F833" s="12"/>
      <c r="G833" s="52"/>
      <c r="H833" s="52"/>
      <c r="I833" s="57"/>
      <c r="J833" s="52"/>
      <c r="K833" s="57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</row>
    <row r="834" ht="12.75" customHeight="1">
      <c r="A834" s="52"/>
      <c r="B834" s="53"/>
      <c r="C834" s="52"/>
      <c r="D834" s="52"/>
      <c r="E834" s="52"/>
      <c r="F834" s="12"/>
      <c r="G834" s="52"/>
      <c r="H834" s="52"/>
      <c r="I834" s="57"/>
      <c r="J834" s="52"/>
      <c r="K834" s="57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</row>
    <row r="835" ht="12.75" customHeight="1">
      <c r="A835" s="52"/>
      <c r="B835" s="53"/>
      <c r="C835" s="52"/>
      <c r="D835" s="52"/>
      <c r="E835" s="52"/>
      <c r="F835" s="12"/>
      <c r="G835" s="52"/>
      <c r="H835" s="52"/>
      <c r="I835" s="57"/>
      <c r="J835" s="52"/>
      <c r="K835" s="57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</row>
    <row r="836" ht="12.75" customHeight="1">
      <c r="A836" s="52"/>
      <c r="B836" s="53"/>
      <c r="C836" s="52"/>
      <c r="D836" s="52"/>
      <c r="E836" s="52"/>
      <c r="F836" s="12"/>
      <c r="G836" s="52"/>
      <c r="H836" s="52"/>
      <c r="I836" s="57"/>
      <c r="J836" s="52"/>
      <c r="K836" s="57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</row>
    <row r="837" ht="12.75" customHeight="1">
      <c r="A837" s="52"/>
      <c r="B837" s="53"/>
      <c r="C837" s="52"/>
      <c r="D837" s="52"/>
      <c r="E837" s="52"/>
      <c r="F837" s="12"/>
      <c r="G837" s="52"/>
      <c r="H837" s="52"/>
      <c r="I837" s="57"/>
      <c r="J837" s="52"/>
      <c r="K837" s="57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</row>
    <row r="838" ht="12.75" customHeight="1">
      <c r="A838" s="52"/>
      <c r="B838" s="53"/>
      <c r="C838" s="52"/>
      <c r="D838" s="52"/>
      <c r="E838" s="52"/>
      <c r="F838" s="12"/>
      <c r="G838" s="52"/>
      <c r="H838" s="52"/>
      <c r="I838" s="57"/>
      <c r="J838" s="52"/>
      <c r="K838" s="57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</row>
    <row r="839" ht="12.75" customHeight="1">
      <c r="A839" s="52"/>
      <c r="B839" s="53"/>
      <c r="C839" s="52"/>
      <c r="D839" s="52"/>
      <c r="E839" s="52"/>
      <c r="F839" s="12"/>
      <c r="G839" s="52"/>
      <c r="H839" s="52"/>
      <c r="I839" s="57"/>
      <c r="J839" s="52"/>
      <c r="K839" s="57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</row>
    <row r="840" ht="12.75" customHeight="1">
      <c r="A840" s="52"/>
      <c r="B840" s="53"/>
      <c r="C840" s="52"/>
      <c r="D840" s="52"/>
      <c r="E840" s="52"/>
      <c r="F840" s="12"/>
      <c r="G840" s="52"/>
      <c r="H840" s="52"/>
      <c r="I840" s="57"/>
      <c r="J840" s="52"/>
      <c r="K840" s="57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</row>
    <row r="841" ht="12.75" customHeight="1">
      <c r="A841" s="52"/>
      <c r="B841" s="53"/>
      <c r="C841" s="52"/>
      <c r="D841" s="52"/>
      <c r="E841" s="52"/>
      <c r="F841" s="12"/>
      <c r="G841" s="52"/>
      <c r="H841" s="52"/>
      <c r="I841" s="57"/>
      <c r="J841" s="52"/>
      <c r="K841" s="57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</row>
    <row r="842" ht="12.75" customHeight="1">
      <c r="A842" s="52"/>
      <c r="B842" s="53"/>
      <c r="C842" s="52"/>
      <c r="D842" s="52"/>
      <c r="E842" s="52"/>
      <c r="F842" s="12"/>
      <c r="G842" s="52"/>
      <c r="H842" s="52"/>
      <c r="I842" s="57"/>
      <c r="J842" s="52"/>
      <c r="K842" s="57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</row>
    <row r="843" ht="12.75" customHeight="1">
      <c r="A843" s="52"/>
      <c r="B843" s="53"/>
      <c r="C843" s="52"/>
      <c r="D843" s="52"/>
      <c r="E843" s="52"/>
      <c r="F843" s="12"/>
      <c r="G843" s="52"/>
      <c r="H843" s="52"/>
      <c r="I843" s="57"/>
      <c r="J843" s="52"/>
      <c r="K843" s="57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</row>
    <row r="844" ht="12.75" customHeight="1">
      <c r="A844" s="52"/>
      <c r="B844" s="53"/>
      <c r="C844" s="52"/>
      <c r="D844" s="52"/>
      <c r="E844" s="52"/>
      <c r="F844" s="12"/>
      <c r="G844" s="52"/>
      <c r="H844" s="52"/>
      <c r="I844" s="57"/>
      <c r="J844" s="52"/>
      <c r="K844" s="57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</row>
    <row r="845" ht="12.75" customHeight="1">
      <c r="A845" s="52"/>
      <c r="B845" s="53"/>
      <c r="C845" s="52"/>
      <c r="D845" s="52"/>
      <c r="E845" s="52"/>
      <c r="F845" s="12"/>
      <c r="G845" s="52"/>
      <c r="H845" s="52"/>
      <c r="I845" s="57"/>
      <c r="J845" s="52"/>
      <c r="K845" s="57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</row>
    <row r="846" ht="12.75" customHeight="1">
      <c r="A846" s="52"/>
      <c r="B846" s="53"/>
      <c r="C846" s="52"/>
      <c r="D846" s="52"/>
      <c r="E846" s="52"/>
      <c r="F846" s="12"/>
      <c r="G846" s="52"/>
      <c r="H846" s="52"/>
      <c r="I846" s="57"/>
      <c r="J846" s="52"/>
      <c r="K846" s="57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</row>
    <row r="847" ht="12.75" customHeight="1">
      <c r="A847" s="52"/>
      <c r="B847" s="53"/>
      <c r="C847" s="52"/>
      <c r="D847" s="52"/>
      <c r="E847" s="52"/>
      <c r="F847" s="12"/>
      <c r="G847" s="52"/>
      <c r="H847" s="52"/>
      <c r="I847" s="57"/>
      <c r="J847" s="52"/>
      <c r="K847" s="57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</row>
    <row r="848" ht="12.75" customHeight="1">
      <c r="A848" s="52"/>
      <c r="B848" s="53"/>
      <c r="C848" s="52"/>
      <c r="D848" s="52"/>
      <c r="E848" s="52"/>
      <c r="F848" s="12"/>
      <c r="G848" s="52"/>
      <c r="H848" s="52"/>
      <c r="I848" s="57"/>
      <c r="J848" s="52"/>
      <c r="K848" s="57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</row>
    <row r="849" ht="12.75" customHeight="1">
      <c r="A849" s="52"/>
      <c r="B849" s="53"/>
      <c r="C849" s="52"/>
      <c r="D849" s="52"/>
      <c r="E849" s="52"/>
      <c r="F849" s="12"/>
      <c r="G849" s="52"/>
      <c r="H849" s="52"/>
      <c r="I849" s="57"/>
      <c r="J849" s="52"/>
      <c r="K849" s="57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</row>
    <row r="850" ht="12.75" customHeight="1">
      <c r="A850" s="52"/>
      <c r="B850" s="53"/>
      <c r="C850" s="52"/>
      <c r="D850" s="52"/>
      <c r="E850" s="52"/>
      <c r="F850" s="12"/>
      <c r="G850" s="52"/>
      <c r="H850" s="52"/>
      <c r="I850" s="57"/>
      <c r="J850" s="52"/>
      <c r="K850" s="57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</row>
    <row r="851" ht="12.75" customHeight="1">
      <c r="A851" s="52"/>
      <c r="B851" s="53"/>
      <c r="C851" s="52"/>
      <c r="D851" s="52"/>
      <c r="E851" s="52"/>
      <c r="F851" s="12"/>
      <c r="G851" s="52"/>
      <c r="H851" s="52"/>
      <c r="I851" s="57"/>
      <c r="J851" s="52"/>
      <c r="K851" s="57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</row>
    <row r="852" ht="12.75" customHeight="1">
      <c r="A852" s="52"/>
      <c r="B852" s="53"/>
      <c r="C852" s="52"/>
      <c r="D852" s="52"/>
      <c r="E852" s="52"/>
      <c r="F852" s="12"/>
      <c r="G852" s="52"/>
      <c r="H852" s="52"/>
      <c r="I852" s="57"/>
      <c r="J852" s="52"/>
      <c r="K852" s="57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</row>
    <row r="853" ht="12.75" customHeight="1">
      <c r="A853" s="52"/>
      <c r="B853" s="53"/>
      <c r="C853" s="52"/>
      <c r="D853" s="52"/>
      <c r="E853" s="52"/>
      <c r="F853" s="12"/>
      <c r="G853" s="52"/>
      <c r="H853" s="52"/>
      <c r="I853" s="57"/>
      <c r="J853" s="52"/>
      <c r="K853" s="57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</row>
    <row r="854" ht="12.75" customHeight="1">
      <c r="A854" s="52"/>
      <c r="B854" s="53"/>
      <c r="C854" s="52"/>
      <c r="D854" s="52"/>
      <c r="E854" s="52"/>
      <c r="F854" s="12"/>
      <c r="G854" s="52"/>
      <c r="H854" s="52"/>
      <c r="I854" s="57"/>
      <c r="J854" s="52"/>
      <c r="K854" s="57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</row>
    <row r="855" ht="12.75" customHeight="1">
      <c r="A855" s="52"/>
      <c r="B855" s="53"/>
      <c r="C855" s="52"/>
      <c r="D855" s="52"/>
      <c r="E855" s="52"/>
      <c r="F855" s="12"/>
      <c r="G855" s="52"/>
      <c r="H855" s="52"/>
      <c r="I855" s="57"/>
      <c r="J855" s="52"/>
      <c r="K855" s="57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</row>
    <row r="856" ht="12.75" customHeight="1">
      <c r="A856" s="52"/>
      <c r="B856" s="53"/>
      <c r="C856" s="52"/>
      <c r="D856" s="52"/>
      <c r="E856" s="52"/>
      <c r="F856" s="12"/>
      <c r="G856" s="52"/>
      <c r="H856" s="52"/>
      <c r="I856" s="57"/>
      <c r="J856" s="52"/>
      <c r="K856" s="57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</row>
    <row r="857" ht="12.75" customHeight="1">
      <c r="A857" s="52"/>
      <c r="B857" s="53"/>
      <c r="C857" s="52"/>
      <c r="D857" s="52"/>
      <c r="E857" s="52"/>
      <c r="F857" s="12"/>
      <c r="G857" s="52"/>
      <c r="H857" s="52"/>
      <c r="I857" s="57"/>
      <c r="J857" s="52"/>
      <c r="K857" s="57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</row>
    <row r="858" ht="12.75" customHeight="1">
      <c r="A858" s="52"/>
      <c r="B858" s="53"/>
      <c r="C858" s="52"/>
      <c r="D858" s="52"/>
      <c r="E858" s="52"/>
      <c r="F858" s="12"/>
      <c r="G858" s="52"/>
      <c r="H858" s="52"/>
      <c r="I858" s="57"/>
      <c r="J858" s="52"/>
      <c r="K858" s="57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</row>
    <row r="859" ht="12.75" customHeight="1">
      <c r="A859" s="52"/>
      <c r="B859" s="53"/>
      <c r="C859" s="52"/>
      <c r="D859" s="52"/>
      <c r="E859" s="52"/>
      <c r="F859" s="12"/>
      <c r="G859" s="52"/>
      <c r="H859" s="52"/>
      <c r="I859" s="57"/>
      <c r="J859" s="52"/>
      <c r="K859" s="57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</row>
    <row r="860" ht="12.75" customHeight="1">
      <c r="A860" s="52"/>
      <c r="B860" s="53"/>
      <c r="C860" s="52"/>
      <c r="D860" s="52"/>
      <c r="E860" s="52"/>
      <c r="F860" s="12"/>
      <c r="G860" s="52"/>
      <c r="H860" s="52"/>
      <c r="I860" s="57"/>
      <c r="J860" s="52"/>
      <c r="K860" s="57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</row>
    <row r="861" ht="12.75" customHeight="1">
      <c r="A861" s="52"/>
      <c r="B861" s="53"/>
      <c r="C861" s="52"/>
      <c r="D861" s="52"/>
      <c r="E861" s="52"/>
      <c r="F861" s="12"/>
      <c r="G861" s="52"/>
      <c r="H861" s="52"/>
      <c r="I861" s="57"/>
      <c r="J861" s="52"/>
      <c r="K861" s="57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</row>
    <row r="862" ht="12.75" customHeight="1">
      <c r="A862" s="52"/>
      <c r="B862" s="53"/>
      <c r="C862" s="52"/>
      <c r="D862" s="52"/>
      <c r="E862" s="52"/>
      <c r="F862" s="12"/>
      <c r="G862" s="52"/>
      <c r="H862" s="52"/>
      <c r="I862" s="57"/>
      <c r="J862" s="52"/>
      <c r="K862" s="57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</row>
    <row r="863" ht="12.75" customHeight="1">
      <c r="A863" s="52"/>
      <c r="B863" s="53"/>
      <c r="C863" s="52"/>
      <c r="D863" s="52"/>
      <c r="E863" s="52"/>
      <c r="F863" s="12"/>
      <c r="G863" s="52"/>
      <c r="H863" s="52"/>
      <c r="I863" s="57"/>
      <c r="J863" s="52"/>
      <c r="K863" s="57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</row>
    <row r="864" ht="12.75" customHeight="1">
      <c r="A864" s="52"/>
      <c r="B864" s="53"/>
      <c r="C864" s="52"/>
      <c r="D864" s="52"/>
      <c r="E864" s="52"/>
      <c r="F864" s="12"/>
      <c r="G864" s="52"/>
      <c r="H864" s="52"/>
      <c r="I864" s="57"/>
      <c r="J864" s="52"/>
      <c r="K864" s="57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</row>
    <row r="865" ht="12.75" customHeight="1">
      <c r="A865" s="52"/>
      <c r="B865" s="53"/>
      <c r="C865" s="52"/>
      <c r="D865" s="52"/>
      <c r="E865" s="52"/>
      <c r="F865" s="12"/>
      <c r="G865" s="52"/>
      <c r="H865" s="52"/>
      <c r="I865" s="57"/>
      <c r="J865" s="52"/>
      <c r="K865" s="57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</row>
    <row r="866" ht="12.75" customHeight="1">
      <c r="A866" s="52"/>
      <c r="B866" s="53"/>
      <c r="C866" s="52"/>
      <c r="D866" s="52"/>
      <c r="E866" s="52"/>
      <c r="F866" s="12"/>
      <c r="G866" s="52"/>
      <c r="H866" s="52"/>
      <c r="I866" s="57"/>
      <c r="J866" s="52"/>
      <c r="K866" s="57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</row>
    <row r="867" ht="12.75" customHeight="1">
      <c r="A867" s="52"/>
      <c r="B867" s="53"/>
      <c r="C867" s="52"/>
      <c r="D867" s="52"/>
      <c r="E867" s="52"/>
      <c r="F867" s="12"/>
      <c r="G867" s="52"/>
      <c r="H867" s="52"/>
      <c r="I867" s="57"/>
      <c r="J867" s="52"/>
      <c r="K867" s="57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</row>
    <row r="868" ht="12.75" customHeight="1">
      <c r="A868" s="52"/>
      <c r="B868" s="53"/>
      <c r="C868" s="52"/>
      <c r="D868" s="52"/>
      <c r="E868" s="52"/>
      <c r="F868" s="12"/>
      <c r="G868" s="52"/>
      <c r="H868" s="52"/>
      <c r="I868" s="57"/>
      <c r="J868" s="52"/>
      <c r="K868" s="57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</row>
    <row r="869" ht="12.75" customHeight="1">
      <c r="A869" s="52"/>
      <c r="B869" s="53"/>
      <c r="C869" s="52"/>
      <c r="D869" s="52"/>
      <c r="E869" s="52"/>
      <c r="F869" s="12"/>
      <c r="G869" s="52"/>
      <c r="H869" s="52"/>
      <c r="I869" s="57"/>
      <c r="J869" s="52"/>
      <c r="K869" s="57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</row>
    <row r="870" ht="12.75" customHeight="1">
      <c r="A870" s="52"/>
      <c r="B870" s="53"/>
      <c r="C870" s="52"/>
      <c r="D870" s="52"/>
      <c r="E870" s="52"/>
      <c r="F870" s="12"/>
      <c r="G870" s="52"/>
      <c r="H870" s="52"/>
      <c r="I870" s="57"/>
      <c r="J870" s="52"/>
      <c r="K870" s="57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</row>
    <row r="871" ht="12.75" customHeight="1">
      <c r="A871" s="52"/>
      <c r="B871" s="53"/>
      <c r="C871" s="52"/>
      <c r="D871" s="52"/>
      <c r="E871" s="52"/>
      <c r="F871" s="12"/>
      <c r="G871" s="52"/>
      <c r="H871" s="52"/>
      <c r="I871" s="57"/>
      <c r="J871" s="52"/>
      <c r="K871" s="57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</row>
    <row r="872" ht="12.75" customHeight="1">
      <c r="A872" s="52"/>
      <c r="B872" s="53"/>
      <c r="C872" s="52"/>
      <c r="D872" s="52"/>
      <c r="E872" s="52"/>
      <c r="F872" s="12"/>
      <c r="G872" s="52"/>
      <c r="H872" s="52"/>
      <c r="I872" s="57"/>
      <c r="J872" s="52"/>
      <c r="K872" s="57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</row>
    <row r="873" ht="12.75" customHeight="1">
      <c r="A873" s="52"/>
      <c r="B873" s="53"/>
      <c r="C873" s="52"/>
      <c r="D873" s="52"/>
      <c r="E873" s="52"/>
      <c r="F873" s="12"/>
      <c r="G873" s="52"/>
      <c r="H873" s="52"/>
      <c r="I873" s="57"/>
      <c r="J873" s="52"/>
      <c r="K873" s="57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</row>
    <row r="874" ht="12.75" customHeight="1">
      <c r="A874" s="52"/>
      <c r="B874" s="53"/>
      <c r="C874" s="52"/>
      <c r="D874" s="52"/>
      <c r="E874" s="52"/>
      <c r="F874" s="12"/>
      <c r="G874" s="52"/>
      <c r="H874" s="52"/>
      <c r="I874" s="57"/>
      <c r="J874" s="52"/>
      <c r="K874" s="57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</row>
    <row r="875" ht="12.75" customHeight="1">
      <c r="A875" s="52"/>
      <c r="B875" s="53"/>
      <c r="C875" s="52"/>
      <c r="D875" s="52"/>
      <c r="E875" s="52"/>
      <c r="F875" s="12"/>
      <c r="G875" s="52"/>
      <c r="H875" s="52"/>
      <c r="I875" s="57"/>
      <c r="J875" s="52"/>
      <c r="K875" s="57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</row>
    <row r="876" ht="12.75" customHeight="1">
      <c r="A876" s="52"/>
      <c r="B876" s="53"/>
      <c r="C876" s="52"/>
      <c r="D876" s="52"/>
      <c r="E876" s="52"/>
      <c r="F876" s="12"/>
      <c r="G876" s="52"/>
      <c r="H876" s="52"/>
      <c r="I876" s="57"/>
      <c r="J876" s="52"/>
      <c r="K876" s="57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</row>
    <row r="877" ht="12.75" customHeight="1">
      <c r="A877" s="52"/>
      <c r="B877" s="53"/>
      <c r="C877" s="52"/>
      <c r="D877" s="52"/>
      <c r="E877" s="52"/>
      <c r="F877" s="12"/>
      <c r="G877" s="52"/>
      <c r="H877" s="52"/>
      <c r="I877" s="57"/>
      <c r="J877" s="52"/>
      <c r="K877" s="57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</row>
    <row r="878" ht="12.75" customHeight="1">
      <c r="A878" s="52"/>
      <c r="B878" s="53"/>
      <c r="C878" s="52"/>
      <c r="D878" s="52"/>
      <c r="E878" s="52"/>
      <c r="F878" s="12"/>
      <c r="G878" s="52"/>
      <c r="H878" s="52"/>
      <c r="I878" s="57"/>
      <c r="J878" s="52"/>
      <c r="K878" s="57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</row>
    <row r="879" ht="12.75" customHeight="1">
      <c r="A879" s="52"/>
      <c r="B879" s="53"/>
      <c r="C879" s="52"/>
      <c r="D879" s="52"/>
      <c r="E879" s="52"/>
      <c r="F879" s="12"/>
      <c r="G879" s="52"/>
      <c r="H879" s="52"/>
      <c r="I879" s="57"/>
      <c r="J879" s="52"/>
      <c r="K879" s="57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</row>
    <row r="880" ht="12.75" customHeight="1">
      <c r="A880" s="52"/>
      <c r="B880" s="53"/>
      <c r="C880" s="52"/>
      <c r="D880" s="52"/>
      <c r="E880" s="52"/>
      <c r="F880" s="12"/>
      <c r="G880" s="52"/>
      <c r="H880" s="52"/>
      <c r="I880" s="57"/>
      <c r="J880" s="52"/>
      <c r="K880" s="57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</row>
    <row r="881" ht="12.75" customHeight="1">
      <c r="A881" s="52"/>
      <c r="B881" s="53"/>
      <c r="C881" s="52"/>
      <c r="D881" s="52"/>
      <c r="E881" s="52"/>
      <c r="F881" s="12"/>
      <c r="G881" s="52"/>
      <c r="H881" s="52"/>
      <c r="I881" s="57"/>
      <c r="J881" s="52"/>
      <c r="K881" s="57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</row>
    <row r="882" ht="12.75" customHeight="1">
      <c r="A882" s="52"/>
      <c r="B882" s="53"/>
      <c r="C882" s="52"/>
      <c r="D882" s="52"/>
      <c r="E882" s="52"/>
      <c r="F882" s="12"/>
      <c r="G882" s="52"/>
      <c r="H882" s="52"/>
      <c r="I882" s="57"/>
      <c r="J882" s="52"/>
      <c r="K882" s="57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</row>
    <row r="883" ht="12.75" customHeight="1">
      <c r="A883" s="52"/>
      <c r="B883" s="53"/>
      <c r="C883" s="52"/>
      <c r="D883" s="52"/>
      <c r="E883" s="52"/>
      <c r="F883" s="12"/>
      <c r="G883" s="52"/>
      <c r="H883" s="52"/>
      <c r="I883" s="57"/>
      <c r="J883" s="52"/>
      <c r="K883" s="57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</row>
    <row r="884" ht="12.75" customHeight="1">
      <c r="A884" s="52"/>
      <c r="B884" s="53"/>
      <c r="C884" s="52"/>
      <c r="D884" s="52"/>
      <c r="E884" s="52"/>
      <c r="F884" s="12"/>
      <c r="G884" s="52"/>
      <c r="H884" s="52"/>
      <c r="I884" s="57"/>
      <c r="J884" s="52"/>
      <c r="K884" s="57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</row>
    <row r="885" ht="12.75" customHeight="1">
      <c r="A885" s="52"/>
      <c r="B885" s="53"/>
      <c r="C885" s="52"/>
      <c r="D885" s="52"/>
      <c r="E885" s="52"/>
      <c r="F885" s="12"/>
      <c r="G885" s="52"/>
      <c r="H885" s="52"/>
      <c r="I885" s="57"/>
      <c r="J885" s="52"/>
      <c r="K885" s="57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</row>
    <row r="886" ht="12.75" customHeight="1">
      <c r="A886" s="52"/>
      <c r="B886" s="53"/>
      <c r="C886" s="52"/>
      <c r="D886" s="52"/>
      <c r="E886" s="52"/>
      <c r="F886" s="12"/>
      <c r="G886" s="52"/>
      <c r="H886" s="52"/>
      <c r="I886" s="57"/>
      <c r="J886" s="52"/>
      <c r="K886" s="57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</row>
    <row r="887" ht="12.75" customHeight="1">
      <c r="A887" s="52"/>
      <c r="B887" s="53"/>
      <c r="C887" s="52"/>
      <c r="D887" s="52"/>
      <c r="E887" s="52"/>
      <c r="F887" s="12"/>
      <c r="G887" s="52"/>
      <c r="H887" s="52"/>
      <c r="I887" s="57"/>
      <c r="J887" s="52"/>
      <c r="K887" s="57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</row>
    <row r="888" ht="12.75" customHeight="1">
      <c r="A888" s="52"/>
      <c r="B888" s="53"/>
      <c r="C888" s="52"/>
      <c r="D888" s="52"/>
      <c r="E888" s="52"/>
      <c r="F888" s="12"/>
      <c r="G888" s="52"/>
      <c r="H888" s="52"/>
      <c r="I888" s="57"/>
      <c r="J888" s="52"/>
      <c r="K888" s="57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</row>
    <row r="889" ht="12.75" customHeight="1">
      <c r="A889" s="52"/>
      <c r="B889" s="53"/>
      <c r="C889" s="52"/>
      <c r="D889" s="52"/>
      <c r="E889" s="52"/>
      <c r="F889" s="12"/>
      <c r="G889" s="52"/>
      <c r="H889" s="52"/>
      <c r="I889" s="57"/>
      <c r="J889" s="52"/>
      <c r="K889" s="57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</row>
    <row r="890" ht="12.75" customHeight="1">
      <c r="A890" s="52"/>
      <c r="B890" s="53"/>
      <c r="C890" s="52"/>
      <c r="D890" s="52"/>
      <c r="E890" s="52"/>
      <c r="F890" s="12"/>
      <c r="G890" s="52"/>
      <c r="H890" s="52"/>
      <c r="I890" s="57"/>
      <c r="J890" s="52"/>
      <c r="K890" s="57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</row>
    <row r="891" ht="12.75" customHeight="1">
      <c r="A891" s="52"/>
      <c r="B891" s="53"/>
      <c r="C891" s="52"/>
      <c r="D891" s="52"/>
      <c r="E891" s="52"/>
      <c r="F891" s="12"/>
      <c r="G891" s="52"/>
      <c r="H891" s="52"/>
      <c r="I891" s="57"/>
      <c r="J891" s="52"/>
      <c r="K891" s="57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</row>
    <row r="892" ht="12.75" customHeight="1">
      <c r="A892" s="52"/>
      <c r="B892" s="53"/>
      <c r="C892" s="52"/>
      <c r="D892" s="52"/>
      <c r="E892" s="52"/>
      <c r="F892" s="12"/>
      <c r="G892" s="52"/>
      <c r="H892" s="52"/>
      <c r="I892" s="57"/>
      <c r="J892" s="52"/>
      <c r="K892" s="57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</row>
    <row r="893" ht="12.75" customHeight="1">
      <c r="A893" s="52"/>
      <c r="B893" s="53"/>
      <c r="C893" s="52"/>
      <c r="D893" s="52"/>
      <c r="E893" s="52"/>
      <c r="F893" s="12"/>
      <c r="G893" s="52"/>
      <c r="H893" s="52"/>
      <c r="I893" s="57"/>
      <c r="J893" s="52"/>
      <c r="K893" s="57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</row>
    <row r="894" ht="12.75" customHeight="1">
      <c r="A894" s="52"/>
      <c r="B894" s="53"/>
      <c r="C894" s="52"/>
      <c r="D894" s="52"/>
      <c r="E894" s="52"/>
      <c r="F894" s="12"/>
      <c r="G894" s="52"/>
      <c r="H894" s="52"/>
      <c r="I894" s="57"/>
      <c r="J894" s="52"/>
      <c r="K894" s="57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</row>
    <row r="895" ht="12.75" customHeight="1">
      <c r="A895" s="52"/>
      <c r="B895" s="53"/>
      <c r="C895" s="52"/>
      <c r="D895" s="52"/>
      <c r="E895" s="52"/>
      <c r="F895" s="12"/>
      <c r="G895" s="52"/>
      <c r="H895" s="52"/>
      <c r="I895" s="57"/>
      <c r="J895" s="52"/>
      <c r="K895" s="57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</row>
    <row r="896" ht="12.75" customHeight="1">
      <c r="A896" s="52"/>
      <c r="B896" s="53"/>
      <c r="C896" s="52"/>
      <c r="D896" s="52"/>
      <c r="E896" s="52"/>
      <c r="F896" s="12"/>
      <c r="G896" s="52"/>
      <c r="H896" s="52"/>
      <c r="I896" s="57"/>
      <c r="J896" s="52"/>
      <c r="K896" s="57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</row>
    <row r="897" ht="12.75" customHeight="1">
      <c r="A897" s="52"/>
      <c r="B897" s="53"/>
      <c r="C897" s="52"/>
      <c r="D897" s="52"/>
      <c r="E897" s="52"/>
      <c r="F897" s="12"/>
      <c r="G897" s="52"/>
      <c r="H897" s="52"/>
      <c r="I897" s="57"/>
      <c r="J897" s="52"/>
      <c r="K897" s="57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</row>
    <row r="898" ht="12.75" customHeight="1">
      <c r="A898" s="52"/>
      <c r="B898" s="53"/>
      <c r="C898" s="52"/>
      <c r="D898" s="52"/>
      <c r="E898" s="52"/>
      <c r="F898" s="12"/>
      <c r="G898" s="52"/>
      <c r="H898" s="52"/>
      <c r="I898" s="57"/>
      <c r="J898" s="52"/>
      <c r="K898" s="57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</row>
    <row r="899" ht="12.75" customHeight="1">
      <c r="A899" s="52"/>
      <c r="B899" s="53"/>
      <c r="C899" s="52"/>
      <c r="D899" s="52"/>
      <c r="E899" s="52"/>
      <c r="F899" s="12"/>
      <c r="G899" s="52"/>
      <c r="H899" s="52"/>
      <c r="I899" s="57"/>
      <c r="J899" s="52"/>
      <c r="K899" s="57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</row>
    <row r="900" ht="12.75" customHeight="1">
      <c r="A900" s="52"/>
      <c r="B900" s="53"/>
      <c r="C900" s="52"/>
      <c r="D900" s="52"/>
      <c r="E900" s="52"/>
      <c r="F900" s="12"/>
      <c r="G900" s="52"/>
      <c r="H900" s="52"/>
      <c r="I900" s="57"/>
      <c r="J900" s="52"/>
      <c r="K900" s="57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</row>
    <row r="901" ht="12.75" customHeight="1">
      <c r="A901" s="52"/>
      <c r="B901" s="53"/>
      <c r="C901" s="52"/>
      <c r="D901" s="52"/>
      <c r="E901" s="52"/>
      <c r="F901" s="12"/>
      <c r="G901" s="52"/>
      <c r="H901" s="52"/>
      <c r="I901" s="57"/>
      <c r="J901" s="52"/>
      <c r="K901" s="57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</row>
    <row r="902" ht="12.75" customHeight="1">
      <c r="A902" s="52"/>
      <c r="B902" s="53"/>
      <c r="C902" s="52"/>
      <c r="D902" s="52"/>
      <c r="E902" s="52"/>
      <c r="F902" s="12"/>
      <c r="G902" s="52"/>
      <c r="H902" s="52"/>
      <c r="I902" s="57"/>
      <c r="J902" s="52"/>
      <c r="K902" s="57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</row>
    <row r="903" ht="12.75" customHeight="1">
      <c r="A903" s="52"/>
      <c r="B903" s="53"/>
      <c r="C903" s="52"/>
      <c r="D903" s="52"/>
      <c r="E903" s="52"/>
      <c r="F903" s="12"/>
      <c r="G903" s="52"/>
      <c r="H903" s="52"/>
      <c r="I903" s="57"/>
      <c r="J903" s="52"/>
      <c r="K903" s="57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</row>
    <row r="904" ht="12.75" customHeight="1">
      <c r="A904" s="52"/>
      <c r="B904" s="53"/>
      <c r="C904" s="52"/>
      <c r="D904" s="52"/>
      <c r="E904" s="52"/>
      <c r="F904" s="12"/>
      <c r="G904" s="52"/>
      <c r="H904" s="52"/>
      <c r="I904" s="57"/>
      <c r="J904" s="52"/>
      <c r="K904" s="57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</row>
    <row r="905" ht="12.75" customHeight="1">
      <c r="A905" s="52"/>
      <c r="B905" s="53"/>
      <c r="C905" s="52"/>
      <c r="D905" s="52"/>
      <c r="E905" s="52"/>
      <c r="F905" s="12"/>
      <c r="G905" s="52"/>
      <c r="H905" s="52"/>
      <c r="I905" s="57"/>
      <c r="J905" s="52"/>
      <c r="K905" s="57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</row>
    <row r="906" ht="12.75" customHeight="1">
      <c r="A906" s="52"/>
      <c r="B906" s="53"/>
      <c r="C906" s="52"/>
      <c r="D906" s="52"/>
      <c r="E906" s="52"/>
      <c r="F906" s="12"/>
      <c r="G906" s="52"/>
      <c r="H906" s="52"/>
      <c r="I906" s="57"/>
      <c r="J906" s="52"/>
      <c r="K906" s="57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</row>
    <row r="907" ht="12.75" customHeight="1">
      <c r="A907" s="52"/>
      <c r="B907" s="53"/>
      <c r="C907" s="52"/>
      <c r="D907" s="52"/>
      <c r="E907" s="52"/>
      <c r="F907" s="12"/>
      <c r="G907" s="52"/>
      <c r="H907" s="52"/>
      <c r="I907" s="57"/>
      <c r="J907" s="52"/>
      <c r="K907" s="57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</row>
    <row r="908" ht="12.75" customHeight="1">
      <c r="A908" s="52"/>
      <c r="B908" s="53"/>
      <c r="C908" s="52"/>
      <c r="D908" s="52"/>
      <c r="E908" s="52"/>
      <c r="F908" s="12"/>
      <c r="G908" s="52"/>
      <c r="H908" s="52"/>
      <c r="I908" s="57"/>
      <c r="J908" s="52"/>
      <c r="K908" s="57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</row>
    <row r="909" ht="12.75" customHeight="1">
      <c r="A909" s="52"/>
      <c r="B909" s="53"/>
      <c r="C909" s="52"/>
      <c r="D909" s="52"/>
      <c r="E909" s="52"/>
      <c r="F909" s="12"/>
      <c r="G909" s="52"/>
      <c r="H909" s="52"/>
      <c r="I909" s="57"/>
      <c r="J909" s="52"/>
      <c r="K909" s="57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</row>
    <row r="910" ht="12.75" customHeight="1">
      <c r="A910" s="52"/>
      <c r="B910" s="53"/>
      <c r="C910" s="52"/>
      <c r="D910" s="52"/>
      <c r="E910" s="52"/>
      <c r="F910" s="12"/>
      <c r="G910" s="52"/>
      <c r="H910" s="52"/>
      <c r="I910" s="57"/>
      <c r="J910" s="52"/>
      <c r="K910" s="57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</row>
    <row r="911" ht="12.75" customHeight="1">
      <c r="A911" s="52"/>
      <c r="B911" s="53"/>
      <c r="C911" s="52"/>
      <c r="D911" s="52"/>
      <c r="E911" s="52"/>
      <c r="F911" s="12"/>
      <c r="G911" s="52"/>
      <c r="H911" s="52"/>
      <c r="I911" s="57"/>
      <c r="J911" s="52"/>
      <c r="K911" s="57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</row>
    <row r="912" ht="12.75" customHeight="1">
      <c r="A912" s="52"/>
      <c r="B912" s="53"/>
      <c r="C912" s="52"/>
      <c r="D912" s="52"/>
      <c r="E912" s="52"/>
      <c r="F912" s="12"/>
      <c r="G912" s="52"/>
      <c r="H912" s="52"/>
      <c r="I912" s="57"/>
      <c r="J912" s="52"/>
      <c r="K912" s="57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</row>
    <row r="913" ht="12.75" customHeight="1">
      <c r="A913" s="52"/>
      <c r="B913" s="53"/>
      <c r="C913" s="52"/>
      <c r="D913" s="52"/>
      <c r="E913" s="52"/>
      <c r="F913" s="12"/>
      <c r="G913" s="52"/>
      <c r="H913" s="52"/>
      <c r="I913" s="57"/>
      <c r="J913" s="52"/>
      <c r="K913" s="57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</row>
    <row r="914" ht="12.75" customHeight="1">
      <c r="A914" s="52"/>
      <c r="B914" s="53"/>
      <c r="C914" s="52"/>
      <c r="D914" s="52"/>
      <c r="E914" s="52"/>
      <c r="F914" s="12"/>
      <c r="G914" s="52"/>
      <c r="H914" s="52"/>
      <c r="I914" s="57"/>
      <c r="J914" s="52"/>
      <c r="K914" s="57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</row>
    <row r="915" ht="12.75" customHeight="1">
      <c r="A915" s="52"/>
      <c r="B915" s="53"/>
      <c r="C915" s="52"/>
      <c r="D915" s="52"/>
      <c r="E915" s="52"/>
      <c r="F915" s="12"/>
      <c r="G915" s="52"/>
      <c r="H915" s="52"/>
      <c r="I915" s="57"/>
      <c r="J915" s="52"/>
      <c r="K915" s="57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</row>
    <row r="916" ht="12.75" customHeight="1">
      <c r="A916" s="52"/>
      <c r="B916" s="53"/>
      <c r="C916" s="52"/>
      <c r="D916" s="52"/>
      <c r="E916" s="52"/>
      <c r="F916" s="12"/>
      <c r="G916" s="52"/>
      <c r="H916" s="52"/>
      <c r="I916" s="57"/>
      <c r="J916" s="52"/>
      <c r="K916" s="57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</row>
    <row r="917" ht="12.75" customHeight="1">
      <c r="A917" s="52"/>
      <c r="B917" s="53"/>
      <c r="C917" s="52"/>
      <c r="D917" s="52"/>
      <c r="E917" s="52"/>
      <c r="F917" s="12"/>
      <c r="G917" s="52"/>
      <c r="H917" s="52"/>
      <c r="I917" s="57"/>
      <c r="J917" s="52"/>
      <c r="K917" s="57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</row>
    <row r="918" ht="12.75" customHeight="1">
      <c r="A918" s="52"/>
      <c r="B918" s="53"/>
      <c r="C918" s="52"/>
      <c r="D918" s="52"/>
      <c r="E918" s="52"/>
      <c r="F918" s="12"/>
      <c r="G918" s="52"/>
      <c r="H918" s="52"/>
      <c r="I918" s="57"/>
      <c r="J918" s="52"/>
      <c r="K918" s="57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</row>
    <row r="919" ht="12.75" customHeight="1">
      <c r="A919" s="52"/>
      <c r="B919" s="53"/>
      <c r="C919" s="52"/>
      <c r="D919" s="52"/>
      <c r="E919" s="52"/>
      <c r="F919" s="12"/>
      <c r="G919" s="52"/>
      <c r="H919" s="52"/>
      <c r="I919" s="57"/>
      <c r="J919" s="52"/>
      <c r="K919" s="57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</row>
    <row r="920" ht="12.75" customHeight="1">
      <c r="A920" s="52"/>
      <c r="B920" s="53"/>
      <c r="C920" s="52"/>
      <c r="D920" s="52"/>
      <c r="E920" s="52"/>
      <c r="F920" s="12"/>
      <c r="G920" s="52"/>
      <c r="H920" s="52"/>
      <c r="I920" s="57"/>
      <c r="J920" s="52"/>
      <c r="K920" s="57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</row>
    <row r="921" ht="12.75" customHeight="1">
      <c r="A921" s="52"/>
      <c r="B921" s="53"/>
      <c r="C921" s="52"/>
      <c r="D921" s="52"/>
      <c r="E921" s="52"/>
      <c r="F921" s="12"/>
      <c r="G921" s="52"/>
      <c r="H921" s="52"/>
      <c r="I921" s="57"/>
      <c r="J921" s="52"/>
      <c r="K921" s="57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</row>
    <row r="922" ht="12.75" customHeight="1">
      <c r="A922" s="52"/>
      <c r="B922" s="53"/>
      <c r="C922" s="52"/>
      <c r="D922" s="52"/>
      <c r="E922" s="52"/>
      <c r="F922" s="12"/>
      <c r="G922" s="52"/>
      <c r="H922" s="52"/>
      <c r="I922" s="57"/>
      <c r="J922" s="52"/>
      <c r="K922" s="57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</row>
    <row r="923" ht="12.75" customHeight="1">
      <c r="A923" s="52"/>
      <c r="B923" s="53"/>
      <c r="C923" s="52"/>
      <c r="D923" s="52"/>
      <c r="E923" s="52"/>
      <c r="F923" s="12"/>
      <c r="G923" s="52"/>
      <c r="H923" s="52"/>
      <c r="I923" s="57"/>
      <c r="J923" s="52"/>
      <c r="K923" s="57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</row>
    <row r="924" ht="12.75" customHeight="1">
      <c r="A924" s="52"/>
      <c r="B924" s="53"/>
      <c r="C924" s="52"/>
      <c r="D924" s="52"/>
      <c r="E924" s="52"/>
      <c r="F924" s="12"/>
      <c r="G924" s="52"/>
      <c r="H924" s="52"/>
      <c r="I924" s="57"/>
      <c r="J924" s="52"/>
      <c r="K924" s="57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</row>
    <row r="925" ht="12.75" customHeight="1">
      <c r="A925" s="52"/>
      <c r="B925" s="53"/>
      <c r="C925" s="52"/>
      <c r="D925" s="52"/>
      <c r="E925" s="52"/>
      <c r="F925" s="12"/>
      <c r="G925" s="52"/>
      <c r="H925" s="52"/>
      <c r="I925" s="57"/>
      <c r="J925" s="52"/>
      <c r="K925" s="57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</row>
    <row r="926" ht="12.75" customHeight="1">
      <c r="A926" s="52"/>
      <c r="B926" s="53"/>
      <c r="C926" s="52"/>
      <c r="D926" s="52"/>
      <c r="E926" s="52"/>
      <c r="F926" s="12"/>
      <c r="G926" s="52"/>
      <c r="H926" s="52"/>
      <c r="I926" s="57"/>
      <c r="J926" s="52"/>
      <c r="K926" s="57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</row>
    <row r="927" ht="12.75" customHeight="1">
      <c r="A927" s="52"/>
      <c r="B927" s="53"/>
      <c r="C927" s="52"/>
      <c r="D927" s="52"/>
      <c r="E927" s="52"/>
      <c r="F927" s="12"/>
      <c r="G927" s="52"/>
      <c r="H927" s="52"/>
      <c r="I927" s="57"/>
      <c r="J927" s="52"/>
      <c r="K927" s="57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</row>
    <row r="928" ht="12.75" customHeight="1">
      <c r="A928" s="52"/>
      <c r="B928" s="53"/>
      <c r="C928" s="52"/>
      <c r="D928" s="52"/>
      <c r="E928" s="52"/>
      <c r="F928" s="12"/>
      <c r="G928" s="52"/>
      <c r="H928" s="52"/>
      <c r="I928" s="57"/>
      <c r="J928" s="52"/>
      <c r="K928" s="57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</row>
    <row r="929" ht="12.75" customHeight="1">
      <c r="A929" s="52"/>
      <c r="B929" s="53"/>
      <c r="C929" s="52"/>
      <c r="D929" s="52"/>
      <c r="E929" s="52"/>
      <c r="F929" s="12"/>
      <c r="G929" s="52"/>
      <c r="H929" s="52"/>
      <c r="I929" s="57"/>
      <c r="J929" s="52"/>
      <c r="K929" s="57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</row>
    <row r="930" ht="12.75" customHeight="1">
      <c r="A930" s="52"/>
      <c r="B930" s="53"/>
      <c r="C930" s="52"/>
      <c r="D930" s="52"/>
      <c r="E930" s="52"/>
      <c r="F930" s="12"/>
      <c r="G930" s="52"/>
      <c r="H930" s="52"/>
      <c r="I930" s="57"/>
      <c r="J930" s="52"/>
      <c r="K930" s="57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</row>
    <row r="931" ht="12.75" customHeight="1">
      <c r="A931" s="52"/>
      <c r="B931" s="53"/>
      <c r="C931" s="52"/>
      <c r="D931" s="52"/>
      <c r="E931" s="52"/>
      <c r="F931" s="12"/>
      <c r="G931" s="52"/>
      <c r="H931" s="52"/>
      <c r="I931" s="57"/>
      <c r="J931" s="52"/>
      <c r="K931" s="57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</row>
    <row r="932" ht="12.75" customHeight="1">
      <c r="A932" s="52"/>
      <c r="B932" s="53"/>
      <c r="C932" s="52"/>
      <c r="D932" s="52"/>
      <c r="E932" s="52"/>
      <c r="F932" s="12"/>
      <c r="G932" s="52"/>
      <c r="H932" s="52"/>
      <c r="I932" s="57"/>
      <c r="J932" s="52"/>
      <c r="K932" s="57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</row>
    <row r="933" ht="12.75" customHeight="1">
      <c r="A933" s="52"/>
      <c r="B933" s="53"/>
      <c r="C933" s="52"/>
      <c r="D933" s="52"/>
      <c r="E933" s="52"/>
      <c r="F933" s="12"/>
      <c r="G933" s="52"/>
      <c r="H933" s="52"/>
      <c r="I933" s="57"/>
      <c r="J933" s="52"/>
      <c r="K933" s="57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</row>
    <row r="934" ht="12.75" customHeight="1">
      <c r="A934" s="52"/>
      <c r="B934" s="53"/>
      <c r="C934" s="52"/>
      <c r="D934" s="52"/>
      <c r="E934" s="52"/>
      <c r="F934" s="12"/>
      <c r="G934" s="52"/>
      <c r="H934" s="52"/>
      <c r="I934" s="57"/>
      <c r="J934" s="52"/>
      <c r="K934" s="57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</row>
    <row r="935" ht="12.75" customHeight="1">
      <c r="A935" s="52"/>
      <c r="B935" s="53"/>
      <c r="C935" s="52"/>
      <c r="D935" s="52"/>
      <c r="E935" s="52"/>
      <c r="F935" s="12"/>
      <c r="G935" s="52"/>
      <c r="H935" s="52"/>
      <c r="I935" s="57"/>
      <c r="J935" s="52"/>
      <c r="K935" s="57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</row>
    <row r="936" ht="12.75" customHeight="1">
      <c r="A936" s="52"/>
      <c r="B936" s="53"/>
      <c r="C936" s="52"/>
      <c r="D936" s="52"/>
      <c r="E936" s="52"/>
      <c r="F936" s="12"/>
      <c r="G936" s="52"/>
      <c r="H936" s="52"/>
      <c r="I936" s="57"/>
      <c r="J936" s="52"/>
      <c r="K936" s="57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</row>
    <row r="937" ht="12.75" customHeight="1">
      <c r="A937" s="52"/>
      <c r="B937" s="53"/>
      <c r="C937" s="52"/>
      <c r="D937" s="52"/>
      <c r="E937" s="52"/>
      <c r="F937" s="12"/>
      <c r="G937" s="52"/>
      <c r="H937" s="52"/>
      <c r="I937" s="57"/>
      <c r="J937" s="52"/>
      <c r="K937" s="57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</row>
    <row r="938" ht="12.75" customHeight="1">
      <c r="A938" s="52"/>
      <c r="B938" s="53"/>
      <c r="C938" s="52"/>
      <c r="D938" s="52"/>
      <c r="E938" s="52"/>
      <c r="F938" s="12"/>
      <c r="G938" s="52"/>
      <c r="H938" s="52"/>
      <c r="I938" s="57"/>
      <c r="J938" s="52"/>
      <c r="K938" s="57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</row>
    <row r="939" ht="12.75" customHeight="1">
      <c r="A939" s="52"/>
      <c r="B939" s="53"/>
      <c r="C939" s="52"/>
      <c r="D939" s="52"/>
      <c r="E939" s="52"/>
      <c r="F939" s="12"/>
      <c r="G939" s="52"/>
      <c r="H939" s="52"/>
      <c r="I939" s="57"/>
      <c r="J939" s="52"/>
      <c r="K939" s="57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</row>
    <row r="940" ht="12.75" customHeight="1">
      <c r="A940" s="52"/>
      <c r="B940" s="53"/>
      <c r="C940" s="52"/>
      <c r="D940" s="52"/>
      <c r="E940" s="52"/>
      <c r="F940" s="12"/>
      <c r="G940" s="52"/>
      <c r="H940" s="52"/>
      <c r="I940" s="57"/>
      <c r="J940" s="52"/>
      <c r="K940" s="57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</row>
    <row r="941" ht="12.75" customHeight="1">
      <c r="A941" s="52"/>
      <c r="B941" s="53"/>
      <c r="C941" s="52"/>
      <c r="D941" s="52"/>
      <c r="E941" s="52"/>
      <c r="F941" s="12"/>
      <c r="G941" s="52"/>
      <c r="H941" s="52"/>
      <c r="I941" s="57"/>
      <c r="J941" s="52"/>
      <c r="K941" s="57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</row>
    <row r="942" ht="12.75" customHeight="1">
      <c r="A942" s="52"/>
      <c r="B942" s="53"/>
      <c r="C942" s="52"/>
      <c r="D942" s="52"/>
      <c r="E942" s="52"/>
      <c r="F942" s="12"/>
      <c r="G942" s="52"/>
      <c r="H942" s="52"/>
      <c r="I942" s="57"/>
      <c r="J942" s="52"/>
      <c r="K942" s="57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</row>
    <row r="943" ht="12.75" customHeight="1">
      <c r="A943" s="52"/>
      <c r="B943" s="53"/>
      <c r="C943" s="52"/>
      <c r="D943" s="52"/>
      <c r="E943" s="52"/>
      <c r="F943" s="12"/>
      <c r="G943" s="52"/>
      <c r="H943" s="52"/>
      <c r="I943" s="57"/>
      <c r="J943" s="52"/>
      <c r="K943" s="57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</row>
    <row r="944" ht="12.75" customHeight="1">
      <c r="A944" s="52"/>
      <c r="B944" s="53"/>
      <c r="C944" s="52"/>
      <c r="D944" s="52"/>
      <c r="E944" s="52"/>
      <c r="F944" s="12"/>
      <c r="G944" s="52"/>
      <c r="H944" s="52"/>
      <c r="I944" s="57"/>
      <c r="J944" s="52"/>
      <c r="K944" s="57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</row>
    <row r="945" ht="12.75" customHeight="1">
      <c r="A945" s="52"/>
      <c r="B945" s="53"/>
      <c r="C945" s="52"/>
      <c r="D945" s="52"/>
      <c r="E945" s="52"/>
      <c r="F945" s="12"/>
      <c r="G945" s="52"/>
      <c r="H945" s="52"/>
      <c r="I945" s="57"/>
      <c r="J945" s="52"/>
      <c r="K945" s="57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</row>
    <row r="946" ht="12.75" customHeight="1">
      <c r="A946" s="52"/>
      <c r="B946" s="53"/>
      <c r="C946" s="52"/>
      <c r="D946" s="52"/>
      <c r="E946" s="52"/>
      <c r="F946" s="12"/>
      <c r="G946" s="52"/>
      <c r="H946" s="52"/>
      <c r="I946" s="57"/>
      <c r="J946" s="52"/>
      <c r="K946" s="57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</row>
    <row r="947" ht="12.75" customHeight="1">
      <c r="A947" s="52"/>
      <c r="B947" s="53"/>
      <c r="C947" s="52"/>
      <c r="D947" s="52"/>
      <c r="E947" s="52"/>
      <c r="F947" s="12"/>
      <c r="G947" s="52"/>
      <c r="H947" s="52"/>
      <c r="I947" s="57"/>
      <c r="J947" s="52"/>
      <c r="K947" s="57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</row>
    <row r="948" ht="12.75" customHeight="1">
      <c r="A948" s="52"/>
      <c r="B948" s="53"/>
      <c r="C948" s="52"/>
      <c r="D948" s="52"/>
      <c r="E948" s="52"/>
      <c r="F948" s="12"/>
      <c r="G948" s="52"/>
      <c r="H948" s="52"/>
      <c r="I948" s="57"/>
      <c r="J948" s="52"/>
      <c r="K948" s="57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</row>
    <row r="949" ht="12.75" customHeight="1">
      <c r="A949" s="52"/>
      <c r="B949" s="53"/>
      <c r="C949" s="52"/>
      <c r="D949" s="52"/>
      <c r="E949" s="52"/>
      <c r="F949" s="12"/>
      <c r="G949" s="52"/>
      <c r="H949" s="52"/>
      <c r="I949" s="57"/>
      <c r="J949" s="52"/>
      <c r="K949" s="57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</row>
    <row r="950" ht="12.75" customHeight="1">
      <c r="A950" s="52"/>
      <c r="B950" s="53"/>
      <c r="C950" s="52"/>
      <c r="D950" s="52"/>
      <c r="E950" s="52"/>
      <c r="F950" s="12"/>
      <c r="G950" s="52"/>
      <c r="H950" s="52"/>
      <c r="I950" s="57"/>
      <c r="J950" s="52"/>
      <c r="K950" s="57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</row>
    <row r="951" ht="12.75" customHeight="1">
      <c r="A951" s="52"/>
      <c r="B951" s="53"/>
      <c r="C951" s="52"/>
      <c r="D951" s="52"/>
      <c r="E951" s="52"/>
      <c r="F951" s="12"/>
      <c r="G951" s="52"/>
      <c r="H951" s="52"/>
      <c r="I951" s="57"/>
      <c r="J951" s="52"/>
      <c r="K951" s="57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</row>
    <row r="952" ht="12.75" customHeight="1">
      <c r="A952" s="52"/>
      <c r="B952" s="53"/>
      <c r="C952" s="52"/>
      <c r="D952" s="52"/>
      <c r="E952" s="52"/>
      <c r="F952" s="12"/>
      <c r="G952" s="52"/>
      <c r="H952" s="52"/>
      <c r="I952" s="57"/>
      <c r="J952" s="52"/>
      <c r="K952" s="57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</row>
    <row r="953" ht="12.75" customHeight="1">
      <c r="A953" s="52"/>
      <c r="B953" s="53"/>
      <c r="C953" s="52"/>
      <c r="D953" s="52"/>
      <c r="E953" s="52"/>
      <c r="F953" s="12"/>
      <c r="G953" s="52"/>
      <c r="H953" s="52"/>
      <c r="I953" s="57"/>
      <c r="J953" s="52"/>
      <c r="K953" s="57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</row>
    <row r="954" ht="12.75" customHeight="1">
      <c r="A954" s="52"/>
      <c r="B954" s="53"/>
      <c r="C954" s="52"/>
      <c r="D954" s="52"/>
      <c r="E954" s="52"/>
      <c r="F954" s="12"/>
      <c r="G954" s="52"/>
      <c r="H954" s="52"/>
      <c r="I954" s="57"/>
      <c r="J954" s="52"/>
      <c r="K954" s="57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</row>
    <row r="955" ht="12.75" customHeight="1">
      <c r="A955" s="52"/>
      <c r="B955" s="53"/>
      <c r="C955" s="52"/>
      <c r="D955" s="52"/>
      <c r="E955" s="52"/>
      <c r="F955" s="12"/>
      <c r="G955" s="52"/>
      <c r="H955" s="52"/>
      <c r="I955" s="57"/>
      <c r="J955" s="52"/>
      <c r="K955" s="57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</row>
    <row r="956" ht="12.75" customHeight="1">
      <c r="A956" s="52"/>
      <c r="B956" s="53"/>
      <c r="C956" s="52"/>
      <c r="D956" s="52"/>
      <c r="E956" s="52"/>
      <c r="F956" s="12"/>
      <c r="G956" s="52"/>
      <c r="H956" s="52"/>
      <c r="I956" s="57"/>
      <c r="J956" s="52"/>
      <c r="K956" s="57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</row>
    <row r="957" ht="12.75" customHeight="1">
      <c r="A957" s="52"/>
      <c r="B957" s="53"/>
      <c r="C957" s="52"/>
      <c r="D957" s="52"/>
      <c r="E957" s="52"/>
      <c r="F957" s="12"/>
      <c r="G957" s="52"/>
      <c r="H957" s="52"/>
      <c r="I957" s="57"/>
      <c r="J957" s="52"/>
      <c r="K957" s="57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</row>
    <row r="958" ht="12.75" customHeight="1">
      <c r="A958" s="52"/>
      <c r="B958" s="53"/>
      <c r="C958" s="52"/>
      <c r="D958" s="52"/>
      <c r="E958" s="52"/>
      <c r="F958" s="12"/>
      <c r="G958" s="52"/>
      <c r="H958" s="52"/>
      <c r="I958" s="57"/>
      <c r="J958" s="52"/>
      <c r="K958" s="57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</row>
    <row r="959" ht="12.75" customHeight="1">
      <c r="A959" s="52"/>
      <c r="B959" s="53"/>
      <c r="C959" s="52"/>
      <c r="D959" s="52"/>
      <c r="E959" s="52"/>
      <c r="F959" s="12"/>
      <c r="G959" s="52"/>
      <c r="H959" s="52"/>
      <c r="I959" s="57"/>
      <c r="J959" s="52"/>
      <c r="K959" s="57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</row>
    <row r="960" ht="12.75" customHeight="1">
      <c r="A960" s="52"/>
      <c r="B960" s="53"/>
      <c r="C960" s="52"/>
      <c r="D960" s="52"/>
      <c r="E960" s="52"/>
      <c r="F960" s="12"/>
      <c r="G960" s="52"/>
      <c r="H960" s="52"/>
      <c r="I960" s="57"/>
      <c r="J960" s="52"/>
      <c r="K960" s="57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</row>
    <row r="961" ht="12.75" customHeight="1">
      <c r="A961" s="52"/>
      <c r="B961" s="53"/>
      <c r="C961" s="52"/>
      <c r="D961" s="52"/>
      <c r="E961" s="52"/>
      <c r="F961" s="12"/>
      <c r="G961" s="52"/>
      <c r="H961" s="52"/>
      <c r="I961" s="57"/>
      <c r="J961" s="52"/>
      <c r="K961" s="57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</row>
    <row r="962" ht="12.75" customHeight="1">
      <c r="A962" s="52"/>
      <c r="B962" s="53"/>
      <c r="C962" s="52"/>
      <c r="D962" s="52"/>
      <c r="E962" s="52"/>
      <c r="F962" s="12"/>
      <c r="G962" s="52"/>
      <c r="H962" s="52"/>
      <c r="I962" s="57"/>
      <c r="J962" s="52"/>
      <c r="K962" s="57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</row>
    <row r="963" ht="12.75" customHeight="1">
      <c r="A963" s="52"/>
      <c r="B963" s="53"/>
      <c r="C963" s="52"/>
      <c r="D963" s="52"/>
      <c r="E963" s="52"/>
      <c r="F963" s="12"/>
      <c r="G963" s="52"/>
      <c r="H963" s="52"/>
      <c r="I963" s="57"/>
      <c r="J963" s="52"/>
      <c r="K963" s="57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</row>
    <row r="964" ht="12.75" customHeight="1">
      <c r="A964" s="52"/>
      <c r="B964" s="53"/>
      <c r="C964" s="52"/>
      <c r="D964" s="52"/>
      <c r="E964" s="52"/>
      <c r="F964" s="12"/>
      <c r="G964" s="52"/>
      <c r="H964" s="52"/>
      <c r="I964" s="57"/>
      <c r="J964" s="52"/>
      <c r="K964" s="57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</row>
    <row r="965" ht="12.75" customHeight="1">
      <c r="A965" s="52"/>
      <c r="B965" s="53"/>
      <c r="C965" s="52"/>
      <c r="D965" s="52"/>
      <c r="E965" s="52"/>
      <c r="F965" s="12"/>
      <c r="G965" s="52"/>
      <c r="H965" s="52"/>
      <c r="I965" s="57"/>
      <c r="J965" s="52"/>
      <c r="K965" s="57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</row>
    <row r="966" ht="12.75" customHeight="1">
      <c r="A966" s="52"/>
      <c r="B966" s="53"/>
      <c r="C966" s="52"/>
      <c r="D966" s="52"/>
      <c r="E966" s="52"/>
      <c r="F966" s="12"/>
      <c r="G966" s="52"/>
      <c r="H966" s="52"/>
      <c r="I966" s="57"/>
      <c r="J966" s="52"/>
      <c r="K966" s="57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</row>
    <row r="967" ht="12.75" customHeight="1">
      <c r="A967" s="52"/>
      <c r="B967" s="53"/>
      <c r="C967" s="52"/>
      <c r="D967" s="52"/>
      <c r="E967" s="52"/>
      <c r="F967" s="12"/>
      <c r="G967" s="52"/>
      <c r="H967" s="52"/>
      <c r="I967" s="57"/>
      <c r="J967" s="52"/>
      <c r="K967" s="57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</row>
    <row r="968" ht="12.75" customHeight="1">
      <c r="A968" s="52"/>
      <c r="B968" s="53"/>
      <c r="C968" s="52"/>
      <c r="D968" s="52"/>
      <c r="E968" s="52"/>
      <c r="F968" s="12"/>
      <c r="G968" s="52"/>
      <c r="H968" s="52"/>
      <c r="I968" s="57"/>
      <c r="J968" s="52"/>
      <c r="K968" s="57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</row>
    <row r="969" ht="12.75" customHeight="1">
      <c r="A969" s="52"/>
      <c r="B969" s="53"/>
      <c r="C969" s="52"/>
      <c r="D969" s="52"/>
      <c r="E969" s="52"/>
      <c r="F969" s="12"/>
      <c r="G969" s="52"/>
      <c r="H969" s="52"/>
      <c r="I969" s="57"/>
      <c r="J969" s="52"/>
      <c r="K969" s="57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</row>
    <row r="970" ht="12.75" customHeight="1">
      <c r="A970" s="52"/>
      <c r="B970" s="53"/>
      <c r="C970" s="52"/>
      <c r="D970" s="52"/>
      <c r="E970" s="52"/>
      <c r="F970" s="12"/>
      <c r="G970" s="52"/>
      <c r="H970" s="52"/>
      <c r="I970" s="57"/>
      <c r="J970" s="52"/>
      <c r="K970" s="57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</row>
    <row r="971" ht="12.75" customHeight="1">
      <c r="A971" s="52"/>
      <c r="B971" s="53"/>
      <c r="C971" s="52"/>
      <c r="D971" s="52"/>
      <c r="E971" s="52"/>
      <c r="F971" s="12"/>
      <c r="G971" s="52"/>
      <c r="H971" s="52"/>
      <c r="I971" s="57"/>
      <c r="J971" s="52"/>
      <c r="K971" s="57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</row>
    <row r="972" ht="12.75" customHeight="1">
      <c r="A972" s="52"/>
      <c r="B972" s="53"/>
      <c r="C972" s="52"/>
      <c r="D972" s="52"/>
      <c r="E972" s="52"/>
      <c r="F972" s="12"/>
      <c r="G972" s="52"/>
      <c r="H972" s="52"/>
      <c r="I972" s="57"/>
      <c r="J972" s="52"/>
      <c r="K972" s="57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</row>
    <row r="973" ht="12.75" customHeight="1">
      <c r="A973" s="52"/>
      <c r="B973" s="53"/>
      <c r="C973" s="52"/>
      <c r="D973" s="52"/>
      <c r="E973" s="52"/>
      <c r="F973" s="12"/>
      <c r="G973" s="52"/>
      <c r="H973" s="52"/>
      <c r="I973" s="57"/>
      <c r="J973" s="52"/>
      <c r="K973" s="57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</row>
    <row r="974" ht="12.75" customHeight="1">
      <c r="A974" s="52"/>
      <c r="B974" s="53"/>
      <c r="C974" s="52"/>
      <c r="D974" s="52"/>
      <c r="E974" s="52"/>
      <c r="F974" s="12"/>
      <c r="G974" s="52"/>
      <c r="H974" s="52"/>
      <c r="I974" s="57"/>
      <c r="J974" s="52"/>
      <c r="K974" s="57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</row>
    <row r="975" ht="12.75" customHeight="1">
      <c r="A975" s="52"/>
      <c r="B975" s="53"/>
      <c r="C975" s="52"/>
      <c r="D975" s="52"/>
      <c r="E975" s="52"/>
      <c r="F975" s="12"/>
      <c r="G975" s="52"/>
      <c r="H975" s="52"/>
      <c r="I975" s="57"/>
      <c r="J975" s="52"/>
      <c r="K975" s="57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</row>
    <row r="976" ht="12.75" customHeight="1">
      <c r="A976" s="52"/>
      <c r="B976" s="53"/>
      <c r="C976" s="52"/>
      <c r="D976" s="52"/>
      <c r="E976" s="52"/>
      <c r="F976" s="12"/>
      <c r="G976" s="52"/>
      <c r="H976" s="52"/>
      <c r="I976" s="57"/>
      <c r="J976" s="52"/>
      <c r="K976" s="57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</row>
    <row r="977" ht="12.75" customHeight="1">
      <c r="A977" s="52"/>
      <c r="B977" s="53"/>
      <c r="C977" s="52"/>
      <c r="D977" s="52"/>
      <c r="E977" s="52"/>
      <c r="F977" s="12"/>
      <c r="G977" s="52"/>
      <c r="H977" s="52"/>
      <c r="I977" s="57"/>
      <c r="J977" s="52"/>
      <c r="K977" s="57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</row>
    <row r="978" ht="12.75" customHeight="1">
      <c r="A978" s="52"/>
      <c r="B978" s="53"/>
      <c r="C978" s="52"/>
      <c r="D978" s="52"/>
      <c r="E978" s="52"/>
      <c r="F978" s="12"/>
      <c r="G978" s="52"/>
      <c r="H978" s="52"/>
      <c r="I978" s="57"/>
      <c r="J978" s="52"/>
      <c r="K978" s="57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</row>
    <row r="979" ht="12.75" customHeight="1">
      <c r="A979" s="52"/>
      <c r="B979" s="53"/>
      <c r="C979" s="52"/>
      <c r="D979" s="52"/>
      <c r="E979" s="52"/>
      <c r="F979" s="12"/>
      <c r="G979" s="52"/>
      <c r="H979" s="52"/>
      <c r="I979" s="57"/>
      <c r="J979" s="52"/>
      <c r="K979" s="57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</row>
    <row r="980" ht="12.75" customHeight="1">
      <c r="A980" s="52"/>
      <c r="B980" s="53"/>
      <c r="C980" s="52"/>
      <c r="D980" s="52"/>
      <c r="E980" s="52"/>
      <c r="F980" s="12"/>
      <c r="G980" s="52"/>
      <c r="H980" s="52"/>
      <c r="I980" s="57"/>
      <c r="J980" s="52"/>
      <c r="K980" s="57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</row>
    <row r="981" ht="12.75" customHeight="1">
      <c r="A981" s="52"/>
      <c r="B981" s="53"/>
      <c r="C981" s="52"/>
      <c r="D981" s="52"/>
      <c r="E981" s="52"/>
      <c r="F981" s="12"/>
      <c r="G981" s="52"/>
      <c r="H981" s="52"/>
      <c r="I981" s="57"/>
      <c r="J981" s="52"/>
      <c r="K981" s="57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</row>
    <row r="982" ht="12.75" customHeight="1">
      <c r="A982" s="52"/>
      <c r="B982" s="53"/>
      <c r="C982" s="52"/>
      <c r="D982" s="52"/>
      <c r="E982" s="52"/>
      <c r="F982" s="12"/>
      <c r="G982" s="52"/>
      <c r="H982" s="52"/>
      <c r="I982" s="57"/>
      <c r="J982" s="52"/>
      <c r="K982" s="57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</row>
    <row r="983" ht="12.75" customHeight="1">
      <c r="A983" s="52"/>
      <c r="B983" s="53"/>
      <c r="C983" s="52"/>
      <c r="D983" s="52"/>
      <c r="E983" s="52"/>
      <c r="F983" s="12"/>
      <c r="G983" s="52"/>
      <c r="H983" s="52"/>
      <c r="I983" s="57"/>
      <c r="J983" s="52"/>
      <c r="K983" s="57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</row>
    <row r="984" ht="12.75" customHeight="1">
      <c r="A984" s="52"/>
      <c r="B984" s="53"/>
      <c r="C984" s="52"/>
      <c r="D984" s="52"/>
      <c r="E984" s="52"/>
      <c r="F984" s="12"/>
      <c r="G984" s="52"/>
      <c r="H984" s="52"/>
      <c r="I984" s="57"/>
      <c r="J984" s="52"/>
      <c r="K984" s="57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</row>
    <row r="985" ht="12.75" customHeight="1">
      <c r="A985" s="52"/>
      <c r="B985" s="53"/>
      <c r="C985" s="52"/>
      <c r="D985" s="52"/>
      <c r="E985" s="52"/>
      <c r="F985" s="12"/>
      <c r="G985" s="52"/>
      <c r="H985" s="52"/>
      <c r="I985" s="57"/>
      <c r="J985" s="52"/>
      <c r="K985" s="57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</row>
    <row r="986" ht="12.75" customHeight="1">
      <c r="A986" s="52"/>
      <c r="B986" s="53"/>
      <c r="C986" s="52"/>
      <c r="D986" s="52"/>
      <c r="E986" s="52"/>
      <c r="F986" s="12"/>
      <c r="G986" s="52"/>
      <c r="H986" s="52"/>
      <c r="I986" s="57"/>
      <c r="J986" s="52"/>
      <c r="K986" s="57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</row>
    <row r="987" ht="12.75" customHeight="1">
      <c r="A987" s="52"/>
      <c r="B987" s="53"/>
      <c r="C987" s="52"/>
      <c r="D987" s="52"/>
      <c r="E987" s="52"/>
      <c r="F987" s="12"/>
      <c r="G987" s="52"/>
      <c r="H987" s="52"/>
      <c r="I987" s="57"/>
      <c r="J987" s="52"/>
      <c r="K987" s="57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</row>
    <row r="988" ht="12.75" customHeight="1">
      <c r="A988" s="52"/>
      <c r="B988" s="53"/>
      <c r="C988" s="52"/>
      <c r="D988" s="52"/>
      <c r="E988" s="52"/>
      <c r="F988" s="12"/>
      <c r="G988" s="52"/>
      <c r="H988" s="52"/>
      <c r="I988" s="57"/>
      <c r="J988" s="52"/>
      <c r="K988" s="57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</row>
    <row r="989" ht="12.75" customHeight="1">
      <c r="A989" s="52"/>
      <c r="B989" s="53"/>
      <c r="C989" s="52"/>
      <c r="D989" s="52"/>
      <c r="E989" s="52"/>
      <c r="F989" s="12"/>
      <c r="G989" s="52"/>
      <c r="H989" s="52"/>
      <c r="I989" s="57"/>
      <c r="J989" s="52"/>
      <c r="K989" s="57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</row>
    <row r="990" ht="12.75" customHeight="1">
      <c r="A990" s="52"/>
      <c r="B990" s="53"/>
      <c r="C990" s="52"/>
      <c r="D990" s="52"/>
      <c r="E990" s="52"/>
      <c r="F990" s="12"/>
      <c r="G990" s="52"/>
      <c r="H990" s="52"/>
      <c r="I990" s="57"/>
      <c r="J990" s="52"/>
      <c r="K990" s="57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</row>
    <row r="991" ht="12.75" customHeight="1">
      <c r="A991" s="52"/>
      <c r="B991" s="53"/>
      <c r="C991" s="52"/>
      <c r="D991" s="52"/>
      <c r="E991" s="52"/>
      <c r="F991" s="12"/>
      <c r="G991" s="52"/>
      <c r="H991" s="52"/>
      <c r="I991" s="57"/>
      <c r="J991" s="52"/>
      <c r="K991" s="57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</row>
    <row r="992" ht="12.75" customHeight="1">
      <c r="A992" s="52"/>
      <c r="B992" s="53"/>
      <c r="C992" s="52"/>
      <c r="D992" s="52"/>
      <c r="E992" s="52"/>
      <c r="F992" s="12"/>
      <c r="G992" s="52"/>
      <c r="H992" s="52"/>
      <c r="I992" s="57"/>
      <c r="J992" s="52"/>
      <c r="K992" s="57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</row>
    <row r="993" ht="12.75" customHeight="1">
      <c r="A993" s="52"/>
      <c r="B993" s="53"/>
      <c r="C993" s="52"/>
      <c r="D993" s="52"/>
      <c r="E993" s="52"/>
      <c r="F993" s="12"/>
      <c r="G993" s="52"/>
      <c r="H993" s="52"/>
      <c r="I993" s="57"/>
      <c r="J993" s="52"/>
      <c r="K993" s="57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</row>
    <row r="994" ht="12.75" customHeight="1">
      <c r="A994" s="52"/>
      <c r="B994" s="53"/>
      <c r="C994" s="52"/>
      <c r="D994" s="52"/>
      <c r="E994" s="52"/>
      <c r="F994" s="12"/>
      <c r="G994" s="52"/>
      <c r="H994" s="52"/>
      <c r="I994" s="57"/>
      <c r="J994" s="52"/>
      <c r="K994" s="57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</row>
    <row r="995" ht="12.75" customHeight="1">
      <c r="A995" s="52"/>
      <c r="B995" s="53"/>
      <c r="C995" s="52"/>
      <c r="D995" s="52"/>
      <c r="E995" s="52"/>
      <c r="F995" s="12"/>
      <c r="G995" s="52"/>
      <c r="H995" s="52"/>
      <c r="I995" s="57"/>
      <c r="J995" s="52"/>
      <c r="K995" s="57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</row>
    <row r="996" ht="12.75" customHeight="1">
      <c r="A996" s="52"/>
      <c r="B996" s="53"/>
      <c r="C996" s="52"/>
      <c r="D996" s="52"/>
      <c r="E996" s="52"/>
      <c r="F996" s="12"/>
      <c r="G996" s="52"/>
      <c r="H996" s="52"/>
      <c r="I996" s="57"/>
      <c r="J996" s="52"/>
      <c r="K996" s="57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</row>
    <row r="997" ht="12.75" customHeight="1">
      <c r="A997" s="52"/>
      <c r="B997" s="53"/>
      <c r="C997" s="52"/>
      <c r="D997" s="52"/>
      <c r="E997" s="52"/>
      <c r="F997" s="12"/>
      <c r="G997" s="52"/>
      <c r="H997" s="52"/>
      <c r="I997" s="57"/>
      <c r="J997" s="52"/>
      <c r="K997" s="57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</row>
    <row r="998" ht="12.75" customHeight="1">
      <c r="A998" s="52"/>
      <c r="B998" s="53"/>
      <c r="C998" s="52"/>
      <c r="D998" s="52"/>
      <c r="E998" s="52"/>
      <c r="F998" s="12"/>
      <c r="G998" s="52"/>
      <c r="H998" s="52"/>
      <c r="I998" s="57"/>
      <c r="J998" s="52"/>
      <c r="K998" s="57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</row>
    <row r="999" ht="12.75" customHeight="1">
      <c r="A999" s="52"/>
      <c r="B999" s="53"/>
      <c r="C999" s="52"/>
      <c r="D999" s="52"/>
      <c r="E999" s="52"/>
      <c r="F999" s="12"/>
      <c r="G999" s="52"/>
      <c r="H999" s="52"/>
      <c r="I999" s="57"/>
      <c r="J999" s="52"/>
      <c r="K999" s="57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</row>
    <row r="1000" ht="12.75" customHeight="1">
      <c r="A1000" s="52"/>
      <c r="B1000" s="53"/>
      <c r="C1000" s="52"/>
      <c r="D1000" s="52"/>
      <c r="E1000" s="52"/>
      <c r="F1000" s="12"/>
      <c r="G1000" s="52"/>
      <c r="H1000" s="52"/>
      <c r="I1000" s="57"/>
      <c r="J1000" s="52"/>
      <c r="K1000" s="57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</row>
    <row r="1001" ht="12.75" customHeight="1">
      <c r="A1001" s="52"/>
      <c r="B1001" s="53"/>
      <c r="C1001" s="52"/>
      <c r="D1001" s="52"/>
      <c r="E1001" s="52"/>
      <c r="F1001" s="12"/>
      <c r="G1001" s="52"/>
      <c r="H1001" s="52"/>
      <c r="I1001" s="57"/>
      <c r="J1001" s="52"/>
      <c r="K1001" s="57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</row>
    <row r="1002" ht="12.75" customHeight="1">
      <c r="A1002" s="52"/>
      <c r="B1002" s="53"/>
      <c r="C1002" s="52"/>
      <c r="D1002" s="52"/>
      <c r="E1002" s="52"/>
      <c r="F1002" s="12"/>
      <c r="G1002" s="52"/>
      <c r="H1002" s="52"/>
      <c r="I1002" s="57"/>
      <c r="J1002" s="52"/>
      <c r="K1002" s="57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</row>
    <row r="1003" ht="12.75" customHeight="1">
      <c r="A1003" s="52"/>
      <c r="B1003" s="53"/>
      <c r="C1003" s="52"/>
      <c r="D1003" s="52"/>
      <c r="E1003" s="52"/>
      <c r="F1003" s="12"/>
      <c r="G1003" s="52"/>
      <c r="H1003" s="52"/>
      <c r="I1003" s="57"/>
      <c r="J1003" s="52"/>
      <c r="K1003" s="57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</row>
    <row r="1004" ht="12.75" customHeight="1">
      <c r="A1004" s="52"/>
      <c r="B1004" s="53"/>
      <c r="C1004" s="52"/>
      <c r="D1004" s="52"/>
      <c r="E1004" s="52"/>
      <c r="F1004" s="12"/>
      <c r="G1004" s="52"/>
      <c r="H1004" s="52"/>
      <c r="I1004" s="57"/>
      <c r="J1004" s="52"/>
      <c r="K1004" s="57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</row>
    <row r="1005" ht="12.75" customHeight="1">
      <c r="A1005" s="52"/>
      <c r="B1005" s="53"/>
      <c r="C1005" s="52"/>
      <c r="D1005" s="52"/>
      <c r="E1005" s="52"/>
      <c r="F1005" s="12"/>
      <c r="G1005" s="52"/>
      <c r="H1005" s="52"/>
      <c r="I1005" s="57"/>
      <c r="J1005" s="52"/>
      <c r="K1005" s="57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</row>
    <row r="1006" ht="12.75" customHeight="1">
      <c r="A1006" s="52"/>
      <c r="B1006" s="53"/>
      <c r="C1006" s="52"/>
      <c r="D1006" s="52"/>
      <c r="E1006" s="52"/>
      <c r="F1006" s="12"/>
      <c r="G1006" s="52"/>
      <c r="H1006" s="52"/>
      <c r="I1006" s="57"/>
      <c r="J1006" s="52"/>
      <c r="K1006" s="57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</row>
    <row r="1007" ht="12.75" customHeight="1">
      <c r="A1007" s="52"/>
      <c r="B1007" s="53"/>
      <c r="C1007" s="52"/>
      <c r="D1007" s="52"/>
      <c r="E1007" s="52"/>
      <c r="F1007" s="12"/>
      <c r="G1007" s="52"/>
      <c r="H1007" s="52"/>
      <c r="I1007" s="57"/>
      <c r="J1007" s="52"/>
      <c r="K1007" s="57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</row>
    <row r="1008" ht="12.75" customHeight="1">
      <c r="A1008" s="52"/>
      <c r="B1008" s="53"/>
      <c r="C1008" s="52"/>
      <c r="D1008" s="52"/>
      <c r="E1008" s="52"/>
      <c r="F1008" s="12"/>
      <c r="G1008" s="52"/>
      <c r="H1008" s="52"/>
      <c r="I1008" s="57"/>
      <c r="J1008" s="52"/>
      <c r="K1008" s="57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</row>
    <row r="1009" ht="12.75" customHeight="1">
      <c r="A1009" s="52"/>
      <c r="B1009" s="53"/>
      <c r="C1009" s="52"/>
      <c r="D1009" s="52"/>
      <c r="E1009" s="52"/>
      <c r="F1009" s="12"/>
      <c r="G1009" s="52"/>
      <c r="H1009" s="52"/>
      <c r="I1009" s="57"/>
      <c r="J1009" s="52"/>
      <c r="K1009" s="57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</row>
    <row r="1010" ht="12.75" customHeight="1">
      <c r="A1010" s="52"/>
      <c r="B1010" s="53"/>
      <c r="C1010" s="52"/>
      <c r="D1010" s="52"/>
      <c r="E1010" s="52"/>
      <c r="F1010" s="12"/>
      <c r="G1010" s="52"/>
      <c r="H1010" s="52"/>
      <c r="I1010" s="57"/>
      <c r="J1010" s="52"/>
      <c r="K1010" s="57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3D64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3.71"/>
    <col customWidth="1" min="2" max="2" width="3.43"/>
    <col customWidth="1" min="3" max="3" width="35.14"/>
    <col customWidth="1" min="4" max="4" width="4.43"/>
    <col customWidth="1" min="5" max="5" width="15.86"/>
    <col customWidth="1" min="6" max="6" width="4.29"/>
    <col customWidth="1" min="7" max="67" width="16.29"/>
  </cols>
  <sheetData>
    <row r="1" ht="13.5" customHeight="1">
      <c r="A1" s="121"/>
      <c r="B1" s="122" t="s">
        <v>119</v>
      </c>
      <c r="C1" s="121"/>
      <c r="D1" s="121"/>
      <c r="E1" s="123"/>
      <c r="F1" s="121"/>
      <c r="G1" s="121"/>
      <c r="H1" s="121"/>
      <c r="I1" s="123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4"/>
    </row>
    <row r="2" ht="13.5" customHeight="1">
      <c r="A2" s="125"/>
      <c r="B2" s="126" t="s">
        <v>120</v>
      </c>
      <c r="C2" s="125"/>
      <c r="D2" s="125"/>
      <c r="E2" s="127"/>
      <c r="F2" s="125"/>
      <c r="G2" s="128">
        <v>1.0</v>
      </c>
      <c r="H2" s="129">
        <f t="shared" ref="H2:BN2" si="1">IF(MONTH(H5)=MONTH($G$5),G2+1,G2)</f>
        <v>1</v>
      </c>
      <c r="I2" s="129">
        <f t="shared" si="1"/>
        <v>1</v>
      </c>
      <c r="J2" s="129">
        <f t="shared" si="1"/>
        <v>1</v>
      </c>
      <c r="K2" s="129">
        <f t="shared" si="1"/>
        <v>1</v>
      </c>
      <c r="L2" s="129">
        <f t="shared" si="1"/>
        <v>1</v>
      </c>
      <c r="M2" s="129">
        <f t="shared" si="1"/>
        <v>1</v>
      </c>
      <c r="N2" s="129">
        <f t="shared" si="1"/>
        <v>1</v>
      </c>
      <c r="O2" s="129">
        <f t="shared" si="1"/>
        <v>1</v>
      </c>
      <c r="P2" s="129">
        <f t="shared" si="1"/>
        <v>1</v>
      </c>
      <c r="Q2" s="129">
        <f t="shared" si="1"/>
        <v>1</v>
      </c>
      <c r="R2" s="129">
        <f t="shared" si="1"/>
        <v>1</v>
      </c>
      <c r="S2" s="129">
        <f t="shared" si="1"/>
        <v>2</v>
      </c>
      <c r="T2" s="129">
        <f t="shared" si="1"/>
        <v>2</v>
      </c>
      <c r="U2" s="129">
        <f t="shared" si="1"/>
        <v>2</v>
      </c>
      <c r="V2" s="129">
        <f t="shared" si="1"/>
        <v>2</v>
      </c>
      <c r="W2" s="129">
        <f t="shared" si="1"/>
        <v>2</v>
      </c>
      <c r="X2" s="129">
        <f t="shared" si="1"/>
        <v>2</v>
      </c>
      <c r="Y2" s="129">
        <f t="shared" si="1"/>
        <v>2</v>
      </c>
      <c r="Z2" s="129">
        <f t="shared" si="1"/>
        <v>2</v>
      </c>
      <c r="AA2" s="129">
        <f t="shared" si="1"/>
        <v>2</v>
      </c>
      <c r="AB2" s="129">
        <f t="shared" si="1"/>
        <v>2</v>
      </c>
      <c r="AC2" s="129">
        <f t="shared" si="1"/>
        <v>2</v>
      </c>
      <c r="AD2" s="129">
        <f t="shared" si="1"/>
        <v>2</v>
      </c>
      <c r="AE2" s="129">
        <f t="shared" si="1"/>
        <v>3</v>
      </c>
      <c r="AF2" s="129">
        <f t="shared" si="1"/>
        <v>3</v>
      </c>
      <c r="AG2" s="129">
        <f t="shared" si="1"/>
        <v>3</v>
      </c>
      <c r="AH2" s="129">
        <f t="shared" si="1"/>
        <v>3</v>
      </c>
      <c r="AI2" s="129">
        <f t="shared" si="1"/>
        <v>3</v>
      </c>
      <c r="AJ2" s="129">
        <f t="shared" si="1"/>
        <v>3</v>
      </c>
      <c r="AK2" s="129">
        <f t="shared" si="1"/>
        <v>3</v>
      </c>
      <c r="AL2" s="129">
        <f t="shared" si="1"/>
        <v>3</v>
      </c>
      <c r="AM2" s="129">
        <f t="shared" si="1"/>
        <v>3</v>
      </c>
      <c r="AN2" s="129">
        <f t="shared" si="1"/>
        <v>3</v>
      </c>
      <c r="AO2" s="129">
        <f t="shared" si="1"/>
        <v>3</v>
      </c>
      <c r="AP2" s="129">
        <f t="shared" si="1"/>
        <v>3</v>
      </c>
      <c r="AQ2" s="129">
        <f t="shared" si="1"/>
        <v>4</v>
      </c>
      <c r="AR2" s="129">
        <f t="shared" si="1"/>
        <v>4</v>
      </c>
      <c r="AS2" s="129">
        <f t="shared" si="1"/>
        <v>4</v>
      </c>
      <c r="AT2" s="129">
        <f t="shared" si="1"/>
        <v>4</v>
      </c>
      <c r="AU2" s="129">
        <f t="shared" si="1"/>
        <v>4</v>
      </c>
      <c r="AV2" s="129">
        <f t="shared" si="1"/>
        <v>4</v>
      </c>
      <c r="AW2" s="129">
        <f t="shared" si="1"/>
        <v>4</v>
      </c>
      <c r="AX2" s="129">
        <f t="shared" si="1"/>
        <v>4</v>
      </c>
      <c r="AY2" s="129">
        <f t="shared" si="1"/>
        <v>4</v>
      </c>
      <c r="AZ2" s="129">
        <f t="shared" si="1"/>
        <v>4</v>
      </c>
      <c r="BA2" s="129">
        <f t="shared" si="1"/>
        <v>4</v>
      </c>
      <c r="BB2" s="129">
        <f t="shared" si="1"/>
        <v>4</v>
      </c>
      <c r="BC2" s="129">
        <f t="shared" si="1"/>
        <v>5</v>
      </c>
      <c r="BD2" s="129">
        <f t="shared" si="1"/>
        <v>5</v>
      </c>
      <c r="BE2" s="129">
        <f t="shared" si="1"/>
        <v>5</v>
      </c>
      <c r="BF2" s="129">
        <f t="shared" si="1"/>
        <v>5</v>
      </c>
      <c r="BG2" s="129">
        <f t="shared" si="1"/>
        <v>5</v>
      </c>
      <c r="BH2" s="129">
        <f t="shared" si="1"/>
        <v>5</v>
      </c>
      <c r="BI2" s="129">
        <f t="shared" si="1"/>
        <v>5</v>
      </c>
      <c r="BJ2" s="129">
        <f t="shared" si="1"/>
        <v>5</v>
      </c>
      <c r="BK2" s="129">
        <f t="shared" si="1"/>
        <v>5</v>
      </c>
      <c r="BL2" s="129">
        <f t="shared" si="1"/>
        <v>5</v>
      </c>
      <c r="BM2" s="129">
        <f t="shared" si="1"/>
        <v>5</v>
      </c>
      <c r="BN2" s="129">
        <f t="shared" si="1"/>
        <v>5</v>
      </c>
      <c r="BO2" s="130"/>
    </row>
    <row r="3" ht="13.5" customHeight="1">
      <c r="A3" s="125"/>
      <c r="B3" s="126" t="s">
        <v>121</v>
      </c>
      <c r="C3" s="125"/>
      <c r="D3" s="125"/>
      <c r="E3" s="127"/>
      <c r="F3" s="125"/>
      <c r="G3" s="131">
        <f t="shared" ref="G3:BN3" si="2">YEAR(G5)</f>
        <v>2026</v>
      </c>
      <c r="H3" s="131">
        <f t="shared" si="2"/>
        <v>2026</v>
      </c>
      <c r="I3" s="131">
        <f t="shared" si="2"/>
        <v>2026</v>
      </c>
      <c r="J3" s="131">
        <f t="shared" si="2"/>
        <v>2026</v>
      </c>
      <c r="K3" s="131">
        <f t="shared" si="2"/>
        <v>2026</v>
      </c>
      <c r="L3" s="131">
        <f t="shared" si="2"/>
        <v>2026</v>
      </c>
      <c r="M3" s="131">
        <f t="shared" si="2"/>
        <v>2026</v>
      </c>
      <c r="N3" s="131">
        <f t="shared" si="2"/>
        <v>2027</v>
      </c>
      <c r="O3" s="131">
        <f t="shared" si="2"/>
        <v>2027</v>
      </c>
      <c r="P3" s="131">
        <f t="shared" si="2"/>
        <v>2027</v>
      </c>
      <c r="Q3" s="131">
        <f t="shared" si="2"/>
        <v>2027</v>
      </c>
      <c r="R3" s="131">
        <f t="shared" si="2"/>
        <v>2027</v>
      </c>
      <c r="S3" s="131">
        <f t="shared" si="2"/>
        <v>2027</v>
      </c>
      <c r="T3" s="131">
        <f t="shared" si="2"/>
        <v>2027</v>
      </c>
      <c r="U3" s="131">
        <f t="shared" si="2"/>
        <v>2027</v>
      </c>
      <c r="V3" s="131">
        <f t="shared" si="2"/>
        <v>2027</v>
      </c>
      <c r="W3" s="131">
        <f t="shared" si="2"/>
        <v>2027</v>
      </c>
      <c r="X3" s="131">
        <f t="shared" si="2"/>
        <v>2027</v>
      </c>
      <c r="Y3" s="131">
        <f t="shared" si="2"/>
        <v>2027</v>
      </c>
      <c r="Z3" s="131">
        <f t="shared" si="2"/>
        <v>2028</v>
      </c>
      <c r="AA3" s="131">
        <f t="shared" si="2"/>
        <v>2028</v>
      </c>
      <c r="AB3" s="131">
        <f t="shared" si="2"/>
        <v>2028</v>
      </c>
      <c r="AC3" s="131">
        <f t="shared" si="2"/>
        <v>2028</v>
      </c>
      <c r="AD3" s="131">
        <f t="shared" si="2"/>
        <v>2028</v>
      </c>
      <c r="AE3" s="131">
        <f t="shared" si="2"/>
        <v>2028</v>
      </c>
      <c r="AF3" s="131">
        <f t="shared" si="2"/>
        <v>2028</v>
      </c>
      <c r="AG3" s="131">
        <f t="shared" si="2"/>
        <v>2028</v>
      </c>
      <c r="AH3" s="131">
        <f t="shared" si="2"/>
        <v>2028</v>
      </c>
      <c r="AI3" s="131">
        <f t="shared" si="2"/>
        <v>2028</v>
      </c>
      <c r="AJ3" s="131">
        <f t="shared" si="2"/>
        <v>2028</v>
      </c>
      <c r="AK3" s="131">
        <f t="shared" si="2"/>
        <v>2028</v>
      </c>
      <c r="AL3" s="131">
        <f t="shared" si="2"/>
        <v>2029</v>
      </c>
      <c r="AM3" s="131">
        <f t="shared" si="2"/>
        <v>2029</v>
      </c>
      <c r="AN3" s="131">
        <f t="shared" si="2"/>
        <v>2029</v>
      </c>
      <c r="AO3" s="131">
        <f t="shared" si="2"/>
        <v>2029</v>
      </c>
      <c r="AP3" s="131">
        <f t="shared" si="2"/>
        <v>2029</v>
      </c>
      <c r="AQ3" s="131">
        <f t="shared" si="2"/>
        <v>2029</v>
      </c>
      <c r="AR3" s="131">
        <f t="shared" si="2"/>
        <v>2029</v>
      </c>
      <c r="AS3" s="131">
        <f t="shared" si="2"/>
        <v>2029</v>
      </c>
      <c r="AT3" s="131">
        <f t="shared" si="2"/>
        <v>2029</v>
      </c>
      <c r="AU3" s="131">
        <f t="shared" si="2"/>
        <v>2029</v>
      </c>
      <c r="AV3" s="131">
        <f t="shared" si="2"/>
        <v>2029</v>
      </c>
      <c r="AW3" s="131">
        <f t="shared" si="2"/>
        <v>2029</v>
      </c>
      <c r="AX3" s="131">
        <f t="shared" si="2"/>
        <v>2030</v>
      </c>
      <c r="AY3" s="131">
        <f t="shared" si="2"/>
        <v>2030</v>
      </c>
      <c r="AZ3" s="131">
        <f t="shared" si="2"/>
        <v>2030</v>
      </c>
      <c r="BA3" s="131">
        <f t="shared" si="2"/>
        <v>2030</v>
      </c>
      <c r="BB3" s="131">
        <f t="shared" si="2"/>
        <v>2030</v>
      </c>
      <c r="BC3" s="131">
        <f t="shared" si="2"/>
        <v>2030</v>
      </c>
      <c r="BD3" s="131">
        <f t="shared" si="2"/>
        <v>2030</v>
      </c>
      <c r="BE3" s="131">
        <f t="shared" si="2"/>
        <v>2030</v>
      </c>
      <c r="BF3" s="131">
        <f t="shared" si="2"/>
        <v>2030</v>
      </c>
      <c r="BG3" s="131">
        <f t="shared" si="2"/>
        <v>2030</v>
      </c>
      <c r="BH3" s="131">
        <f t="shared" si="2"/>
        <v>2030</v>
      </c>
      <c r="BI3" s="131">
        <f t="shared" si="2"/>
        <v>2030</v>
      </c>
      <c r="BJ3" s="131">
        <f t="shared" si="2"/>
        <v>2031</v>
      </c>
      <c r="BK3" s="131">
        <f t="shared" si="2"/>
        <v>2031</v>
      </c>
      <c r="BL3" s="131">
        <f t="shared" si="2"/>
        <v>2031</v>
      </c>
      <c r="BM3" s="131">
        <f t="shared" si="2"/>
        <v>2031</v>
      </c>
      <c r="BN3" s="131">
        <f t="shared" si="2"/>
        <v>2031</v>
      </c>
      <c r="BO3" s="132"/>
    </row>
    <row r="4" ht="13.5" customHeight="1">
      <c r="A4" s="125"/>
      <c r="B4" s="126" t="s">
        <v>122</v>
      </c>
      <c r="C4" s="125"/>
      <c r="D4" s="125"/>
      <c r="E4" s="127"/>
      <c r="F4" s="125"/>
      <c r="G4" s="131" t="str">
        <f>VLOOKUP(MONTH(G5),Reference!$H$12:$I$23,2,FALSE)</f>
        <v>Jun</v>
      </c>
      <c r="H4" s="131" t="str">
        <f>VLOOKUP(MONTH(H5),Reference!$H$12:$I$23,2,FALSE)</f>
        <v>Jul</v>
      </c>
      <c r="I4" s="131" t="str">
        <f>VLOOKUP(MONTH(I5),Reference!$H$12:$I$23,2,FALSE)</f>
        <v>Aug</v>
      </c>
      <c r="J4" s="131" t="str">
        <f>VLOOKUP(MONTH(J5),Reference!$H$12:$I$23,2,FALSE)</f>
        <v>Sep</v>
      </c>
      <c r="K4" s="131" t="str">
        <f>VLOOKUP(MONTH(K5),Reference!$H$12:$I$23,2,FALSE)</f>
        <v>Oct</v>
      </c>
      <c r="L4" s="131" t="str">
        <f>VLOOKUP(MONTH(L5),Reference!$H$12:$I$23,2,FALSE)</f>
        <v>Nov</v>
      </c>
      <c r="M4" s="131" t="str">
        <f>VLOOKUP(MONTH(M5),Reference!$H$12:$I$23,2,FALSE)</f>
        <v>Dec</v>
      </c>
      <c r="N4" s="131" t="str">
        <f>VLOOKUP(MONTH(N5),Reference!$H$12:$I$23,2,FALSE)</f>
        <v>Jan</v>
      </c>
      <c r="O4" s="131" t="str">
        <f>VLOOKUP(MONTH(O5),Reference!$H$12:$I$23,2,FALSE)</f>
        <v>Feb</v>
      </c>
      <c r="P4" s="131" t="str">
        <f>VLOOKUP(MONTH(P5),Reference!$H$12:$I$23,2,FALSE)</f>
        <v>Mar</v>
      </c>
      <c r="Q4" s="131" t="str">
        <f>VLOOKUP(MONTH(Q5),Reference!$H$12:$I$23,2,FALSE)</f>
        <v>Apr</v>
      </c>
      <c r="R4" s="131" t="str">
        <f>VLOOKUP(MONTH(R5),Reference!$H$12:$I$23,2,FALSE)</f>
        <v>May</v>
      </c>
      <c r="S4" s="131" t="str">
        <f>VLOOKUP(MONTH(S5),Reference!$H$12:$I$23,2,FALSE)</f>
        <v>Jun</v>
      </c>
      <c r="T4" s="131" t="str">
        <f>VLOOKUP(MONTH(T5),Reference!$H$12:$I$23,2,FALSE)</f>
        <v>Jul</v>
      </c>
      <c r="U4" s="131" t="str">
        <f>VLOOKUP(MONTH(U5),Reference!$H$12:$I$23,2,FALSE)</f>
        <v>Aug</v>
      </c>
      <c r="V4" s="131" t="str">
        <f>VLOOKUP(MONTH(V5),Reference!$H$12:$I$23,2,FALSE)</f>
        <v>Sep</v>
      </c>
      <c r="W4" s="131" t="str">
        <f>VLOOKUP(MONTH(W5),Reference!$H$12:$I$23,2,FALSE)</f>
        <v>Oct</v>
      </c>
      <c r="X4" s="131" t="str">
        <f>VLOOKUP(MONTH(X5),Reference!$H$12:$I$23,2,FALSE)</f>
        <v>Nov</v>
      </c>
      <c r="Y4" s="131" t="str">
        <f>VLOOKUP(MONTH(Y5),Reference!$H$12:$I$23,2,FALSE)</f>
        <v>Dec</v>
      </c>
      <c r="Z4" s="131" t="str">
        <f>VLOOKUP(MONTH(Z5),Reference!$H$12:$I$23,2,FALSE)</f>
        <v>Jan</v>
      </c>
      <c r="AA4" s="131" t="str">
        <f>VLOOKUP(MONTH(AA5),Reference!$H$12:$I$23,2,FALSE)</f>
        <v>Feb</v>
      </c>
      <c r="AB4" s="131" t="str">
        <f>VLOOKUP(MONTH(AB5),Reference!$H$12:$I$23,2,FALSE)</f>
        <v>Mar</v>
      </c>
      <c r="AC4" s="131" t="str">
        <f>VLOOKUP(MONTH(AC5),Reference!$H$12:$I$23,2,FALSE)</f>
        <v>Apr</v>
      </c>
      <c r="AD4" s="131" t="str">
        <f>VLOOKUP(MONTH(AD5),Reference!$H$12:$I$23,2,FALSE)</f>
        <v>May</v>
      </c>
      <c r="AE4" s="131" t="str">
        <f>VLOOKUP(MONTH(AE5),Reference!$H$12:$I$23,2,FALSE)</f>
        <v>Jun</v>
      </c>
      <c r="AF4" s="131" t="str">
        <f>VLOOKUP(MONTH(AF5),Reference!$H$12:$I$23,2,FALSE)</f>
        <v>Jul</v>
      </c>
      <c r="AG4" s="131" t="str">
        <f>VLOOKUP(MONTH(AG5),Reference!$H$12:$I$23,2,FALSE)</f>
        <v>Aug</v>
      </c>
      <c r="AH4" s="131" t="str">
        <f>VLOOKUP(MONTH(AH5),Reference!$H$12:$I$23,2,FALSE)</f>
        <v>Sep</v>
      </c>
      <c r="AI4" s="131" t="str">
        <f>VLOOKUP(MONTH(AI5),Reference!$H$12:$I$23,2,FALSE)</f>
        <v>Oct</v>
      </c>
      <c r="AJ4" s="131" t="str">
        <f>VLOOKUP(MONTH(AJ5),Reference!$H$12:$I$23,2,FALSE)</f>
        <v>Nov</v>
      </c>
      <c r="AK4" s="131" t="str">
        <f>VLOOKUP(MONTH(AK5),Reference!$H$12:$I$23,2,FALSE)</f>
        <v>Dec</v>
      </c>
      <c r="AL4" s="131" t="str">
        <f>VLOOKUP(MONTH(AL5),Reference!$H$12:$I$23,2,FALSE)</f>
        <v>Jan</v>
      </c>
      <c r="AM4" s="131" t="str">
        <f>VLOOKUP(MONTH(AM5),Reference!$H$12:$I$23,2,FALSE)</f>
        <v>Feb</v>
      </c>
      <c r="AN4" s="131" t="str">
        <f>VLOOKUP(MONTH(AN5),Reference!$H$12:$I$23,2,FALSE)</f>
        <v>Mar</v>
      </c>
      <c r="AO4" s="131" t="str">
        <f>VLOOKUP(MONTH(AO5),Reference!$H$12:$I$23,2,FALSE)</f>
        <v>Apr</v>
      </c>
      <c r="AP4" s="131" t="str">
        <f>VLOOKUP(MONTH(AP5),Reference!$H$12:$I$23,2,FALSE)</f>
        <v>May</v>
      </c>
      <c r="AQ4" s="131" t="str">
        <f>VLOOKUP(MONTH(AQ5),Reference!$H$12:$I$23,2,FALSE)</f>
        <v>Jun</v>
      </c>
      <c r="AR4" s="131" t="str">
        <f>VLOOKUP(MONTH(AR5),Reference!$H$12:$I$23,2,FALSE)</f>
        <v>Jul</v>
      </c>
      <c r="AS4" s="131" t="str">
        <f>VLOOKUP(MONTH(AS5),Reference!$H$12:$I$23,2,FALSE)</f>
        <v>Aug</v>
      </c>
      <c r="AT4" s="131" t="str">
        <f>VLOOKUP(MONTH(AT5),Reference!$H$12:$I$23,2,FALSE)</f>
        <v>Sep</v>
      </c>
      <c r="AU4" s="131" t="str">
        <f>VLOOKUP(MONTH(AU5),Reference!$H$12:$I$23,2,FALSE)</f>
        <v>Oct</v>
      </c>
      <c r="AV4" s="131" t="str">
        <f>VLOOKUP(MONTH(AV5),Reference!$H$12:$I$23,2,FALSE)</f>
        <v>Nov</v>
      </c>
      <c r="AW4" s="131" t="str">
        <f>VLOOKUP(MONTH(AW5),Reference!$H$12:$I$23,2,FALSE)</f>
        <v>Dec</v>
      </c>
      <c r="AX4" s="131" t="str">
        <f>VLOOKUP(MONTH(AX5),Reference!$H$12:$I$23,2,FALSE)</f>
        <v>Jan</v>
      </c>
      <c r="AY4" s="131" t="str">
        <f>VLOOKUP(MONTH(AY5),Reference!$H$12:$I$23,2,FALSE)</f>
        <v>Feb</v>
      </c>
      <c r="AZ4" s="131" t="str">
        <f>VLOOKUP(MONTH(AZ5),Reference!$H$12:$I$23,2,FALSE)</f>
        <v>Mar</v>
      </c>
      <c r="BA4" s="131" t="str">
        <f>VLOOKUP(MONTH(BA5),Reference!$H$12:$I$23,2,FALSE)</f>
        <v>Apr</v>
      </c>
      <c r="BB4" s="131" t="str">
        <f>VLOOKUP(MONTH(BB5),Reference!$H$12:$I$23,2,FALSE)</f>
        <v>May</v>
      </c>
      <c r="BC4" s="131" t="str">
        <f>VLOOKUP(MONTH(BC5),Reference!$H$12:$I$23,2,FALSE)</f>
        <v>Jun</v>
      </c>
      <c r="BD4" s="131" t="str">
        <f>VLOOKUP(MONTH(BD5),Reference!$H$12:$I$23,2,FALSE)</f>
        <v>Jul</v>
      </c>
      <c r="BE4" s="131" t="str">
        <f>VLOOKUP(MONTH(BE5),Reference!$H$12:$I$23,2,FALSE)</f>
        <v>Aug</v>
      </c>
      <c r="BF4" s="131" t="str">
        <f>VLOOKUP(MONTH(BF5),Reference!$H$12:$I$23,2,FALSE)</f>
        <v>Sep</v>
      </c>
      <c r="BG4" s="131" t="str">
        <f>VLOOKUP(MONTH(BG5),Reference!$H$12:$I$23,2,FALSE)</f>
        <v>Oct</v>
      </c>
      <c r="BH4" s="131" t="str">
        <f>VLOOKUP(MONTH(BH5),Reference!$H$12:$I$23,2,FALSE)</f>
        <v>Nov</v>
      </c>
      <c r="BI4" s="131" t="str">
        <f>VLOOKUP(MONTH(BI5),Reference!$H$12:$I$23,2,FALSE)</f>
        <v>Dec</v>
      </c>
      <c r="BJ4" s="131" t="str">
        <f>VLOOKUP(MONTH(BJ5),Reference!$H$12:$I$23,2,FALSE)</f>
        <v>Jan</v>
      </c>
      <c r="BK4" s="131" t="str">
        <f>VLOOKUP(MONTH(BK5),Reference!$H$12:$I$23,2,FALSE)</f>
        <v>Feb</v>
      </c>
      <c r="BL4" s="131" t="str">
        <f>VLOOKUP(MONTH(BL5),Reference!$H$12:$I$23,2,FALSE)</f>
        <v>Mar</v>
      </c>
      <c r="BM4" s="131" t="str">
        <f>VLOOKUP(MONTH(BM5),Reference!$H$12:$I$23,2,FALSE)</f>
        <v>Apr</v>
      </c>
      <c r="BN4" s="131" t="str">
        <f>VLOOKUP(MONTH(BN5),Reference!$H$12:$I$23,2,FALSE)</f>
        <v>May</v>
      </c>
      <c r="BO4" s="132"/>
    </row>
    <row r="5" ht="13.5" customHeight="1">
      <c r="A5" s="125"/>
      <c r="B5" s="126" t="s">
        <v>123</v>
      </c>
      <c r="C5" s="125"/>
      <c r="D5" s="125"/>
      <c r="E5" s="127"/>
      <c r="F5" s="125"/>
      <c r="G5" s="133">
        <v>46174.0</v>
      </c>
      <c r="H5" s="134">
        <f t="shared" ref="H5:BN5" si="3">EOMONTH(G5,1)</f>
        <v>46234</v>
      </c>
      <c r="I5" s="134">
        <f t="shared" si="3"/>
        <v>46265</v>
      </c>
      <c r="J5" s="134">
        <f t="shared" si="3"/>
        <v>46295</v>
      </c>
      <c r="K5" s="134">
        <f t="shared" si="3"/>
        <v>46326</v>
      </c>
      <c r="L5" s="134">
        <f t="shared" si="3"/>
        <v>46356</v>
      </c>
      <c r="M5" s="134">
        <f t="shared" si="3"/>
        <v>46387</v>
      </c>
      <c r="N5" s="134">
        <f t="shared" si="3"/>
        <v>46418</v>
      </c>
      <c r="O5" s="134">
        <f t="shared" si="3"/>
        <v>46446</v>
      </c>
      <c r="P5" s="134">
        <f t="shared" si="3"/>
        <v>46477</v>
      </c>
      <c r="Q5" s="134">
        <f t="shared" si="3"/>
        <v>46507</v>
      </c>
      <c r="R5" s="134">
        <f t="shared" si="3"/>
        <v>46538</v>
      </c>
      <c r="S5" s="135">
        <f t="shared" si="3"/>
        <v>46568</v>
      </c>
      <c r="T5" s="134">
        <f t="shared" si="3"/>
        <v>46599</v>
      </c>
      <c r="U5" s="134">
        <f t="shared" si="3"/>
        <v>46630</v>
      </c>
      <c r="V5" s="134">
        <f t="shared" si="3"/>
        <v>46660</v>
      </c>
      <c r="W5" s="134">
        <f t="shared" si="3"/>
        <v>46691</v>
      </c>
      <c r="X5" s="134">
        <f t="shared" si="3"/>
        <v>46721</v>
      </c>
      <c r="Y5" s="134">
        <f t="shared" si="3"/>
        <v>46752</v>
      </c>
      <c r="Z5" s="134">
        <f t="shared" si="3"/>
        <v>46783</v>
      </c>
      <c r="AA5" s="134">
        <f t="shared" si="3"/>
        <v>46812</v>
      </c>
      <c r="AB5" s="134">
        <f t="shared" si="3"/>
        <v>46843</v>
      </c>
      <c r="AC5" s="134">
        <f t="shared" si="3"/>
        <v>46873</v>
      </c>
      <c r="AD5" s="134">
        <f t="shared" si="3"/>
        <v>46904</v>
      </c>
      <c r="AE5" s="136">
        <f t="shared" si="3"/>
        <v>46934</v>
      </c>
      <c r="AF5" s="134">
        <f t="shared" si="3"/>
        <v>46965</v>
      </c>
      <c r="AG5" s="134">
        <f t="shared" si="3"/>
        <v>46996</v>
      </c>
      <c r="AH5" s="134">
        <f t="shared" si="3"/>
        <v>47026</v>
      </c>
      <c r="AI5" s="134">
        <f t="shared" si="3"/>
        <v>47057</v>
      </c>
      <c r="AJ5" s="134">
        <f t="shared" si="3"/>
        <v>47087</v>
      </c>
      <c r="AK5" s="134">
        <f t="shared" si="3"/>
        <v>47118</v>
      </c>
      <c r="AL5" s="134">
        <f t="shared" si="3"/>
        <v>47149</v>
      </c>
      <c r="AM5" s="134">
        <f t="shared" si="3"/>
        <v>47177</v>
      </c>
      <c r="AN5" s="134">
        <f t="shared" si="3"/>
        <v>47208</v>
      </c>
      <c r="AO5" s="134">
        <f t="shared" si="3"/>
        <v>47238</v>
      </c>
      <c r="AP5" s="134">
        <f t="shared" si="3"/>
        <v>47269</v>
      </c>
      <c r="AQ5" s="136">
        <f t="shared" si="3"/>
        <v>47299</v>
      </c>
      <c r="AR5" s="134">
        <f t="shared" si="3"/>
        <v>47330</v>
      </c>
      <c r="AS5" s="134">
        <f t="shared" si="3"/>
        <v>47361</v>
      </c>
      <c r="AT5" s="134">
        <f t="shared" si="3"/>
        <v>47391</v>
      </c>
      <c r="AU5" s="134">
        <f t="shared" si="3"/>
        <v>47422</v>
      </c>
      <c r="AV5" s="134">
        <f t="shared" si="3"/>
        <v>47452</v>
      </c>
      <c r="AW5" s="134">
        <f t="shared" si="3"/>
        <v>47483</v>
      </c>
      <c r="AX5" s="134">
        <f t="shared" si="3"/>
        <v>47514</v>
      </c>
      <c r="AY5" s="134">
        <f t="shared" si="3"/>
        <v>47542</v>
      </c>
      <c r="AZ5" s="134">
        <f t="shared" si="3"/>
        <v>47573</v>
      </c>
      <c r="BA5" s="134">
        <f t="shared" si="3"/>
        <v>47603</v>
      </c>
      <c r="BB5" s="134">
        <f t="shared" si="3"/>
        <v>47634</v>
      </c>
      <c r="BC5" s="134">
        <f t="shared" si="3"/>
        <v>47664</v>
      </c>
      <c r="BD5" s="134">
        <f t="shared" si="3"/>
        <v>47695</v>
      </c>
      <c r="BE5" s="134">
        <f t="shared" si="3"/>
        <v>47726</v>
      </c>
      <c r="BF5" s="134">
        <f t="shared" si="3"/>
        <v>47756</v>
      </c>
      <c r="BG5" s="134">
        <f t="shared" si="3"/>
        <v>47787</v>
      </c>
      <c r="BH5" s="134">
        <f t="shared" si="3"/>
        <v>47817</v>
      </c>
      <c r="BI5" s="134">
        <f t="shared" si="3"/>
        <v>47848</v>
      </c>
      <c r="BJ5" s="134">
        <f t="shared" si="3"/>
        <v>47879</v>
      </c>
      <c r="BK5" s="134">
        <f t="shared" si="3"/>
        <v>47907</v>
      </c>
      <c r="BL5" s="134">
        <f t="shared" si="3"/>
        <v>47938</v>
      </c>
      <c r="BM5" s="134">
        <f t="shared" si="3"/>
        <v>47968</v>
      </c>
      <c r="BN5" s="134">
        <f t="shared" si="3"/>
        <v>47999</v>
      </c>
      <c r="BO5" s="137"/>
    </row>
    <row r="6" ht="13.5" customHeight="1">
      <c r="A6" s="138"/>
      <c r="B6" s="139"/>
      <c r="C6" s="138"/>
      <c r="D6" s="138"/>
      <c r="E6" s="140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</row>
    <row r="7" ht="13.5" customHeight="1">
      <c r="A7" s="138"/>
      <c r="B7" s="142" t="s">
        <v>39</v>
      </c>
      <c r="C7" s="143" t="s">
        <v>124</v>
      </c>
      <c r="D7" s="143"/>
      <c r="E7" s="144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6"/>
    </row>
    <row r="8" ht="13.5" customHeight="1">
      <c r="A8" s="138"/>
      <c r="B8" s="139"/>
      <c r="C8" s="147"/>
      <c r="D8" s="147"/>
      <c r="E8" s="148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  <c r="BO8" s="146"/>
    </row>
    <row r="9" ht="13.5" customHeight="1" outlineLevel="1">
      <c r="A9" s="138"/>
      <c r="B9" s="139">
        <v>1.0</v>
      </c>
      <c r="C9" s="147" t="s">
        <v>125</v>
      </c>
      <c r="D9" s="138"/>
      <c r="E9" s="140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</row>
    <row r="10" ht="13.5" customHeight="1" outlineLevel="1">
      <c r="A10" s="138"/>
      <c r="B10" s="139"/>
      <c r="C10" s="138" t="s">
        <v>126</v>
      </c>
      <c r="D10" s="138"/>
      <c r="E10" s="149">
        <v>1.0</v>
      </c>
      <c r="F10" s="141"/>
      <c r="G10" s="141">
        <f>COUNTIFS(Year,G$3,Month,MONTH(G$5),Weekday,$C10)*$E10</f>
        <v>5</v>
      </c>
      <c r="H10" s="141">
        <f>COUNTIFS(Year,H$3,Month,MONTH(H$5),Weekday,$C10)*$E10</f>
        <v>4</v>
      </c>
      <c r="I10" s="141">
        <f>COUNTIFS(Year,I$3,Month,MONTH(I$5),Weekday,$C10)*$E10</f>
        <v>5</v>
      </c>
      <c r="J10" s="141">
        <f>COUNTIFS(Year,J$3,Month,MONTH(J$5),Weekday,$C10)*$E10</f>
        <v>4</v>
      </c>
      <c r="K10" s="141">
        <f>COUNTIFS(Year,K$3,Month,MONTH(K$5),Weekday,$C10)*$E10</f>
        <v>4</v>
      </c>
      <c r="L10" s="141">
        <f>COUNTIFS(Year,L$3,Month,MONTH(L$5),Weekday,$C10)*$E10</f>
        <v>5</v>
      </c>
      <c r="M10" s="141">
        <f>COUNTIFS(Year,M$3,Month,MONTH(M$5),Weekday,$C10)*$E10</f>
        <v>4</v>
      </c>
      <c r="N10" s="141">
        <f>COUNTIFS(Year,N$3,Month,MONTH(N$5),Weekday,$C10)*$E10</f>
        <v>4</v>
      </c>
      <c r="O10" s="141">
        <f>COUNTIFS(Year,O$3,Month,MONTH(O$5),Weekday,$C10)*$E10</f>
        <v>4</v>
      </c>
      <c r="P10" s="141">
        <f>COUNTIFS(Year,P$3,Month,MONTH(P$5),Weekday,$C10)*$E10</f>
        <v>5</v>
      </c>
      <c r="Q10" s="141">
        <f>COUNTIFS(Year,Q$3,Month,MONTH(Q$5),Weekday,$C10)*$E10</f>
        <v>4</v>
      </c>
      <c r="R10" s="141">
        <f>COUNTIFS(Year,R$3,Month,MONTH(R$5),Weekday,$C10)*$E10</f>
        <v>5</v>
      </c>
      <c r="S10" s="141">
        <f>COUNTIFS(Year,S$3,Month,MONTH(S$5),Weekday,$C10)*$E10</f>
        <v>4</v>
      </c>
      <c r="T10" s="141">
        <f>COUNTIFS(Year,T$3,Month,MONTH(T$5),Weekday,$C10)*$E10</f>
        <v>4</v>
      </c>
      <c r="U10" s="141">
        <f>COUNTIFS(Year,U$3,Month,MONTH(U$5),Weekday,$C10)*$E10</f>
        <v>5</v>
      </c>
      <c r="V10" s="141">
        <f>COUNTIFS(Year,V$3,Month,MONTH(V$5),Weekday,$C10)*$E10</f>
        <v>4</v>
      </c>
      <c r="W10" s="141">
        <f>COUNTIFS(Year,W$3,Month,MONTH(W$5),Weekday,$C10)*$E10</f>
        <v>4</v>
      </c>
      <c r="X10" s="141">
        <f>COUNTIFS(Year,X$3,Month,MONTH(X$5),Weekday,$C10)*$E10</f>
        <v>5</v>
      </c>
      <c r="Y10" s="141">
        <f>COUNTIFS(Year,Y$3,Month,MONTH(Y$5),Weekday,$C10)*$E10</f>
        <v>4</v>
      </c>
      <c r="Z10" s="141">
        <f>COUNTIFS(Year,Z$3,Month,MONTH(Z$5),Weekday,$C10)*$E10</f>
        <v>5</v>
      </c>
      <c r="AA10" s="141">
        <f>COUNTIFS(Year,AA$3,Month,MONTH(AA$5),Weekday,$C10)*$E10</f>
        <v>4</v>
      </c>
      <c r="AB10" s="141">
        <f>COUNTIFS(Year,AB$3,Month,MONTH(AB$5),Weekday,$C10)*$E10</f>
        <v>4</v>
      </c>
      <c r="AC10" s="141">
        <f>COUNTIFS(Year,AC$3,Month,MONTH(AC$5),Weekday,$C10)*$E10</f>
        <v>4</v>
      </c>
      <c r="AD10" s="141">
        <f>COUNTIFS(Year,AD$3,Month,MONTH(AD$5),Weekday,$C10)*$E10</f>
        <v>5</v>
      </c>
      <c r="AE10" s="141">
        <f>COUNTIFS(Year,AE$3,Month,MONTH(AE$5),Weekday,$C10)*$E10</f>
        <v>4</v>
      </c>
      <c r="AF10" s="141">
        <f>COUNTIFS(Year,AF$3,Month,MONTH(AF$5),Weekday,$C10)*$E10</f>
        <v>5</v>
      </c>
      <c r="AG10" s="141">
        <f>COUNTIFS(Year,AG$3,Month,MONTH(AG$5),Weekday,$C10)*$E10</f>
        <v>4</v>
      </c>
      <c r="AH10" s="141">
        <f>COUNTIFS(Year,AH$3,Month,MONTH(AH$5),Weekday,$C10)*$E10</f>
        <v>4</v>
      </c>
      <c r="AI10" s="141">
        <f>COUNTIFS(Year,AI$3,Month,MONTH(AI$5),Weekday,$C10)*$E10</f>
        <v>5</v>
      </c>
      <c r="AJ10" s="141">
        <f>COUNTIFS(Year,AJ$3,Month,MONTH(AJ$5),Weekday,$C10)*$E10</f>
        <v>4</v>
      </c>
      <c r="AK10" s="141">
        <f>COUNTIFS(Year,AK$3,Month,MONTH(AK$5),Weekday,$C10)*$E10</f>
        <v>4</v>
      </c>
      <c r="AL10" s="141">
        <f>COUNTIFS(Year,AL$3,Month,MONTH(AL$5),Weekday,$C10)*$E10</f>
        <v>5</v>
      </c>
      <c r="AM10" s="141">
        <f>COUNTIFS(Year,AM$3,Month,MONTH(AM$5),Weekday,$C10)*$E10</f>
        <v>4</v>
      </c>
      <c r="AN10" s="141">
        <f>COUNTIFS(Year,AN$3,Month,MONTH(AN$5),Weekday,$C10)*$E10</f>
        <v>4</v>
      </c>
      <c r="AO10" s="141">
        <f>COUNTIFS(Year,AO$3,Month,MONTH(AO$5),Weekday,$C10)*$E10</f>
        <v>5</v>
      </c>
      <c r="AP10" s="141">
        <f>COUNTIFS(Year,AP$3,Month,MONTH(AP$5),Weekday,$C10)*$E10</f>
        <v>4</v>
      </c>
      <c r="AQ10" s="141">
        <f>COUNTIFS(Year,AQ$3,Month,MONTH(AQ$5),Weekday,$C10)*$E10</f>
        <v>4</v>
      </c>
      <c r="AR10" s="141">
        <f>COUNTIFS(Year,AR$3,Month,MONTH(AR$5),Weekday,$C10)*$E10</f>
        <v>5</v>
      </c>
      <c r="AS10" s="141">
        <f>COUNTIFS(Year,AS$3,Month,MONTH(AS$5),Weekday,$C10)*$E10</f>
        <v>4</v>
      </c>
      <c r="AT10" s="141">
        <f>COUNTIFS(Year,AT$3,Month,MONTH(AT$5),Weekday,$C10)*$E10</f>
        <v>4</v>
      </c>
      <c r="AU10" s="141">
        <f>COUNTIFS(Year,AU$3,Month,MONTH(AU$5),Weekday,$C10)*$E10</f>
        <v>5</v>
      </c>
      <c r="AV10" s="141">
        <f>COUNTIFS(Year,AV$3,Month,MONTH(AV$5),Weekday,$C10)*$E10</f>
        <v>4</v>
      </c>
      <c r="AW10" s="141">
        <f>COUNTIFS(Year,AW$3,Month,MONTH(AW$5),Weekday,$C10)*$E10</f>
        <v>5</v>
      </c>
      <c r="AX10" s="141">
        <f>COUNTIFS(Year,AX$3,Month,MONTH(AX$5),Weekday,$C10)*$E10</f>
        <v>4</v>
      </c>
      <c r="AY10" s="141">
        <f>COUNTIFS(Year,AY$3,Month,MONTH(AY$5),Weekday,$C10)*$E10</f>
        <v>4</v>
      </c>
      <c r="AZ10" s="141">
        <f>COUNTIFS(Year,AZ$3,Month,MONTH(AZ$5),Weekday,$C10)*$E10</f>
        <v>4</v>
      </c>
      <c r="BA10" s="141">
        <f>COUNTIFS(Year,BA$3,Month,MONTH(BA$5),Weekday,$C10)*$E10</f>
        <v>5</v>
      </c>
      <c r="BB10" s="141">
        <f>COUNTIFS(Year,BB$3,Month,MONTH(BB$5),Weekday,$C10)*$E10</f>
        <v>4</v>
      </c>
      <c r="BC10" s="141">
        <f>COUNTIFS(Year,BC$3,Month,MONTH(BC$5),Weekday,$C10)*$E10</f>
        <v>4</v>
      </c>
      <c r="BD10" s="141">
        <f>COUNTIFS(Year,BD$3,Month,MONTH(BD$5),Weekday,$C10)*$E10</f>
        <v>5</v>
      </c>
      <c r="BE10" s="141">
        <f>COUNTIFS(Year,BE$3,Month,MONTH(BE$5),Weekday,$C10)*$E10</f>
        <v>4</v>
      </c>
      <c r="BF10" s="141">
        <f>COUNTIFS(Year,BF$3,Month,MONTH(BF$5),Weekday,$C10)*$E10</f>
        <v>5</v>
      </c>
      <c r="BG10" s="141">
        <f>COUNTIFS(Year,BG$3,Month,MONTH(BG$5),Weekday,$C10)*$E10</f>
        <v>4</v>
      </c>
      <c r="BH10" s="141">
        <f>COUNTIFS(Year,BH$3,Month,MONTH(BH$5),Weekday,$C10)*$E10</f>
        <v>4</v>
      </c>
      <c r="BI10" s="141">
        <f>COUNTIFS(Year,BI$3,Month,MONTH(BI$5),Weekday,$C10)*$E10</f>
        <v>5</v>
      </c>
      <c r="BJ10" s="141">
        <f>COUNTIFS(Year,BJ$3,Month,MONTH(BJ$5),Weekday,$C10)*$E10</f>
        <v>4</v>
      </c>
      <c r="BK10" s="141">
        <f>COUNTIFS(Year,BK$3,Month,MONTH(BK$5),Weekday,$C10)*$E10</f>
        <v>4</v>
      </c>
      <c r="BL10" s="141">
        <f>COUNTIFS(Year,BL$3,Month,MONTH(BL$5),Weekday,$C10)*$E10</f>
        <v>5</v>
      </c>
      <c r="BM10" s="141">
        <f>COUNTIFS(Year,BM$3,Month,MONTH(BM$5),Weekday,$C10)*$E10</f>
        <v>4</v>
      </c>
      <c r="BN10" s="141">
        <f>COUNTIFS(Year,BN$3,Month,MONTH(BN$5),Weekday,$C10)*$E10</f>
        <v>4</v>
      </c>
      <c r="BO10" s="141"/>
    </row>
    <row r="11" ht="13.5" customHeight="1" outlineLevel="1">
      <c r="A11" s="138"/>
      <c r="B11" s="139"/>
      <c r="C11" s="138" t="s">
        <v>127</v>
      </c>
      <c r="D11" s="138"/>
      <c r="E11" s="149">
        <v>1.0</v>
      </c>
      <c r="F11" s="141"/>
      <c r="G11" s="141">
        <f>COUNTIFS(Year,G$3,Month,MONTH(G$5),Weekday,$C11)*$E11</f>
        <v>5</v>
      </c>
      <c r="H11" s="141">
        <f>COUNTIFS(Year,H$3,Month,MONTH(H$5),Weekday,$C11)*$E11</f>
        <v>4</v>
      </c>
      <c r="I11" s="141">
        <f>COUNTIFS(Year,I$3,Month,MONTH(I$5),Weekday,$C11)*$E11</f>
        <v>4</v>
      </c>
      <c r="J11" s="141">
        <f>COUNTIFS(Year,J$3,Month,MONTH(J$5),Weekday,$C11)*$E11</f>
        <v>5</v>
      </c>
      <c r="K11" s="141">
        <f>COUNTIFS(Year,K$3,Month,MONTH(K$5),Weekday,$C11)*$E11</f>
        <v>4</v>
      </c>
      <c r="L11" s="141">
        <f>COUNTIFS(Year,L$3,Month,MONTH(L$5),Weekday,$C11)*$E11</f>
        <v>4</v>
      </c>
      <c r="M11" s="141">
        <f>COUNTIFS(Year,M$3,Month,MONTH(M$5),Weekday,$C11)*$E11</f>
        <v>5</v>
      </c>
      <c r="N11" s="141">
        <f>COUNTIFS(Year,N$3,Month,MONTH(N$5),Weekday,$C11)*$E11</f>
        <v>4</v>
      </c>
      <c r="O11" s="141">
        <f>COUNTIFS(Year,O$3,Month,MONTH(O$5),Weekday,$C11)*$E11</f>
        <v>4</v>
      </c>
      <c r="P11" s="141">
        <f>COUNTIFS(Year,P$3,Month,MONTH(P$5),Weekday,$C11)*$E11</f>
        <v>5</v>
      </c>
      <c r="Q11" s="141">
        <f>COUNTIFS(Year,Q$3,Month,MONTH(Q$5),Weekday,$C11)*$E11</f>
        <v>4</v>
      </c>
      <c r="R11" s="141">
        <f>COUNTIFS(Year,R$3,Month,MONTH(R$5),Weekday,$C11)*$E11</f>
        <v>4</v>
      </c>
      <c r="S11" s="141">
        <f>COUNTIFS(Year,S$3,Month,MONTH(S$5),Weekday,$C11)*$E11</f>
        <v>5</v>
      </c>
      <c r="T11" s="141">
        <f>COUNTIFS(Year,T$3,Month,MONTH(T$5),Weekday,$C11)*$E11</f>
        <v>4</v>
      </c>
      <c r="U11" s="141">
        <f>COUNTIFS(Year,U$3,Month,MONTH(U$5),Weekday,$C11)*$E11</f>
        <v>5</v>
      </c>
      <c r="V11" s="141">
        <f>COUNTIFS(Year,V$3,Month,MONTH(V$5),Weekday,$C11)*$E11</f>
        <v>4</v>
      </c>
      <c r="W11" s="141">
        <f>COUNTIFS(Year,W$3,Month,MONTH(W$5),Weekday,$C11)*$E11</f>
        <v>4</v>
      </c>
      <c r="X11" s="141">
        <f>COUNTIFS(Year,X$3,Month,MONTH(X$5),Weekday,$C11)*$E11</f>
        <v>5</v>
      </c>
      <c r="Y11" s="141">
        <f>COUNTIFS(Year,Y$3,Month,MONTH(Y$5),Weekday,$C11)*$E11</f>
        <v>4</v>
      </c>
      <c r="Z11" s="141">
        <f>COUNTIFS(Year,Z$3,Month,MONTH(Z$5),Weekday,$C11)*$E11</f>
        <v>4</v>
      </c>
      <c r="AA11" s="141">
        <f>COUNTIFS(Year,AA$3,Month,MONTH(AA$5),Weekday,$C11)*$E11</f>
        <v>5</v>
      </c>
      <c r="AB11" s="141">
        <f>COUNTIFS(Year,AB$3,Month,MONTH(AB$5),Weekday,$C11)*$E11</f>
        <v>4</v>
      </c>
      <c r="AC11" s="141">
        <f>COUNTIFS(Year,AC$3,Month,MONTH(AC$5),Weekday,$C11)*$E11</f>
        <v>4</v>
      </c>
      <c r="AD11" s="141">
        <f>COUNTIFS(Year,AD$3,Month,MONTH(AD$5),Weekday,$C11)*$E11</f>
        <v>5</v>
      </c>
      <c r="AE11" s="141">
        <f>COUNTIFS(Year,AE$3,Month,MONTH(AE$5),Weekday,$C11)*$E11</f>
        <v>4</v>
      </c>
      <c r="AF11" s="141">
        <f>COUNTIFS(Year,AF$3,Month,MONTH(AF$5),Weekday,$C11)*$E11</f>
        <v>4</v>
      </c>
      <c r="AG11" s="141">
        <f>COUNTIFS(Year,AG$3,Month,MONTH(AG$5),Weekday,$C11)*$E11</f>
        <v>5</v>
      </c>
      <c r="AH11" s="141">
        <f>COUNTIFS(Year,AH$3,Month,MONTH(AH$5),Weekday,$C11)*$E11</f>
        <v>4</v>
      </c>
      <c r="AI11" s="141">
        <f>COUNTIFS(Year,AI$3,Month,MONTH(AI$5),Weekday,$C11)*$E11</f>
        <v>5</v>
      </c>
      <c r="AJ11" s="141">
        <f>COUNTIFS(Year,AJ$3,Month,MONTH(AJ$5),Weekday,$C11)*$E11</f>
        <v>4</v>
      </c>
      <c r="AK11" s="141">
        <f>COUNTIFS(Year,AK$3,Month,MONTH(AK$5),Weekday,$C11)*$E11</f>
        <v>4</v>
      </c>
      <c r="AL11" s="141">
        <f>COUNTIFS(Year,AL$3,Month,MONTH(AL$5),Weekday,$C11)*$E11</f>
        <v>5</v>
      </c>
      <c r="AM11" s="141">
        <f>COUNTIFS(Year,AM$3,Month,MONTH(AM$5),Weekday,$C11)*$E11</f>
        <v>4</v>
      </c>
      <c r="AN11" s="141">
        <f>COUNTIFS(Year,AN$3,Month,MONTH(AN$5),Weekday,$C11)*$E11</f>
        <v>4</v>
      </c>
      <c r="AO11" s="141">
        <f>COUNTIFS(Year,AO$3,Month,MONTH(AO$5),Weekday,$C11)*$E11</f>
        <v>4</v>
      </c>
      <c r="AP11" s="141">
        <f>COUNTIFS(Year,AP$3,Month,MONTH(AP$5),Weekday,$C11)*$E11</f>
        <v>5</v>
      </c>
      <c r="AQ11" s="141">
        <f>COUNTIFS(Year,AQ$3,Month,MONTH(AQ$5),Weekday,$C11)*$E11</f>
        <v>4</v>
      </c>
      <c r="AR11" s="141">
        <f>COUNTIFS(Year,AR$3,Month,MONTH(AR$5),Weekday,$C11)*$E11</f>
        <v>5</v>
      </c>
      <c r="AS11" s="141">
        <f>COUNTIFS(Year,AS$3,Month,MONTH(AS$5),Weekday,$C11)*$E11</f>
        <v>4</v>
      </c>
      <c r="AT11" s="141">
        <f>COUNTIFS(Year,AT$3,Month,MONTH(AT$5),Weekday,$C11)*$E11</f>
        <v>4</v>
      </c>
      <c r="AU11" s="141">
        <f>COUNTIFS(Year,AU$3,Month,MONTH(AU$5),Weekday,$C11)*$E11</f>
        <v>5</v>
      </c>
      <c r="AV11" s="141">
        <f>COUNTIFS(Year,AV$3,Month,MONTH(AV$5),Weekday,$C11)*$E11</f>
        <v>4</v>
      </c>
      <c r="AW11" s="141">
        <f>COUNTIFS(Year,AW$3,Month,MONTH(AW$5),Weekday,$C11)*$E11</f>
        <v>4</v>
      </c>
      <c r="AX11" s="141">
        <f>COUNTIFS(Year,AX$3,Month,MONTH(AX$5),Weekday,$C11)*$E11</f>
        <v>5</v>
      </c>
      <c r="AY11" s="141">
        <f>COUNTIFS(Year,AY$3,Month,MONTH(AY$5),Weekday,$C11)*$E11</f>
        <v>4</v>
      </c>
      <c r="AZ11" s="141">
        <f>COUNTIFS(Year,AZ$3,Month,MONTH(AZ$5),Weekday,$C11)*$E11</f>
        <v>4</v>
      </c>
      <c r="BA11" s="141">
        <f>COUNTIFS(Year,BA$3,Month,MONTH(BA$5),Weekday,$C11)*$E11</f>
        <v>5</v>
      </c>
      <c r="BB11" s="141">
        <f>COUNTIFS(Year,BB$3,Month,MONTH(BB$5),Weekday,$C11)*$E11</f>
        <v>4</v>
      </c>
      <c r="BC11" s="141">
        <f>COUNTIFS(Year,BC$3,Month,MONTH(BC$5),Weekday,$C11)*$E11</f>
        <v>4</v>
      </c>
      <c r="BD11" s="141">
        <f>COUNTIFS(Year,BD$3,Month,MONTH(BD$5),Weekday,$C11)*$E11</f>
        <v>5</v>
      </c>
      <c r="BE11" s="141">
        <f>COUNTIFS(Year,BE$3,Month,MONTH(BE$5),Weekday,$C11)*$E11</f>
        <v>4</v>
      </c>
      <c r="BF11" s="141">
        <f>COUNTIFS(Year,BF$3,Month,MONTH(BF$5),Weekday,$C11)*$E11</f>
        <v>4</v>
      </c>
      <c r="BG11" s="141">
        <f>COUNTIFS(Year,BG$3,Month,MONTH(BG$5),Weekday,$C11)*$E11</f>
        <v>5</v>
      </c>
      <c r="BH11" s="141">
        <f>COUNTIFS(Year,BH$3,Month,MONTH(BH$5),Weekday,$C11)*$E11</f>
        <v>4</v>
      </c>
      <c r="BI11" s="141">
        <f>COUNTIFS(Year,BI$3,Month,MONTH(BI$5),Weekday,$C11)*$E11</f>
        <v>5</v>
      </c>
      <c r="BJ11" s="141">
        <f>COUNTIFS(Year,BJ$3,Month,MONTH(BJ$5),Weekday,$C11)*$E11</f>
        <v>4</v>
      </c>
      <c r="BK11" s="141">
        <f>COUNTIFS(Year,BK$3,Month,MONTH(BK$5),Weekday,$C11)*$E11</f>
        <v>4</v>
      </c>
      <c r="BL11" s="141">
        <f>COUNTIFS(Year,BL$3,Month,MONTH(BL$5),Weekday,$C11)*$E11</f>
        <v>4</v>
      </c>
      <c r="BM11" s="141">
        <f>COUNTIFS(Year,BM$3,Month,MONTH(BM$5),Weekday,$C11)*$E11</f>
        <v>5</v>
      </c>
      <c r="BN11" s="141">
        <f>COUNTIFS(Year,BN$3,Month,MONTH(BN$5),Weekday,$C11)*$E11</f>
        <v>4</v>
      </c>
      <c r="BO11" s="141"/>
    </row>
    <row r="12" ht="13.5" customHeight="1" outlineLevel="1">
      <c r="A12" s="138"/>
      <c r="B12" s="139"/>
      <c r="C12" s="138" t="s">
        <v>128</v>
      </c>
      <c r="D12" s="138"/>
      <c r="E12" s="149">
        <v>1.0</v>
      </c>
      <c r="F12" s="141"/>
      <c r="G12" s="141">
        <f>COUNTIFS(Year,G$3,Month,MONTH(G$5),Weekday,$C12)*$E12</f>
        <v>4</v>
      </c>
      <c r="H12" s="141">
        <f>COUNTIFS(Year,H$3,Month,MONTH(H$5),Weekday,$C12)*$E12</f>
        <v>5</v>
      </c>
      <c r="I12" s="141">
        <f>COUNTIFS(Year,I$3,Month,MONTH(I$5),Weekday,$C12)*$E12</f>
        <v>4</v>
      </c>
      <c r="J12" s="141">
        <f>COUNTIFS(Year,J$3,Month,MONTH(J$5),Weekday,$C12)*$E12</f>
        <v>5</v>
      </c>
      <c r="K12" s="141">
        <f>COUNTIFS(Year,K$3,Month,MONTH(K$5),Weekday,$C12)*$E12</f>
        <v>4</v>
      </c>
      <c r="L12" s="141">
        <f>COUNTIFS(Year,L$3,Month,MONTH(L$5),Weekday,$C12)*$E12</f>
        <v>4</v>
      </c>
      <c r="M12" s="141">
        <f>COUNTIFS(Year,M$3,Month,MONTH(M$5),Weekday,$C12)*$E12</f>
        <v>5</v>
      </c>
      <c r="N12" s="141">
        <f>COUNTIFS(Year,N$3,Month,MONTH(N$5),Weekday,$C12)*$E12</f>
        <v>4</v>
      </c>
      <c r="O12" s="141">
        <f>COUNTIFS(Year,O$3,Month,MONTH(O$5),Weekday,$C12)*$E12</f>
        <v>4</v>
      </c>
      <c r="P12" s="141">
        <f>COUNTIFS(Year,P$3,Month,MONTH(P$5),Weekday,$C12)*$E12</f>
        <v>5</v>
      </c>
      <c r="Q12" s="141">
        <f>COUNTIFS(Year,Q$3,Month,MONTH(Q$5),Weekday,$C12)*$E12</f>
        <v>4</v>
      </c>
      <c r="R12" s="141">
        <f>COUNTIFS(Year,R$3,Month,MONTH(R$5),Weekday,$C12)*$E12</f>
        <v>4</v>
      </c>
      <c r="S12" s="141">
        <f>COUNTIFS(Year,S$3,Month,MONTH(S$5),Weekday,$C12)*$E12</f>
        <v>5</v>
      </c>
      <c r="T12" s="141">
        <f>COUNTIFS(Year,T$3,Month,MONTH(T$5),Weekday,$C12)*$E12</f>
        <v>4</v>
      </c>
      <c r="U12" s="141">
        <f>COUNTIFS(Year,U$3,Month,MONTH(U$5),Weekday,$C12)*$E12</f>
        <v>4</v>
      </c>
      <c r="V12" s="141">
        <f>COUNTIFS(Year,V$3,Month,MONTH(V$5),Weekday,$C12)*$E12</f>
        <v>5</v>
      </c>
      <c r="W12" s="141">
        <f>COUNTIFS(Year,W$3,Month,MONTH(W$5),Weekday,$C12)*$E12</f>
        <v>4</v>
      </c>
      <c r="X12" s="141">
        <f>COUNTIFS(Year,X$3,Month,MONTH(X$5),Weekday,$C12)*$E12</f>
        <v>4</v>
      </c>
      <c r="Y12" s="141">
        <f>COUNTIFS(Year,Y$3,Month,MONTH(Y$5),Weekday,$C12)*$E12</f>
        <v>5</v>
      </c>
      <c r="Z12" s="141">
        <f>COUNTIFS(Year,Z$3,Month,MONTH(Z$5),Weekday,$C12)*$E12</f>
        <v>4</v>
      </c>
      <c r="AA12" s="141">
        <f>COUNTIFS(Year,AA$3,Month,MONTH(AA$5),Weekday,$C12)*$E12</f>
        <v>4</v>
      </c>
      <c r="AB12" s="141">
        <f>COUNTIFS(Year,AB$3,Month,MONTH(AB$5),Weekday,$C12)*$E12</f>
        <v>5</v>
      </c>
      <c r="AC12" s="141">
        <f>COUNTIFS(Year,AC$3,Month,MONTH(AC$5),Weekday,$C12)*$E12</f>
        <v>4</v>
      </c>
      <c r="AD12" s="141">
        <f>COUNTIFS(Year,AD$3,Month,MONTH(AD$5),Weekday,$C12)*$E12</f>
        <v>5</v>
      </c>
      <c r="AE12" s="141">
        <f>COUNTIFS(Year,AE$3,Month,MONTH(AE$5),Weekday,$C12)*$E12</f>
        <v>4</v>
      </c>
      <c r="AF12" s="141">
        <f>COUNTIFS(Year,AF$3,Month,MONTH(AF$5),Weekday,$C12)*$E12</f>
        <v>4</v>
      </c>
      <c r="AG12" s="141">
        <f>COUNTIFS(Year,AG$3,Month,MONTH(AG$5),Weekday,$C12)*$E12</f>
        <v>5</v>
      </c>
      <c r="AH12" s="141">
        <f>COUNTIFS(Year,AH$3,Month,MONTH(AH$5),Weekday,$C12)*$E12</f>
        <v>4</v>
      </c>
      <c r="AI12" s="141">
        <f>COUNTIFS(Year,AI$3,Month,MONTH(AI$5),Weekday,$C12)*$E12</f>
        <v>4</v>
      </c>
      <c r="AJ12" s="141">
        <f>COUNTIFS(Year,AJ$3,Month,MONTH(AJ$5),Weekday,$C12)*$E12</f>
        <v>5</v>
      </c>
      <c r="AK12" s="141">
        <f>COUNTIFS(Year,AK$3,Month,MONTH(AK$5),Weekday,$C12)*$E12</f>
        <v>4</v>
      </c>
      <c r="AL12" s="141">
        <f>COUNTIFS(Year,AL$3,Month,MONTH(AL$5),Weekday,$C12)*$E12</f>
        <v>5</v>
      </c>
      <c r="AM12" s="141">
        <f>COUNTIFS(Year,AM$3,Month,MONTH(AM$5),Weekday,$C12)*$E12</f>
        <v>4</v>
      </c>
      <c r="AN12" s="141">
        <f>COUNTIFS(Year,AN$3,Month,MONTH(AN$5),Weekday,$C12)*$E12</f>
        <v>4</v>
      </c>
      <c r="AO12" s="141">
        <f>COUNTIFS(Year,AO$3,Month,MONTH(AO$5),Weekday,$C12)*$E12</f>
        <v>4</v>
      </c>
      <c r="AP12" s="141">
        <f>COUNTIFS(Year,AP$3,Month,MONTH(AP$5),Weekday,$C12)*$E12</f>
        <v>5</v>
      </c>
      <c r="AQ12" s="141">
        <f>COUNTIFS(Year,AQ$3,Month,MONTH(AQ$5),Weekday,$C12)*$E12</f>
        <v>4</v>
      </c>
      <c r="AR12" s="141">
        <f>COUNTIFS(Year,AR$3,Month,MONTH(AR$5),Weekday,$C12)*$E12</f>
        <v>4</v>
      </c>
      <c r="AS12" s="141">
        <f>COUNTIFS(Year,AS$3,Month,MONTH(AS$5),Weekday,$C12)*$E12</f>
        <v>5</v>
      </c>
      <c r="AT12" s="141">
        <f>COUNTIFS(Year,AT$3,Month,MONTH(AT$5),Weekday,$C12)*$E12</f>
        <v>4</v>
      </c>
      <c r="AU12" s="141">
        <f>COUNTIFS(Year,AU$3,Month,MONTH(AU$5),Weekday,$C12)*$E12</f>
        <v>5</v>
      </c>
      <c r="AV12" s="141">
        <f>COUNTIFS(Year,AV$3,Month,MONTH(AV$5),Weekday,$C12)*$E12</f>
        <v>4</v>
      </c>
      <c r="AW12" s="141">
        <f>COUNTIFS(Year,AW$3,Month,MONTH(AW$5),Weekday,$C12)*$E12</f>
        <v>4</v>
      </c>
      <c r="AX12" s="141">
        <f>COUNTIFS(Year,AX$3,Month,MONTH(AX$5),Weekday,$C12)*$E12</f>
        <v>5</v>
      </c>
      <c r="AY12" s="141">
        <f>COUNTIFS(Year,AY$3,Month,MONTH(AY$5),Weekday,$C12)*$E12</f>
        <v>4</v>
      </c>
      <c r="AZ12" s="141">
        <f>COUNTIFS(Year,AZ$3,Month,MONTH(AZ$5),Weekday,$C12)*$E12</f>
        <v>4</v>
      </c>
      <c r="BA12" s="141">
        <f>COUNTIFS(Year,BA$3,Month,MONTH(BA$5),Weekday,$C12)*$E12</f>
        <v>4</v>
      </c>
      <c r="BB12" s="141">
        <f>COUNTIFS(Year,BB$3,Month,MONTH(BB$5),Weekday,$C12)*$E12</f>
        <v>5</v>
      </c>
      <c r="BC12" s="141">
        <f>COUNTIFS(Year,BC$3,Month,MONTH(BC$5),Weekday,$C12)*$E12</f>
        <v>4</v>
      </c>
      <c r="BD12" s="141">
        <f>COUNTIFS(Year,BD$3,Month,MONTH(BD$5),Weekday,$C12)*$E12</f>
        <v>5</v>
      </c>
      <c r="BE12" s="141">
        <f>COUNTIFS(Year,BE$3,Month,MONTH(BE$5),Weekday,$C12)*$E12</f>
        <v>4</v>
      </c>
      <c r="BF12" s="141">
        <f>COUNTIFS(Year,BF$3,Month,MONTH(BF$5),Weekday,$C12)*$E12</f>
        <v>4</v>
      </c>
      <c r="BG12" s="141">
        <f>COUNTIFS(Year,BG$3,Month,MONTH(BG$5),Weekday,$C12)*$E12</f>
        <v>5</v>
      </c>
      <c r="BH12" s="141">
        <f>COUNTIFS(Year,BH$3,Month,MONTH(BH$5),Weekday,$C12)*$E12</f>
        <v>4</v>
      </c>
      <c r="BI12" s="141">
        <f>COUNTIFS(Year,BI$3,Month,MONTH(BI$5),Weekday,$C12)*$E12</f>
        <v>4</v>
      </c>
      <c r="BJ12" s="141">
        <f>COUNTIFS(Year,BJ$3,Month,MONTH(BJ$5),Weekday,$C12)*$E12</f>
        <v>5</v>
      </c>
      <c r="BK12" s="141">
        <f>COUNTIFS(Year,BK$3,Month,MONTH(BK$5),Weekday,$C12)*$E12</f>
        <v>4</v>
      </c>
      <c r="BL12" s="141">
        <f>COUNTIFS(Year,BL$3,Month,MONTH(BL$5),Weekday,$C12)*$E12</f>
        <v>4</v>
      </c>
      <c r="BM12" s="141">
        <f>COUNTIFS(Year,BM$3,Month,MONTH(BM$5),Weekday,$C12)*$E12</f>
        <v>5</v>
      </c>
      <c r="BN12" s="141">
        <f>COUNTIFS(Year,BN$3,Month,MONTH(BN$5),Weekday,$C12)*$E12</f>
        <v>4</v>
      </c>
      <c r="BO12" s="141"/>
    </row>
    <row r="13" ht="13.5" customHeight="1" outlineLevel="1">
      <c r="A13" s="138"/>
      <c r="B13" s="139"/>
      <c r="C13" s="138" t="s">
        <v>129</v>
      </c>
      <c r="D13" s="138"/>
      <c r="E13" s="149">
        <v>1.0</v>
      </c>
      <c r="F13" s="141"/>
      <c r="G13" s="141">
        <f>COUNTIFS(Year,G$3,Month,MONTH(G$5),Weekday,$C13)*$E13</f>
        <v>4</v>
      </c>
      <c r="H13" s="141">
        <f>COUNTIFS(Year,H$3,Month,MONTH(H$5),Weekday,$C13)*$E13</f>
        <v>5</v>
      </c>
      <c r="I13" s="141">
        <f>COUNTIFS(Year,I$3,Month,MONTH(I$5),Weekday,$C13)*$E13</f>
        <v>4</v>
      </c>
      <c r="J13" s="141">
        <f>COUNTIFS(Year,J$3,Month,MONTH(J$5),Weekday,$C13)*$E13</f>
        <v>4</v>
      </c>
      <c r="K13" s="141">
        <f>COUNTIFS(Year,K$3,Month,MONTH(K$5),Weekday,$C13)*$E13</f>
        <v>5</v>
      </c>
      <c r="L13" s="141">
        <f>COUNTIFS(Year,L$3,Month,MONTH(L$5),Weekday,$C13)*$E13</f>
        <v>4</v>
      </c>
      <c r="M13" s="141">
        <f>COUNTIFS(Year,M$3,Month,MONTH(M$5),Weekday,$C13)*$E13</f>
        <v>5</v>
      </c>
      <c r="N13" s="141">
        <f>COUNTIFS(Year,N$3,Month,MONTH(N$5),Weekday,$C13)*$E13</f>
        <v>4</v>
      </c>
      <c r="O13" s="141">
        <f>COUNTIFS(Year,O$3,Month,MONTH(O$5),Weekday,$C13)*$E13</f>
        <v>4</v>
      </c>
      <c r="P13" s="141">
        <f>COUNTIFS(Year,P$3,Month,MONTH(P$5),Weekday,$C13)*$E13</f>
        <v>4</v>
      </c>
      <c r="Q13" s="141">
        <f>COUNTIFS(Year,Q$3,Month,MONTH(Q$5),Weekday,$C13)*$E13</f>
        <v>5</v>
      </c>
      <c r="R13" s="141">
        <f>COUNTIFS(Year,R$3,Month,MONTH(R$5),Weekday,$C13)*$E13</f>
        <v>4</v>
      </c>
      <c r="S13" s="141">
        <f>COUNTIFS(Year,S$3,Month,MONTH(S$5),Weekday,$C13)*$E13</f>
        <v>4</v>
      </c>
      <c r="T13" s="141">
        <f>COUNTIFS(Year,T$3,Month,MONTH(T$5),Weekday,$C13)*$E13</f>
        <v>5</v>
      </c>
      <c r="U13" s="141">
        <f>COUNTIFS(Year,U$3,Month,MONTH(U$5),Weekday,$C13)*$E13</f>
        <v>4</v>
      </c>
      <c r="V13" s="141">
        <f>COUNTIFS(Year,V$3,Month,MONTH(V$5),Weekday,$C13)*$E13</f>
        <v>5</v>
      </c>
      <c r="W13" s="141">
        <f>COUNTIFS(Year,W$3,Month,MONTH(W$5),Weekday,$C13)*$E13</f>
        <v>4</v>
      </c>
      <c r="X13" s="141">
        <f>COUNTIFS(Year,X$3,Month,MONTH(X$5),Weekday,$C13)*$E13</f>
        <v>4</v>
      </c>
      <c r="Y13" s="141">
        <f>COUNTIFS(Year,Y$3,Month,MONTH(Y$5),Weekday,$C13)*$E13</f>
        <v>5</v>
      </c>
      <c r="Z13" s="141">
        <f>COUNTIFS(Year,Z$3,Month,MONTH(Z$5),Weekday,$C13)*$E13</f>
        <v>4</v>
      </c>
      <c r="AA13" s="141">
        <f>COUNTIFS(Year,AA$3,Month,MONTH(AA$5),Weekday,$C13)*$E13</f>
        <v>4</v>
      </c>
      <c r="AB13" s="141">
        <f>COUNTIFS(Year,AB$3,Month,MONTH(AB$5),Weekday,$C13)*$E13</f>
        <v>5</v>
      </c>
      <c r="AC13" s="141">
        <f>COUNTIFS(Year,AC$3,Month,MONTH(AC$5),Weekday,$C13)*$E13</f>
        <v>4</v>
      </c>
      <c r="AD13" s="141">
        <f>COUNTIFS(Year,AD$3,Month,MONTH(AD$5),Weekday,$C13)*$E13</f>
        <v>4</v>
      </c>
      <c r="AE13" s="141">
        <f>COUNTIFS(Year,AE$3,Month,MONTH(AE$5),Weekday,$C13)*$E13</f>
        <v>5</v>
      </c>
      <c r="AF13" s="141">
        <f>COUNTIFS(Year,AF$3,Month,MONTH(AF$5),Weekday,$C13)*$E13</f>
        <v>4</v>
      </c>
      <c r="AG13" s="141">
        <f>COUNTIFS(Year,AG$3,Month,MONTH(AG$5),Weekday,$C13)*$E13</f>
        <v>5</v>
      </c>
      <c r="AH13" s="141">
        <f>COUNTIFS(Year,AH$3,Month,MONTH(AH$5),Weekday,$C13)*$E13</f>
        <v>4</v>
      </c>
      <c r="AI13" s="141">
        <f>COUNTIFS(Year,AI$3,Month,MONTH(AI$5),Weekday,$C13)*$E13</f>
        <v>4</v>
      </c>
      <c r="AJ13" s="141">
        <f>COUNTIFS(Year,AJ$3,Month,MONTH(AJ$5),Weekday,$C13)*$E13</f>
        <v>5</v>
      </c>
      <c r="AK13" s="141">
        <f>COUNTIFS(Year,AK$3,Month,MONTH(AK$5),Weekday,$C13)*$E13</f>
        <v>4</v>
      </c>
      <c r="AL13" s="141">
        <f>COUNTIFS(Year,AL$3,Month,MONTH(AL$5),Weekday,$C13)*$E13</f>
        <v>4</v>
      </c>
      <c r="AM13" s="141">
        <f>COUNTIFS(Year,AM$3,Month,MONTH(AM$5),Weekday,$C13)*$E13</f>
        <v>4</v>
      </c>
      <c r="AN13" s="141">
        <f>COUNTIFS(Year,AN$3,Month,MONTH(AN$5),Weekday,$C13)*$E13</f>
        <v>5</v>
      </c>
      <c r="AO13" s="141">
        <f>COUNTIFS(Year,AO$3,Month,MONTH(AO$5),Weekday,$C13)*$E13</f>
        <v>4</v>
      </c>
      <c r="AP13" s="141">
        <f>COUNTIFS(Year,AP$3,Month,MONTH(AP$5),Weekday,$C13)*$E13</f>
        <v>5</v>
      </c>
      <c r="AQ13" s="141">
        <f>COUNTIFS(Year,AQ$3,Month,MONTH(AQ$5),Weekday,$C13)*$E13</f>
        <v>4</v>
      </c>
      <c r="AR13" s="141">
        <f>COUNTIFS(Year,AR$3,Month,MONTH(AR$5),Weekday,$C13)*$E13</f>
        <v>4</v>
      </c>
      <c r="AS13" s="141">
        <f>COUNTIFS(Year,AS$3,Month,MONTH(AS$5),Weekday,$C13)*$E13</f>
        <v>5</v>
      </c>
      <c r="AT13" s="141">
        <f>COUNTIFS(Year,AT$3,Month,MONTH(AT$5),Weekday,$C13)*$E13</f>
        <v>4</v>
      </c>
      <c r="AU13" s="141">
        <f>COUNTIFS(Year,AU$3,Month,MONTH(AU$5),Weekday,$C13)*$E13</f>
        <v>4</v>
      </c>
      <c r="AV13" s="141">
        <f>COUNTIFS(Year,AV$3,Month,MONTH(AV$5),Weekday,$C13)*$E13</f>
        <v>5</v>
      </c>
      <c r="AW13" s="141">
        <f>COUNTIFS(Year,AW$3,Month,MONTH(AW$5),Weekday,$C13)*$E13</f>
        <v>4</v>
      </c>
      <c r="AX13" s="141">
        <f>COUNTIFS(Year,AX$3,Month,MONTH(AX$5),Weekday,$C13)*$E13</f>
        <v>5</v>
      </c>
      <c r="AY13" s="141">
        <f>COUNTIFS(Year,AY$3,Month,MONTH(AY$5),Weekday,$C13)*$E13</f>
        <v>4</v>
      </c>
      <c r="AZ13" s="141">
        <f>COUNTIFS(Year,AZ$3,Month,MONTH(AZ$5),Weekday,$C13)*$E13</f>
        <v>4</v>
      </c>
      <c r="BA13" s="141">
        <f>COUNTIFS(Year,BA$3,Month,MONTH(BA$5),Weekday,$C13)*$E13</f>
        <v>4</v>
      </c>
      <c r="BB13" s="141">
        <f>COUNTIFS(Year,BB$3,Month,MONTH(BB$5),Weekday,$C13)*$E13</f>
        <v>5</v>
      </c>
      <c r="BC13" s="141">
        <f>COUNTIFS(Year,BC$3,Month,MONTH(BC$5),Weekday,$C13)*$E13</f>
        <v>4</v>
      </c>
      <c r="BD13" s="141">
        <f>COUNTIFS(Year,BD$3,Month,MONTH(BD$5),Weekday,$C13)*$E13</f>
        <v>4</v>
      </c>
      <c r="BE13" s="141">
        <f>COUNTIFS(Year,BE$3,Month,MONTH(BE$5),Weekday,$C13)*$E13</f>
        <v>5</v>
      </c>
      <c r="BF13" s="141">
        <f>COUNTIFS(Year,BF$3,Month,MONTH(BF$5),Weekday,$C13)*$E13</f>
        <v>4</v>
      </c>
      <c r="BG13" s="141">
        <f>COUNTIFS(Year,BG$3,Month,MONTH(BG$5),Weekday,$C13)*$E13</f>
        <v>5</v>
      </c>
      <c r="BH13" s="141">
        <f>COUNTIFS(Year,BH$3,Month,MONTH(BH$5),Weekday,$C13)*$E13</f>
        <v>4</v>
      </c>
      <c r="BI13" s="141">
        <f>COUNTIFS(Year,BI$3,Month,MONTH(BI$5),Weekday,$C13)*$E13</f>
        <v>4</v>
      </c>
      <c r="BJ13" s="141">
        <f>COUNTIFS(Year,BJ$3,Month,MONTH(BJ$5),Weekday,$C13)*$E13</f>
        <v>5</v>
      </c>
      <c r="BK13" s="141">
        <f>COUNTIFS(Year,BK$3,Month,MONTH(BK$5),Weekday,$C13)*$E13</f>
        <v>4</v>
      </c>
      <c r="BL13" s="141">
        <f>COUNTIFS(Year,BL$3,Month,MONTH(BL$5),Weekday,$C13)*$E13</f>
        <v>4</v>
      </c>
      <c r="BM13" s="141">
        <f>COUNTIFS(Year,BM$3,Month,MONTH(BM$5),Weekday,$C13)*$E13</f>
        <v>4</v>
      </c>
      <c r="BN13" s="141">
        <f>COUNTIFS(Year,BN$3,Month,MONTH(BN$5),Weekday,$C13)*$E13</f>
        <v>5</v>
      </c>
      <c r="BO13" s="141"/>
    </row>
    <row r="14" ht="13.5" customHeight="1" outlineLevel="1">
      <c r="A14" s="138"/>
      <c r="B14" s="139"/>
      <c r="C14" s="138" t="s">
        <v>130</v>
      </c>
      <c r="D14" s="138"/>
      <c r="E14" s="149">
        <v>1.0</v>
      </c>
      <c r="F14" s="141"/>
      <c r="G14" s="141">
        <f>COUNTIFS(Year,G$3,Month,MONTH(G$5),Weekday,$C14)*$E14</f>
        <v>4</v>
      </c>
      <c r="H14" s="141">
        <f>COUNTIFS(Year,H$3,Month,MONTH(H$5),Weekday,$C14)*$E14</f>
        <v>5</v>
      </c>
      <c r="I14" s="141">
        <f>COUNTIFS(Year,I$3,Month,MONTH(I$5),Weekday,$C14)*$E14</f>
        <v>4</v>
      </c>
      <c r="J14" s="141">
        <f>COUNTIFS(Year,J$3,Month,MONTH(J$5),Weekday,$C14)*$E14</f>
        <v>4</v>
      </c>
      <c r="K14" s="141">
        <f>COUNTIFS(Year,K$3,Month,MONTH(K$5),Weekday,$C14)*$E14</f>
        <v>5</v>
      </c>
      <c r="L14" s="141">
        <f>COUNTIFS(Year,L$3,Month,MONTH(L$5),Weekday,$C14)*$E14</f>
        <v>4</v>
      </c>
      <c r="M14" s="141">
        <f>COUNTIFS(Year,M$3,Month,MONTH(M$5),Weekday,$C14)*$E14</f>
        <v>4</v>
      </c>
      <c r="N14" s="141">
        <f>COUNTIFS(Year,N$3,Month,MONTH(N$5),Weekday,$C14)*$E14</f>
        <v>5</v>
      </c>
      <c r="O14" s="141">
        <f>COUNTIFS(Year,O$3,Month,MONTH(O$5),Weekday,$C14)*$E14</f>
        <v>4</v>
      </c>
      <c r="P14" s="141">
        <f>COUNTIFS(Year,P$3,Month,MONTH(P$5),Weekday,$C14)*$E14</f>
        <v>4</v>
      </c>
      <c r="Q14" s="141">
        <f>COUNTIFS(Year,Q$3,Month,MONTH(Q$5),Weekday,$C14)*$E14</f>
        <v>5</v>
      </c>
      <c r="R14" s="141">
        <f>COUNTIFS(Year,R$3,Month,MONTH(R$5),Weekday,$C14)*$E14</f>
        <v>4</v>
      </c>
      <c r="S14" s="141">
        <f>COUNTIFS(Year,S$3,Month,MONTH(S$5),Weekday,$C14)*$E14</f>
        <v>4</v>
      </c>
      <c r="T14" s="141">
        <f>COUNTIFS(Year,T$3,Month,MONTH(T$5),Weekday,$C14)*$E14</f>
        <v>5</v>
      </c>
      <c r="U14" s="141">
        <f>COUNTIFS(Year,U$3,Month,MONTH(U$5),Weekday,$C14)*$E14</f>
        <v>4</v>
      </c>
      <c r="V14" s="141">
        <f>COUNTIFS(Year,V$3,Month,MONTH(V$5),Weekday,$C14)*$E14</f>
        <v>4</v>
      </c>
      <c r="W14" s="141">
        <f>COUNTIFS(Year,W$3,Month,MONTH(W$5),Weekday,$C14)*$E14</f>
        <v>5</v>
      </c>
      <c r="X14" s="141">
        <f>COUNTIFS(Year,X$3,Month,MONTH(X$5),Weekday,$C14)*$E14</f>
        <v>4</v>
      </c>
      <c r="Y14" s="141">
        <f>COUNTIFS(Year,Y$3,Month,MONTH(Y$5),Weekday,$C14)*$E14</f>
        <v>5</v>
      </c>
      <c r="Z14" s="141">
        <f>COUNTIFS(Year,Z$3,Month,MONTH(Z$5),Weekday,$C14)*$E14</f>
        <v>4</v>
      </c>
      <c r="AA14" s="141">
        <f>COUNTIFS(Year,AA$3,Month,MONTH(AA$5),Weekday,$C14)*$E14</f>
        <v>4</v>
      </c>
      <c r="AB14" s="141">
        <f>COUNTIFS(Year,AB$3,Month,MONTH(AB$5),Weekday,$C14)*$E14</f>
        <v>5</v>
      </c>
      <c r="AC14" s="141">
        <f>COUNTIFS(Year,AC$3,Month,MONTH(AC$5),Weekday,$C14)*$E14</f>
        <v>4</v>
      </c>
      <c r="AD14" s="141">
        <f>COUNTIFS(Year,AD$3,Month,MONTH(AD$5),Weekday,$C14)*$E14</f>
        <v>4</v>
      </c>
      <c r="AE14" s="141">
        <f>COUNTIFS(Year,AE$3,Month,MONTH(AE$5),Weekday,$C14)*$E14</f>
        <v>5</v>
      </c>
      <c r="AF14" s="141">
        <f>COUNTIFS(Year,AF$3,Month,MONTH(AF$5),Weekday,$C14)*$E14</f>
        <v>4</v>
      </c>
      <c r="AG14" s="141">
        <f>COUNTIFS(Year,AG$3,Month,MONTH(AG$5),Weekday,$C14)*$E14</f>
        <v>4</v>
      </c>
      <c r="AH14" s="141">
        <f>COUNTIFS(Year,AH$3,Month,MONTH(AH$5),Weekday,$C14)*$E14</f>
        <v>5</v>
      </c>
      <c r="AI14" s="141">
        <f>COUNTIFS(Year,AI$3,Month,MONTH(AI$5),Weekday,$C14)*$E14</f>
        <v>4</v>
      </c>
      <c r="AJ14" s="141">
        <f>COUNTIFS(Year,AJ$3,Month,MONTH(AJ$5),Weekday,$C14)*$E14</f>
        <v>4</v>
      </c>
      <c r="AK14" s="141">
        <f>COUNTIFS(Year,AK$3,Month,MONTH(AK$5),Weekday,$C14)*$E14</f>
        <v>5</v>
      </c>
      <c r="AL14" s="141">
        <f>COUNTIFS(Year,AL$3,Month,MONTH(AL$5),Weekday,$C14)*$E14</f>
        <v>4</v>
      </c>
      <c r="AM14" s="141">
        <f>COUNTIFS(Year,AM$3,Month,MONTH(AM$5),Weekday,$C14)*$E14</f>
        <v>4</v>
      </c>
      <c r="AN14" s="141">
        <f>COUNTIFS(Year,AN$3,Month,MONTH(AN$5),Weekday,$C14)*$E14</f>
        <v>5</v>
      </c>
      <c r="AO14" s="141">
        <f>COUNTIFS(Year,AO$3,Month,MONTH(AO$5),Weekday,$C14)*$E14</f>
        <v>4</v>
      </c>
      <c r="AP14" s="141">
        <f>COUNTIFS(Year,AP$3,Month,MONTH(AP$5),Weekday,$C14)*$E14</f>
        <v>4</v>
      </c>
      <c r="AQ14" s="141">
        <f>COUNTIFS(Year,AQ$3,Month,MONTH(AQ$5),Weekday,$C14)*$E14</f>
        <v>5</v>
      </c>
      <c r="AR14" s="141">
        <f>COUNTIFS(Year,AR$3,Month,MONTH(AR$5),Weekday,$C14)*$E14</f>
        <v>4</v>
      </c>
      <c r="AS14" s="141">
        <f>COUNTIFS(Year,AS$3,Month,MONTH(AS$5),Weekday,$C14)*$E14</f>
        <v>5</v>
      </c>
      <c r="AT14" s="141">
        <f>COUNTIFS(Year,AT$3,Month,MONTH(AT$5),Weekday,$C14)*$E14</f>
        <v>4</v>
      </c>
      <c r="AU14" s="141">
        <f>COUNTIFS(Year,AU$3,Month,MONTH(AU$5),Weekday,$C14)*$E14</f>
        <v>4</v>
      </c>
      <c r="AV14" s="141">
        <f>COUNTIFS(Year,AV$3,Month,MONTH(AV$5),Weekday,$C14)*$E14</f>
        <v>5</v>
      </c>
      <c r="AW14" s="141">
        <f>COUNTIFS(Year,AW$3,Month,MONTH(AW$5),Weekday,$C14)*$E14</f>
        <v>4</v>
      </c>
      <c r="AX14" s="141">
        <f>COUNTIFS(Year,AX$3,Month,MONTH(AX$5),Weekday,$C14)*$E14</f>
        <v>4</v>
      </c>
      <c r="AY14" s="141">
        <f>COUNTIFS(Year,AY$3,Month,MONTH(AY$5),Weekday,$C14)*$E14</f>
        <v>4</v>
      </c>
      <c r="AZ14" s="141">
        <f>COUNTIFS(Year,AZ$3,Month,MONTH(AZ$5),Weekday,$C14)*$E14</f>
        <v>5</v>
      </c>
      <c r="BA14" s="141">
        <f>COUNTIFS(Year,BA$3,Month,MONTH(BA$5),Weekday,$C14)*$E14</f>
        <v>4</v>
      </c>
      <c r="BB14" s="141">
        <f>COUNTIFS(Year,BB$3,Month,MONTH(BB$5),Weekday,$C14)*$E14</f>
        <v>5</v>
      </c>
      <c r="BC14" s="141">
        <f>COUNTIFS(Year,BC$3,Month,MONTH(BC$5),Weekday,$C14)*$E14</f>
        <v>4</v>
      </c>
      <c r="BD14" s="141">
        <f>COUNTIFS(Year,BD$3,Month,MONTH(BD$5),Weekday,$C14)*$E14</f>
        <v>4</v>
      </c>
      <c r="BE14" s="141">
        <f>COUNTIFS(Year,BE$3,Month,MONTH(BE$5),Weekday,$C14)*$E14</f>
        <v>5</v>
      </c>
      <c r="BF14" s="141">
        <f>COUNTIFS(Year,BF$3,Month,MONTH(BF$5),Weekday,$C14)*$E14</f>
        <v>4</v>
      </c>
      <c r="BG14" s="141">
        <f>COUNTIFS(Year,BG$3,Month,MONTH(BG$5),Weekday,$C14)*$E14</f>
        <v>4</v>
      </c>
      <c r="BH14" s="141">
        <f>COUNTIFS(Year,BH$3,Month,MONTH(BH$5),Weekday,$C14)*$E14</f>
        <v>5</v>
      </c>
      <c r="BI14" s="141">
        <f>COUNTIFS(Year,BI$3,Month,MONTH(BI$5),Weekday,$C14)*$E14</f>
        <v>4</v>
      </c>
      <c r="BJ14" s="141">
        <f>COUNTIFS(Year,BJ$3,Month,MONTH(BJ$5),Weekday,$C14)*$E14</f>
        <v>5</v>
      </c>
      <c r="BK14" s="141">
        <f>COUNTIFS(Year,BK$3,Month,MONTH(BK$5),Weekday,$C14)*$E14</f>
        <v>4</v>
      </c>
      <c r="BL14" s="141">
        <f>COUNTIFS(Year,BL$3,Month,MONTH(BL$5),Weekday,$C14)*$E14</f>
        <v>4</v>
      </c>
      <c r="BM14" s="141">
        <f>COUNTIFS(Year,BM$3,Month,MONTH(BM$5),Weekday,$C14)*$E14</f>
        <v>4</v>
      </c>
      <c r="BN14" s="141">
        <f>COUNTIFS(Year,BN$3,Month,MONTH(BN$5),Weekday,$C14)*$E14</f>
        <v>5</v>
      </c>
      <c r="BO14" s="141"/>
    </row>
    <row r="15" ht="13.5" customHeight="1" outlineLevel="1">
      <c r="A15" s="138"/>
      <c r="B15" s="139"/>
      <c r="C15" s="138" t="s">
        <v>131</v>
      </c>
      <c r="D15" s="138"/>
      <c r="E15" s="149">
        <v>1.0</v>
      </c>
      <c r="F15" s="141"/>
      <c r="G15" s="141">
        <f>COUNTIFS(Year,G$3,Month,MONTH(G$5),Weekday,$C15)*$E15</f>
        <v>4</v>
      </c>
      <c r="H15" s="141">
        <f>COUNTIFS(Year,H$3,Month,MONTH(H$5),Weekday,$C15)*$E15</f>
        <v>4</v>
      </c>
      <c r="I15" s="141">
        <f>COUNTIFS(Year,I$3,Month,MONTH(I$5),Weekday,$C15)*$E15</f>
        <v>5</v>
      </c>
      <c r="J15" s="141">
        <f>COUNTIFS(Year,J$3,Month,MONTH(J$5),Weekday,$C15)*$E15</f>
        <v>4</v>
      </c>
      <c r="K15" s="141">
        <f>COUNTIFS(Year,K$3,Month,MONTH(K$5),Weekday,$C15)*$E15</f>
        <v>5</v>
      </c>
      <c r="L15" s="141">
        <f>COUNTIFS(Year,L$3,Month,MONTH(L$5),Weekday,$C15)*$E15</f>
        <v>4</v>
      </c>
      <c r="M15" s="141">
        <f>COUNTIFS(Year,M$3,Month,MONTH(M$5),Weekday,$C15)*$E15</f>
        <v>4</v>
      </c>
      <c r="N15" s="141">
        <f>COUNTIFS(Year,N$3,Month,MONTH(N$5),Weekday,$C15)*$E15</f>
        <v>5</v>
      </c>
      <c r="O15" s="141">
        <f>COUNTIFS(Year,O$3,Month,MONTH(O$5),Weekday,$C15)*$E15</f>
        <v>4</v>
      </c>
      <c r="P15" s="141">
        <f>COUNTIFS(Year,P$3,Month,MONTH(P$5),Weekday,$C15)*$E15</f>
        <v>4</v>
      </c>
      <c r="Q15" s="141">
        <f>COUNTIFS(Year,Q$3,Month,MONTH(Q$5),Weekday,$C15)*$E15</f>
        <v>4</v>
      </c>
      <c r="R15" s="141">
        <f>COUNTIFS(Year,R$3,Month,MONTH(R$5),Weekday,$C15)*$E15</f>
        <v>5</v>
      </c>
      <c r="S15" s="141">
        <f>COUNTIFS(Year,S$3,Month,MONTH(S$5),Weekday,$C15)*$E15</f>
        <v>4</v>
      </c>
      <c r="T15" s="141">
        <f>COUNTIFS(Year,T$3,Month,MONTH(T$5),Weekday,$C15)*$E15</f>
        <v>5</v>
      </c>
      <c r="U15" s="141">
        <f>COUNTIFS(Year,U$3,Month,MONTH(U$5),Weekday,$C15)*$E15</f>
        <v>4</v>
      </c>
      <c r="V15" s="141">
        <f>COUNTIFS(Year,V$3,Month,MONTH(V$5),Weekday,$C15)*$E15</f>
        <v>4</v>
      </c>
      <c r="W15" s="141">
        <f>COUNTIFS(Year,W$3,Month,MONTH(W$5),Weekday,$C15)*$E15</f>
        <v>5</v>
      </c>
      <c r="X15" s="141">
        <f>COUNTIFS(Year,X$3,Month,MONTH(X$5),Weekday,$C15)*$E15</f>
        <v>4</v>
      </c>
      <c r="Y15" s="141">
        <f>COUNTIFS(Year,Y$3,Month,MONTH(Y$5),Weekday,$C15)*$E15</f>
        <v>4</v>
      </c>
      <c r="Z15" s="141">
        <f>COUNTIFS(Year,Z$3,Month,MONTH(Z$5),Weekday,$C15)*$E15</f>
        <v>5</v>
      </c>
      <c r="AA15" s="141">
        <f>COUNTIFS(Year,AA$3,Month,MONTH(AA$5),Weekday,$C15)*$E15</f>
        <v>4</v>
      </c>
      <c r="AB15" s="141">
        <f>COUNTIFS(Year,AB$3,Month,MONTH(AB$5),Weekday,$C15)*$E15</f>
        <v>4</v>
      </c>
      <c r="AC15" s="141">
        <f>COUNTIFS(Year,AC$3,Month,MONTH(AC$5),Weekday,$C15)*$E15</f>
        <v>5</v>
      </c>
      <c r="AD15" s="141">
        <f>COUNTIFS(Year,AD$3,Month,MONTH(AD$5),Weekday,$C15)*$E15</f>
        <v>4</v>
      </c>
      <c r="AE15" s="141">
        <f>COUNTIFS(Year,AE$3,Month,MONTH(AE$5),Weekday,$C15)*$E15</f>
        <v>4</v>
      </c>
      <c r="AF15" s="141">
        <f>COUNTIFS(Year,AF$3,Month,MONTH(AF$5),Weekday,$C15)*$E15</f>
        <v>5</v>
      </c>
      <c r="AG15" s="141">
        <f>COUNTIFS(Year,AG$3,Month,MONTH(AG$5),Weekday,$C15)*$E15</f>
        <v>4</v>
      </c>
      <c r="AH15" s="141">
        <f>COUNTIFS(Year,AH$3,Month,MONTH(AH$5),Weekday,$C15)*$E15</f>
        <v>5</v>
      </c>
      <c r="AI15" s="141">
        <f>COUNTIFS(Year,AI$3,Month,MONTH(AI$5),Weekday,$C15)*$E15</f>
        <v>4</v>
      </c>
      <c r="AJ15" s="141">
        <f>COUNTIFS(Year,AJ$3,Month,MONTH(AJ$5),Weekday,$C15)*$E15</f>
        <v>4</v>
      </c>
      <c r="AK15" s="141">
        <f>COUNTIFS(Year,AK$3,Month,MONTH(AK$5),Weekday,$C15)*$E15</f>
        <v>5</v>
      </c>
      <c r="AL15" s="141">
        <f>COUNTIFS(Year,AL$3,Month,MONTH(AL$5),Weekday,$C15)*$E15</f>
        <v>4</v>
      </c>
      <c r="AM15" s="141">
        <f>COUNTIFS(Year,AM$3,Month,MONTH(AM$5),Weekday,$C15)*$E15</f>
        <v>4</v>
      </c>
      <c r="AN15" s="141">
        <f>COUNTIFS(Year,AN$3,Month,MONTH(AN$5),Weekday,$C15)*$E15</f>
        <v>5</v>
      </c>
      <c r="AO15" s="141">
        <f>COUNTIFS(Year,AO$3,Month,MONTH(AO$5),Weekday,$C15)*$E15</f>
        <v>4</v>
      </c>
      <c r="AP15" s="141">
        <f>COUNTIFS(Year,AP$3,Month,MONTH(AP$5),Weekday,$C15)*$E15</f>
        <v>4</v>
      </c>
      <c r="AQ15" s="141">
        <f>COUNTIFS(Year,AQ$3,Month,MONTH(AQ$5),Weekday,$C15)*$E15</f>
        <v>5</v>
      </c>
      <c r="AR15" s="141">
        <f>COUNTIFS(Year,AR$3,Month,MONTH(AR$5),Weekday,$C15)*$E15</f>
        <v>4</v>
      </c>
      <c r="AS15" s="141">
        <f>COUNTIFS(Year,AS$3,Month,MONTH(AS$5),Weekday,$C15)*$E15</f>
        <v>4</v>
      </c>
      <c r="AT15" s="141">
        <f>COUNTIFS(Year,AT$3,Month,MONTH(AT$5),Weekday,$C15)*$E15</f>
        <v>5</v>
      </c>
      <c r="AU15" s="141">
        <f>COUNTIFS(Year,AU$3,Month,MONTH(AU$5),Weekday,$C15)*$E15</f>
        <v>4</v>
      </c>
      <c r="AV15" s="141">
        <f>COUNTIFS(Year,AV$3,Month,MONTH(AV$5),Weekday,$C15)*$E15</f>
        <v>4</v>
      </c>
      <c r="AW15" s="141">
        <f>COUNTIFS(Year,AW$3,Month,MONTH(AW$5),Weekday,$C15)*$E15</f>
        <v>5</v>
      </c>
      <c r="AX15" s="141">
        <f>COUNTIFS(Year,AX$3,Month,MONTH(AX$5),Weekday,$C15)*$E15</f>
        <v>4</v>
      </c>
      <c r="AY15" s="141">
        <f>COUNTIFS(Year,AY$3,Month,MONTH(AY$5),Weekday,$C15)*$E15</f>
        <v>4</v>
      </c>
      <c r="AZ15" s="141">
        <f>COUNTIFS(Year,AZ$3,Month,MONTH(AZ$5),Weekday,$C15)*$E15</f>
        <v>5</v>
      </c>
      <c r="BA15" s="141">
        <f>COUNTIFS(Year,BA$3,Month,MONTH(BA$5),Weekday,$C15)*$E15</f>
        <v>4</v>
      </c>
      <c r="BB15" s="141">
        <f>COUNTIFS(Year,BB$3,Month,MONTH(BB$5),Weekday,$C15)*$E15</f>
        <v>4</v>
      </c>
      <c r="BC15" s="141">
        <f>COUNTIFS(Year,BC$3,Month,MONTH(BC$5),Weekday,$C15)*$E15</f>
        <v>5</v>
      </c>
      <c r="BD15" s="141">
        <f>COUNTIFS(Year,BD$3,Month,MONTH(BD$5),Weekday,$C15)*$E15</f>
        <v>4</v>
      </c>
      <c r="BE15" s="141">
        <f>COUNTIFS(Year,BE$3,Month,MONTH(BE$5),Weekday,$C15)*$E15</f>
        <v>5</v>
      </c>
      <c r="BF15" s="141">
        <f>COUNTIFS(Year,BF$3,Month,MONTH(BF$5),Weekday,$C15)*$E15</f>
        <v>4</v>
      </c>
      <c r="BG15" s="141">
        <f>COUNTIFS(Year,BG$3,Month,MONTH(BG$5),Weekday,$C15)*$E15</f>
        <v>4</v>
      </c>
      <c r="BH15" s="141">
        <f>COUNTIFS(Year,BH$3,Month,MONTH(BH$5),Weekday,$C15)*$E15</f>
        <v>5</v>
      </c>
      <c r="BI15" s="141">
        <f>COUNTIFS(Year,BI$3,Month,MONTH(BI$5),Weekday,$C15)*$E15</f>
        <v>4</v>
      </c>
      <c r="BJ15" s="141">
        <f>COUNTIFS(Year,BJ$3,Month,MONTH(BJ$5),Weekday,$C15)*$E15</f>
        <v>4</v>
      </c>
      <c r="BK15" s="141">
        <f>COUNTIFS(Year,BK$3,Month,MONTH(BK$5),Weekday,$C15)*$E15</f>
        <v>4</v>
      </c>
      <c r="BL15" s="141">
        <f>COUNTIFS(Year,BL$3,Month,MONTH(BL$5),Weekday,$C15)*$E15</f>
        <v>5</v>
      </c>
      <c r="BM15" s="141">
        <f>COUNTIFS(Year,BM$3,Month,MONTH(BM$5),Weekday,$C15)*$E15</f>
        <v>4</v>
      </c>
      <c r="BN15" s="141">
        <f>COUNTIFS(Year,BN$3,Month,MONTH(BN$5),Weekday,$C15)*$E15</f>
        <v>5</v>
      </c>
      <c r="BO15" s="141"/>
    </row>
    <row r="16" ht="13.5" customHeight="1" outlineLevel="1">
      <c r="A16" s="138"/>
      <c r="B16" s="139"/>
      <c r="C16" s="138" t="s">
        <v>132</v>
      </c>
      <c r="D16" s="138"/>
      <c r="E16" s="149">
        <v>1.0</v>
      </c>
      <c r="F16" s="141"/>
      <c r="G16" s="141">
        <f>COUNTIFS(Year,G$3,Month,MONTH(G$5),Weekday,$C16)*$E16</f>
        <v>4</v>
      </c>
      <c r="H16" s="141">
        <f>COUNTIFS(Year,H$3,Month,MONTH(H$5),Weekday,$C16)*$E16</f>
        <v>4</v>
      </c>
      <c r="I16" s="141">
        <f>COUNTIFS(Year,I$3,Month,MONTH(I$5),Weekday,$C16)*$E16</f>
        <v>5</v>
      </c>
      <c r="J16" s="141">
        <f>COUNTIFS(Year,J$3,Month,MONTH(J$5),Weekday,$C16)*$E16</f>
        <v>4</v>
      </c>
      <c r="K16" s="141">
        <f>COUNTIFS(Year,K$3,Month,MONTH(K$5),Weekday,$C16)*$E16</f>
        <v>4</v>
      </c>
      <c r="L16" s="141">
        <f>COUNTIFS(Year,L$3,Month,MONTH(L$5),Weekday,$C16)*$E16</f>
        <v>5</v>
      </c>
      <c r="M16" s="141">
        <f>COUNTIFS(Year,M$3,Month,MONTH(M$5),Weekday,$C16)*$E16</f>
        <v>4</v>
      </c>
      <c r="N16" s="141">
        <f>COUNTIFS(Year,N$3,Month,MONTH(N$5),Weekday,$C16)*$E16</f>
        <v>5</v>
      </c>
      <c r="O16" s="141">
        <f>COUNTIFS(Year,O$3,Month,MONTH(O$5),Weekday,$C16)*$E16</f>
        <v>4</v>
      </c>
      <c r="P16" s="141">
        <f>COUNTIFS(Year,P$3,Month,MONTH(P$5),Weekday,$C16)*$E16</f>
        <v>4</v>
      </c>
      <c r="Q16" s="141">
        <f>COUNTIFS(Year,Q$3,Month,MONTH(Q$5),Weekday,$C16)*$E16</f>
        <v>4</v>
      </c>
      <c r="R16" s="141">
        <f>COUNTIFS(Year,R$3,Month,MONTH(R$5),Weekday,$C16)*$E16</f>
        <v>5</v>
      </c>
      <c r="S16" s="141">
        <f>COUNTIFS(Year,S$3,Month,MONTH(S$5),Weekday,$C16)*$E16</f>
        <v>4</v>
      </c>
      <c r="T16" s="141">
        <f>COUNTIFS(Year,T$3,Month,MONTH(T$5),Weekday,$C16)*$E16</f>
        <v>4</v>
      </c>
      <c r="U16" s="141">
        <f>COUNTIFS(Year,U$3,Month,MONTH(U$5),Weekday,$C16)*$E16</f>
        <v>5</v>
      </c>
      <c r="V16" s="141">
        <f>COUNTIFS(Year,V$3,Month,MONTH(V$5),Weekday,$C16)*$E16</f>
        <v>4</v>
      </c>
      <c r="W16" s="141">
        <f>COUNTIFS(Year,W$3,Month,MONTH(W$5),Weekday,$C16)*$E16</f>
        <v>5</v>
      </c>
      <c r="X16" s="141">
        <f>COUNTIFS(Year,X$3,Month,MONTH(X$5),Weekday,$C16)*$E16</f>
        <v>4</v>
      </c>
      <c r="Y16" s="141">
        <f>COUNTIFS(Year,Y$3,Month,MONTH(Y$5),Weekday,$C16)*$E16</f>
        <v>4</v>
      </c>
      <c r="Z16" s="141">
        <f>COUNTIFS(Year,Z$3,Month,MONTH(Z$5),Weekday,$C16)*$E16</f>
        <v>5</v>
      </c>
      <c r="AA16" s="141">
        <f>COUNTIFS(Year,AA$3,Month,MONTH(AA$5),Weekday,$C16)*$E16</f>
        <v>4</v>
      </c>
      <c r="AB16" s="141">
        <f>COUNTIFS(Year,AB$3,Month,MONTH(AB$5),Weekday,$C16)*$E16</f>
        <v>4</v>
      </c>
      <c r="AC16" s="141">
        <f>COUNTIFS(Year,AC$3,Month,MONTH(AC$5),Weekday,$C16)*$E16</f>
        <v>5</v>
      </c>
      <c r="AD16" s="141">
        <f>COUNTIFS(Year,AD$3,Month,MONTH(AD$5),Weekday,$C16)*$E16</f>
        <v>4</v>
      </c>
      <c r="AE16" s="141">
        <f>COUNTIFS(Year,AE$3,Month,MONTH(AE$5),Weekday,$C16)*$E16</f>
        <v>4</v>
      </c>
      <c r="AF16" s="141">
        <f>COUNTIFS(Year,AF$3,Month,MONTH(AF$5),Weekday,$C16)*$E16</f>
        <v>5</v>
      </c>
      <c r="AG16" s="141">
        <f>COUNTIFS(Year,AG$3,Month,MONTH(AG$5),Weekday,$C16)*$E16</f>
        <v>4</v>
      </c>
      <c r="AH16" s="141">
        <f>COUNTIFS(Year,AH$3,Month,MONTH(AH$5),Weekday,$C16)*$E16</f>
        <v>4</v>
      </c>
      <c r="AI16" s="141">
        <f>COUNTIFS(Year,AI$3,Month,MONTH(AI$5),Weekday,$C16)*$E16</f>
        <v>5</v>
      </c>
      <c r="AJ16" s="141">
        <f>COUNTIFS(Year,AJ$3,Month,MONTH(AJ$5),Weekday,$C16)*$E16</f>
        <v>4</v>
      </c>
      <c r="AK16" s="141">
        <f>COUNTIFS(Year,AK$3,Month,MONTH(AK$5),Weekday,$C16)*$E16</f>
        <v>5</v>
      </c>
      <c r="AL16" s="141">
        <f>COUNTIFS(Year,AL$3,Month,MONTH(AL$5),Weekday,$C16)*$E16</f>
        <v>4</v>
      </c>
      <c r="AM16" s="141">
        <f>COUNTIFS(Year,AM$3,Month,MONTH(AM$5),Weekday,$C16)*$E16</f>
        <v>4</v>
      </c>
      <c r="AN16" s="141">
        <f>COUNTIFS(Year,AN$3,Month,MONTH(AN$5),Weekday,$C16)*$E16</f>
        <v>4</v>
      </c>
      <c r="AO16" s="141">
        <f>COUNTIFS(Year,AO$3,Month,MONTH(AO$5),Weekday,$C16)*$E16</f>
        <v>5</v>
      </c>
      <c r="AP16" s="141">
        <f>COUNTIFS(Year,AP$3,Month,MONTH(AP$5),Weekday,$C16)*$E16</f>
        <v>4</v>
      </c>
      <c r="AQ16" s="141">
        <f>COUNTIFS(Year,AQ$3,Month,MONTH(AQ$5),Weekday,$C16)*$E16</f>
        <v>4</v>
      </c>
      <c r="AR16" s="141">
        <f>COUNTIFS(Year,AR$3,Month,MONTH(AR$5),Weekday,$C16)*$E16</f>
        <v>5</v>
      </c>
      <c r="AS16" s="141">
        <f>COUNTIFS(Year,AS$3,Month,MONTH(AS$5),Weekday,$C16)*$E16</f>
        <v>4</v>
      </c>
      <c r="AT16" s="141">
        <f>COUNTIFS(Year,AT$3,Month,MONTH(AT$5),Weekday,$C16)*$E16</f>
        <v>5</v>
      </c>
      <c r="AU16" s="141">
        <f>COUNTIFS(Year,AU$3,Month,MONTH(AU$5),Weekday,$C16)*$E16</f>
        <v>4</v>
      </c>
      <c r="AV16" s="141">
        <f>COUNTIFS(Year,AV$3,Month,MONTH(AV$5),Weekday,$C16)*$E16</f>
        <v>4</v>
      </c>
      <c r="AW16" s="141">
        <f>COUNTIFS(Year,AW$3,Month,MONTH(AW$5),Weekday,$C16)*$E16</f>
        <v>5</v>
      </c>
      <c r="AX16" s="141">
        <f>COUNTIFS(Year,AX$3,Month,MONTH(AX$5),Weekday,$C16)*$E16</f>
        <v>4</v>
      </c>
      <c r="AY16" s="141">
        <f>COUNTIFS(Year,AY$3,Month,MONTH(AY$5),Weekday,$C16)*$E16</f>
        <v>4</v>
      </c>
      <c r="AZ16" s="141">
        <f>COUNTIFS(Year,AZ$3,Month,MONTH(AZ$5),Weekday,$C16)*$E16</f>
        <v>5</v>
      </c>
      <c r="BA16" s="141">
        <f>COUNTIFS(Year,BA$3,Month,MONTH(BA$5),Weekday,$C16)*$E16</f>
        <v>4</v>
      </c>
      <c r="BB16" s="141">
        <f>COUNTIFS(Year,BB$3,Month,MONTH(BB$5),Weekday,$C16)*$E16</f>
        <v>4</v>
      </c>
      <c r="BC16" s="141">
        <f>COUNTIFS(Year,BC$3,Month,MONTH(BC$5),Weekday,$C16)*$E16</f>
        <v>5</v>
      </c>
      <c r="BD16" s="141">
        <f>COUNTIFS(Year,BD$3,Month,MONTH(BD$5),Weekday,$C16)*$E16</f>
        <v>4</v>
      </c>
      <c r="BE16" s="141">
        <f>COUNTIFS(Year,BE$3,Month,MONTH(BE$5),Weekday,$C16)*$E16</f>
        <v>4</v>
      </c>
      <c r="BF16" s="141">
        <f>COUNTIFS(Year,BF$3,Month,MONTH(BF$5),Weekday,$C16)*$E16</f>
        <v>5</v>
      </c>
      <c r="BG16" s="141">
        <f>COUNTIFS(Year,BG$3,Month,MONTH(BG$5),Weekday,$C16)*$E16</f>
        <v>4</v>
      </c>
      <c r="BH16" s="141">
        <f>COUNTIFS(Year,BH$3,Month,MONTH(BH$5),Weekday,$C16)*$E16</f>
        <v>4</v>
      </c>
      <c r="BI16" s="141">
        <f>COUNTIFS(Year,BI$3,Month,MONTH(BI$5),Weekday,$C16)*$E16</f>
        <v>5</v>
      </c>
      <c r="BJ16" s="141">
        <f>COUNTIFS(Year,BJ$3,Month,MONTH(BJ$5),Weekday,$C16)*$E16</f>
        <v>4</v>
      </c>
      <c r="BK16" s="141">
        <f>COUNTIFS(Year,BK$3,Month,MONTH(BK$5),Weekday,$C16)*$E16</f>
        <v>4</v>
      </c>
      <c r="BL16" s="141">
        <f>COUNTIFS(Year,BL$3,Month,MONTH(BL$5),Weekday,$C16)*$E16</f>
        <v>5</v>
      </c>
      <c r="BM16" s="141">
        <f>COUNTIFS(Year,BM$3,Month,MONTH(BM$5),Weekday,$C16)*$E16</f>
        <v>4</v>
      </c>
      <c r="BN16" s="141">
        <f>COUNTIFS(Year,BN$3,Month,MONTH(BN$5),Weekday,$C16)*$E16</f>
        <v>4</v>
      </c>
      <c r="BO16" s="141"/>
    </row>
    <row r="17" ht="13.5" customHeight="1" outlineLevel="1">
      <c r="A17" s="147"/>
      <c r="B17" s="139"/>
      <c r="C17" s="147" t="s">
        <v>46</v>
      </c>
      <c r="D17" s="147"/>
      <c r="E17" s="148"/>
      <c r="F17" s="146"/>
      <c r="G17" s="146">
        <f t="shared" ref="G17:BN17" si="4">SUM(G10:G16)</f>
        <v>30</v>
      </c>
      <c r="H17" s="146">
        <f t="shared" si="4"/>
        <v>31</v>
      </c>
      <c r="I17" s="146">
        <f t="shared" si="4"/>
        <v>31</v>
      </c>
      <c r="J17" s="146">
        <f t="shared" si="4"/>
        <v>30</v>
      </c>
      <c r="K17" s="146">
        <f t="shared" si="4"/>
        <v>31</v>
      </c>
      <c r="L17" s="146">
        <f t="shared" si="4"/>
        <v>30</v>
      </c>
      <c r="M17" s="146">
        <f t="shared" si="4"/>
        <v>31</v>
      </c>
      <c r="N17" s="146">
        <f t="shared" si="4"/>
        <v>31</v>
      </c>
      <c r="O17" s="146">
        <f t="shared" si="4"/>
        <v>28</v>
      </c>
      <c r="P17" s="146">
        <f t="shared" si="4"/>
        <v>31</v>
      </c>
      <c r="Q17" s="146">
        <f t="shared" si="4"/>
        <v>30</v>
      </c>
      <c r="R17" s="146">
        <f t="shared" si="4"/>
        <v>31</v>
      </c>
      <c r="S17" s="146">
        <f t="shared" si="4"/>
        <v>30</v>
      </c>
      <c r="T17" s="146">
        <f t="shared" si="4"/>
        <v>31</v>
      </c>
      <c r="U17" s="146">
        <f t="shared" si="4"/>
        <v>31</v>
      </c>
      <c r="V17" s="146">
        <f t="shared" si="4"/>
        <v>30</v>
      </c>
      <c r="W17" s="146">
        <f t="shared" si="4"/>
        <v>31</v>
      </c>
      <c r="X17" s="146">
        <f t="shared" si="4"/>
        <v>30</v>
      </c>
      <c r="Y17" s="146">
        <f t="shared" si="4"/>
        <v>31</v>
      </c>
      <c r="Z17" s="146">
        <f t="shared" si="4"/>
        <v>31</v>
      </c>
      <c r="AA17" s="146">
        <f t="shared" si="4"/>
        <v>29</v>
      </c>
      <c r="AB17" s="146">
        <f t="shared" si="4"/>
        <v>31</v>
      </c>
      <c r="AC17" s="146">
        <f t="shared" si="4"/>
        <v>30</v>
      </c>
      <c r="AD17" s="146">
        <f t="shared" si="4"/>
        <v>31</v>
      </c>
      <c r="AE17" s="146">
        <f t="shared" si="4"/>
        <v>30</v>
      </c>
      <c r="AF17" s="146">
        <f t="shared" si="4"/>
        <v>31</v>
      </c>
      <c r="AG17" s="146">
        <f t="shared" si="4"/>
        <v>31</v>
      </c>
      <c r="AH17" s="146">
        <f t="shared" si="4"/>
        <v>30</v>
      </c>
      <c r="AI17" s="146">
        <f t="shared" si="4"/>
        <v>31</v>
      </c>
      <c r="AJ17" s="146">
        <f t="shared" si="4"/>
        <v>30</v>
      </c>
      <c r="AK17" s="146">
        <f t="shared" si="4"/>
        <v>31</v>
      </c>
      <c r="AL17" s="146">
        <f t="shared" si="4"/>
        <v>31</v>
      </c>
      <c r="AM17" s="146">
        <f t="shared" si="4"/>
        <v>28</v>
      </c>
      <c r="AN17" s="146">
        <f t="shared" si="4"/>
        <v>31</v>
      </c>
      <c r="AO17" s="146">
        <f t="shared" si="4"/>
        <v>30</v>
      </c>
      <c r="AP17" s="146">
        <f t="shared" si="4"/>
        <v>31</v>
      </c>
      <c r="AQ17" s="146">
        <f t="shared" si="4"/>
        <v>30</v>
      </c>
      <c r="AR17" s="146">
        <f t="shared" si="4"/>
        <v>31</v>
      </c>
      <c r="AS17" s="146">
        <f t="shared" si="4"/>
        <v>31</v>
      </c>
      <c r="AT17" s="146">
        <f t="shared" si="4"/>
        <v>30</v>
      </c>
      <c r="AU17" s="146">
        <f t="shared" si="4"/>
        <v>31</v>
      </c>
      <c r="AV17" s="146">
        <f t="shared" si="4"/>
        <v>30</v>
      </c>
      <c r="AW17" s="146">
        <f t="shared" si="4"/>
        <v>31</v>
      </c>
      <c r="AX17" s="146">
        <f t="shared" si="4"/>
        <v>31</v>
      </c>
      <c r="AY17" s="146">
        <f t="shared" si="4"/>
        <v>28</v>
      </c>
      <c r="AZ17" s="146">
        <f t="shared" si="4"/>
        <v>31</v>
      </c>
      <c r="BA17" s="146">
        <f t="shared" si="4"/>
        <v>30</v>
      </c>
      <c r="BB17" s="146">
        <f t="shared" si="4"/>
        <v>31</v>
      </c>
      <c r="BC17" s="146">
        <f t="shared" si="4"/>
        <v>30</v>
      </c>
      <c r="BD17" s="146">
        <f t="shared" si="4"/>
        <v>31</v>
      </c>
      <c r="BE17" s="146">
        <f t="shared" si="4"/>
        <v>31</v>
      </c>
      <c r="BF17" s="146">
        <f t="shared" si="4"/>
        <v>30</v>
      </c>
      <c r="BG17" s="146">
        <f t="shared" si="4"/>
        <v>31</v>
      </c>
      <c r="BH17" s="146">
        <f t="shared" si="4"/>
        <v>30</v>
      </c>
      <c r="BI17" s="146">
        <f t="shared" si="4"/>
        <v>31</v>
      </c>
      <c r="BJ17" s="146">
        <f t="shared" si="4"/>
        <v>31</v>
      </c>
      <c r="BK17" s="146">
        <f t="shared" si="4"/>
        <v>28</v>
      </c>
      <c r="BL17" s="146">
        <f t="shared" si="4"/>
        <v>31</v>
      </c>
      <c r="BM17" s="146">
        <f t="shared" si="4"/>
        <v>30</v>
      </c>
      <c r="BN17" s="146">
        <f t="shared" si="4"/>
        <v>31</v>
      </c>
      <c r="BO17" s="146"/>
    </row>
    <row r="18" ht="13.5" customHeight="1" outlineLevel="1">
      <c r="A18" s="138"/>
      <c r="B18" s="139"/>
      <c r="C18" s="138"/>
      <c r="D18" s="138"/>
      <c r="E18" s="140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</row>
    <row r="19" ht="13.5" customHeight="1" outlineLevel="1">
      <c r="A19" s="138"/>
      <c r="B19" s="139">
        <v>2.0</v>
      </c>
      <c r="C19" s="147" t="s">
        <v>133</v>
      </c>
      <c r="D19" s="138"/>
      <c r="E19" s="140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</row>
    <row r="20" ht="13.5" customHeight="1" outlineLevel="1">
      <c r="A20" s="138"/>
      <c r="B20" s="139"/>
      <c r="C20" s="138" t="s">
        <v>134</v>
      </c>
      <c r="D20" s="138"/>
      <c r="E20" s="150">
        <v>0.5</v>
      </c>
      <c r="F20" s="141"/>
      <c r="G20" s="151">
        <f>E20</f>
        <v>0.5</v>
      </c>
      <c r="H20" s="151">
        <f>MIN(G20+(1-$E$20)/(Assumption!$G$22-1),100%)</f>
        <v>0.6</v>
      </c>
      <c r="I20" s="151">
        <f>MIN(H20+(1-$E$20)/(Assumption!$G$22-1),100%)</f>
        <v>0.7</v>
      </c>
      <c r="J20" s="151">
        <f>MIN(I20+(1-$E$20)/(Assumption!$G$22-1),100%)</f>
        <v>0.8</v>
      </c>
      <c r="K20" s="151">
        <f>MIN(J20+(1-$E$20)/(Assumption!$G$22-1),100%)</f>
        <v>0.9</v>
      </c>
      <c r="L20" s="151">
        <f>MIN(K20+(1-$E$20)/(Assumption!$G$22-1),100%)</f>
        <v>1</v>
      </c>
      <c r="M20" s="151">
        <f>MIN(L20+(1-$E$20)/(Assumption!$G$22-1),100%)</f>
        <v>1</v>
      </c>
      <c r="N20" s="151">
        <f>MIN(M20+(1-$E$20)/(Assumption!$G$22-1),100%)</f>
        <v>1</v>
      </c>
      <c r="O20" s="151">
        <f>MIN(N20+(1-$E$20)/(Assumption!$G$22-1),100%)</f>
        <v>1</v>
      </c>
      <c r="P20" s="151">
        <f>MIN(O20+(1-$E$20)/(Assumption!$G$22-1),100%)</f>
        <v>1</v>
      </c>
      <c r="Q20" s="151">
        <f>MIN(P20+(1-$E$20)/(Assumption!$G$22-1),100%)</f>
        <v>1</v>
      </c>
      <c r="R20" s="151">
        <f>MIN(Q20+(1-$E$20)/(Assumption!$G$22-1),100%)</f>
        <v>1</v>
      </c>
      <c r="S20" s="151">
        <f>MIN(R20+(1-$E$20)/(Assumption!$G$22-1),100%)</f>
        <v>1</v>
      </c>
      <c r="T20" s="151">
        <f>MIN(S20+(1-$E$20)/(Assumption!$G$22-1),100%)</f>
        <v>1</v>
      </c>
      <c r="U20" s="151">
        <f>MIN(T20+(1-$E$20)/(Assumption!$G$22-1),100%)</f>
        <v>1</v>
      </c>
      <c r="V20" s="151">
        <f>MIN(U20+(1-$E$20)/(Assumption!$G$22-1),100%)</f>
        <v>1</v>
      </c>
      <c r="W20" s="151">
        <f>MIN(V20+(1-$E$20)/(Assumption!$G$22-1),100%)</f>
        <v>1</v>
      </c>
      <c r="X20" s="151">
        <f>MIN(W20+(1-$E$20)/(Assumption!$G$22-1),100%)</f>
        <v>1</v>
      </c>
      <c r="Y20" s="151">
        <f>MIN(X20+(1-$E$20)/(Assumption!$G$22-1),100%)</f>
        <v>1</v>
      </c>
      <c r="Z20" s="151">
        <f>MIN(Y20+(1-$E$20)/(Assumption!$G$22-1),100%)</f>
        <v>1</v>
      </c>
      <c r="AA20" s="151">
        <f>MIN(Z20+(1-$E$20)/(Assumption!$G$22-1),100%)</f>
        <v>1</v>
      </c>
      <c r="AB20" s="151">
        <f>MIN(AA20+(1-$E$20)/(Assumption!$G$22-1),100%)</f>
        <v>1</v>
      </c>
      <c r="AC20" s="151">
        <f>MIN(AB20+(1-$E$20)/(Assumption!$G$22-1),100%)</f>
        <v>1</v>
      </c>
      <c r="AD20" s="151">
        <f>MIN(AC20+(1-$E$20)/(Assumption!$G$22-1),100%)</f>
        <v>1</v>
      </c>
      <c r="AE20" s="151">
        <f>MIN(AD20+(1-$E$20)/(Assumption!$G$22-1),100%)</f>
        <v>1</v>
      </c>
      <c r="AF20" s="151">
        <f>MIN(AE20+(1-$E$20)/(Assumption!$G$22-1),100%)</f>
        <v>1</v>
      </c>
      <c r="AG20" s="151">
        <f>MIN(AF20+(1-$E$20)/(Assumption!$G$22-1),100%)</f>
        <v>1</v>
      </c>
      <c r="AH20" s="151">
        <f>MIN(AG20+(1-$E$20)/(Assumption!$G$22-1),100%)</f>
        <v>1</v>
      </c>
      <c r="AI20" s="151">
        <f>MIN(AH20+(1-$E$20)/(Assumption!$G$22-1),100%)</f>
        <v>1</v>
      </c>
      <c r="AJ20" s="151">
        <f>MIN(AI20+(1-$E$20)/(Assumption!$G$22-1),100%)</f>
        <v>1</v>
      </c>
      <c r="AK20" s="151">
        <f>MIN(AJ20+(1-$E$20)/(Assumption!$G$22-1),100%)</f>
        <v>1</v>
      </c>
      <c r="AL20" s="151">
        <f>MIN(AK20+(1-$E$20)/(Assumption!$G$22-1),100%)</f>
        <v>1</v>
      </c>
      <c r="AM20" s="151">
        <f>MIN(AL20+(1-$E$20)/(Assumption!$G$22-1),100%)</f>
        <v>1</v>
      </c>
      <c r="AN20" s="151">
        <f>MIN(AM20+(1-$E$20)/(Assumption!$G$22-1),100%)</f>
        <v>1</v>
      </c>
      <c r="AO20" s="151">
        <f>MIN(AN20+(1-$E$20)/(Assumption!$G$22-1),100%)</f>
        <v>1</v>
      </c>
      <c r="AP20" s="151">
        <f>MIN(AO20+(1-$E$20)/(Assumption!$G$22-1),100%)</f>
        <v>1</v>
      </c>
      <c r="AQ20" s="151">
        <f>MIN(AP20+(1-$E$20)/(Assumption!$G$22-1),100%)</f>
        <v>1</v>
      </c>
      <c r="AR20" s="151">
        <f>MIN(AQ20+(1-$E$20)/(Assumption!$G$22-1),100%)</f>
        <v>1</v>
      </c>
      <c r="AS20" s="151">
        <f>MIN(AR20+(1-$E$20)/(Assumption!$G$22-1),100%)</f>
        <v>1</v>
      </c>
      <c r="AT20" s="151">
        <f>MIN(AS20+(1-$E$20)/(Assumption!$G$22-1),100%)</f>
        <v>1</v>
      </c>
      <c r="AU20" s="151">
        <f>MIN(AT20+(1-$E$20)/(Assumption!$G$22-1),100%)</f>
        <v>1</v>
      </c>
      <c r="AV20" s="151">
        <f>MIN(AU20+(1-$E$20)/(Assumption!$G$22-1),100%)</f>
        <v>1</v>
      </c>
      <c r="AW20" s="151">
        <f>MIN(AV20+(1-$E$20)/(Assumption!$G$22-1),100%)</f>
        <v>1</v>
      </c>
      <c r="AX20" s="151">
        <f>MIN(AW20+(1-$E$20)/(Assumption!$G$22-1),100%)</f>
        <v>1</v>
      </c>
      <c r="AY20" s="151">
        <f>MIN(AX20+(1-$E$20)/(Assumption!$G$22-1),100%)</f>
        <v>1</v>
      </c>
      <c r="AZ20" s="151">
        <f>MIN(AY20+(1-$E$20)/(Assumption!$G$22-1),100%)</f>
        <v>1</v>
      </c>
      <c r="BA20" s="151">
        <f>MIN(AZ20+(1-$E$20)/(Assumption!$G$22-1),100%)</f>
        <v>1</v>
      </c>
      <c r="BB20" s="151">
        <f>MIN(BA20+(1-$E$20)/(Assumption!$G$22-1),100%)</f>
        <v>1</v>
      </c>
      <c r="BC20" s="151">
        <f>MIN(BB20+(1-$E$20)/(Assumption!$G$22-1),100%)</f>
        <v>1</v>
      </c>
      <c r="BD20" s="151">
        <f>MIN(BC20+(1-$E$20)/(Assumption!$G$22-1),100%)</f>
        <v>1</v>
      </c>
      <c r="BE20" s="151">
        <f>MIN(BD20+(1-$E$20)/(Assumption!$G$22-1),100%)</f>
        <v>1</v>
      </c>
      <c r="BF20" s="151">
        <f>MIN(BE20+(1-$E$20)/(Assumption!$G$22-1),100%)</f>
        <v>1</v>
      </c>
      <c r="BG20" s="151">
        <f>MIN(BF20+(1-$E$20)/(Assumption!$G$22-1),100%)</f>
        <v>1</v>
      </c>
      <c r="BH20" s="151">
        <f>MIN(BG20+(1-$E$20)/(Assumption!$G$22-1),100%)</f>
        <v>1</v>
      </c>
      <c r="BI20" s="151">
        <f>MIN(BH20+(1-$E$20)/(Assumption!$G$22-1),100%)</f>
        <v>1</v>
      </c>
      <c r="BJ20" s="151">
        <f>MIN(BI20+(1-$E$20)/(Assumption!$G$22-1),100%)</f>
        <v>1</v>
      </c>
      <c r="BK20" s="151">
        <f>MIN(BJ20+(1-$E$20)/(Assumption!$G$22-1),100%)</f>
        <v>1</v>
      </c>
      <c r="BL20" s="151">
        <f>MIN(BK20+(1-$E$20)/(Assumption!$G$22-1),100%)</f>
        <v>1</v>
      </c>
      <c r="BM20" s="151">
        <f>MIN(BL20+(1-$E$20)/(Assumption!$G$22-1),100%)</f>
        <v>1</v>
      </c>
      <c r="BN20" s="151">
        <f>MIN(BM20+(1-$E$20)/(Assumption!$G$22-1),100%)</f>
        <v>1</v>
      </c>
      <c r="BO20" s="151"/>
    </row>
    <row r="21" ht="13.5" customHeight="1" outlineLevel="1">
      <c r="A21" s="138"/>
      <c r="B21" s="139"/>
      <c r="C21" s="138" t="s">
        <v>135</v>
      </c>
      <c r="D21" s="138"/>
      <c r="E21" s="149" t="s">
        <v>136</v>
      </c>
      <c r="F21" s="141"/>
      <c r="G21" s="151">
        <f>IF(G$4=$E21,Assumption!$G$23,0)</f>
        <v>0</v>
      </c>
      <c r="H21" s="151">
        <f>IF(H$4=$E21,Assumption!$G$23,0)</f>
        <v>0</v>
      </c>
      <c r="I21" s="151">
        <f>IF(I$4=$E21,Assumption!$G$23,0)</f>
        <v>0</v>
      </c>
      <c r="J21" s="151">
        <f>IF(J$4=$E21,Assumption!$G$23,0)</f>
        <v>0</v>
      </c>
      <c r="K21" s="151">
        <f>IF(K$4=$E21,Assumption!$G$23,0)</f>
        <v>0</v>
      </c>
      <c r="L21" s="151">
        <f>IF(L$4=$E21,Assumption!$G$23,0)</f>
        <v>0</v>
      </c>
      <c r="M21" s="151">
        <f>IF(M$4=$E21,Assumption!$G$23,0)</f>
        <v>0</v>
      </c>
      <c r="N21" s="151">
        <f>IF(N$4=$E21,Assumption!$G$23,0)</f>
        <v>0</v>
      </c>
      <c r="O21" s="151">
        <f>IF(O$4=$E21,Assumption!$G$23,0)</f>
        <v>-0.6</v>
      </c>
      <c r="P21" s="151">
        <f>IF(P$4=$E21,Assumption!$G$23,0)</f>
        <v>0</v>
      </c>
      <c r="Q21" s="151">
        <f>IF(Q$4=$E21,Assumption!$G$23,0)</f>
        <v>0</v>
      </c>
      <c r="R21" s="151">
        <f>IF(R$4=$E21,Assumption!$G$23,0)</f>
        <v>0</v>
      </c>
      <c r="S21" s="151">
        <f>IF(S$4=$E21,Assumption!$G$23,0)</f>
        <v>0</v>
      </c>
      <c r="T21" s="151">
        <f>IF(T$4=$E21,Assumption!$G$23,0)</f>
        <v>0</v>
      </c>
      <c r="U21" s="151">
        <f>IF(U$4=$E21,Assumption!$G$23,0)</f>
        <v>0</v>
      </c>
      <c r="V21" s="151">
        <f>IF(V$4=$E21,Assumption!$G$23,0)</f>
        <v>0</v>
      </c>
      <c r="W21" s="151">
        <f>IF(W$4=$E21,Assumption!$G$23,0)</f>
        <v>0</v>
      </c>
      <c r="X21" s="151">
        <f>IF(X$4=$E21,Assumption!$G$23,0)</f>
        <v>0</v>
      </c>
      <c r="Y21" s="151">
        <f>IF(Y$4=$E21,Assumption!$G$23,0)</f>
        <v>0</v>
      </c>
      <c r="Z21" s="151">
        <f>IF(Z$4=$E21,Assumption!$G$23,0)</f>
        <v>0</v>
      </c>
      <c r="AA21" s="151">
        <f>IF(AA$4=$E21,Assumption!$G$23,0)</f>
        <v>-0.6</v>
      </c>
      <c r="AB21" s="151">
        <f>IF(AB$4=$E21,Assumption!$G$23,0)</f>
        <v>0</v>
      </c>
      <c r="AC21" s="151">
        <f>IF(AC$4=$E21,Assumption!$G$23,0)</f>
        <v>0</v>
      </c>
      <c r="AD21" s="151">
        <f>IF(AD$4=$E21,Assumption!$G$23,0)</f>
        <v>0</v>
      </c>
      <c r="AE21" s="151">
        <f>IF(AE$4=$E21,Assumption!$G$23,0)</f>
        <v>0</v>
      </c>
      <c r="AF21" s="151">
        <f>IF(AF$4=$E21,Assumption!$G$23,0)</f>
        <v>0</v>
      </c>
      <c r="AG21" s="151">
        <f>IF(AG$4=$E21,Assumption!$G$23,0)</f>
        <v>0</v>
      </c>
      <c r="AH21" s="151">
        <f>IF(AH$4=$E21,Assumption!$G$23,0)</f>
        <v>0</v>
      </c>
      <c r="AI21" s="151">
        <f>IF(AI$4=$E21,Assumption!$G$23,0)</f>
        <v>0</v>
      </c>
      <c r="AJ21" s="151">
        <f>IF(AJ$4=$E21,Assumption!$G$23,0)</f>
        <v>0</v>
      </c>
      <c r="AK21" s="151">
        <f>IF(AK$4=$E21,Assumption!$G$23,0)</f>
        <v>0</v>
      </c>
      <c r="AL21" s="151">
        <f>IF(AL$4=$E21,Assumption!$G$23,0)</f>
        <v>0</v>
      </c>
      <c r="AM21" s="151">
        <f>IF(AM$4=$E21,Assumption!$G$23,0)</f>
        <v>-0.6</v>
      </c>
      <c r="AN21" s="151">
        <f>IF(AN$4=$E21,Assumption!$G$23,0)</f>
        <v>0</v>
      </c>
      <c r="AO21" s="151">
        <f>IF(AO$4=$E21,Assumption!$G$23,0)</f>
        <v>0</v>
      </c>
      <c r="AP21" s="151">
        <f>IF(AP$4=$E21,Assumption!$G$23,0)</f>
        <v>0</v>
      </c>
      <c r="AQ21" s="151">
        <f>IF(AQ$4=$E21,Assumption!$G$23,0)</f>
        <v>0</v>
      </c>
      <c r="AR21" s="151">
        <f>IF(AR$4=$E21,Assumption!$G$23,0)</f>
        <v>0</v>
      </c>
      <c r="AS21" s="151">
        <f>IF(AS$4=$E21,Assumption!$G$23,0)</f>
        <v>0</v>
      </c>
      <c r="AT21" s="151">
        <f>IF(AT$4=$E21,Assumption!$G$23,0)</f>
        <v>0</v>
      </c>
      <c r="AU21" s="151">
        <f>IF(AU$4=$E21,Assumption!$G$23,0)</f>
        <v>0</v>
      </c>
      <c r="AV21" s="151">
        <f>IF(AV$4=$E21,Assumption!$G$23,0)</f>
        <v>0</v>
      </c>
      <c r="AW21" s="151">
        <f>IF(AW$4=$E21,Assumption!$G$23,0)</f>
        <v>0</v>
      </c>
      <c r="AX21" s="151">
        <f>IF(AX$4=$E21,Assumption!$G$23,0)</f>
        <v>0</v>
      </c>
      <c r="AY21" s="151">
        <f>IF(AY$4=$E21,Assumption!$G$23,0)</f>
        <v>-0.6</v>
      </c>
      <c r="AZ21" s="151">
        <f>IF(AZ$4=$E21,Assumption!$G$23,0)</f>
        <v>0</v>
      </c>
      <c r="BA21" s="151">
        <f>IF(BA$4=$E21,Assumption!$G$23,0)</f>
        <v>0</v>
      </c>
      <c r="BB21" s="151">
        <f>IF(BB$4=$E21,Assumption!$G$23,0)</f>
        <v>0</v>
      </c>
      <c r="BC21" s="151">
        <f>IF(BC$4=$E21,Assumption!$G$23,0)</f>
        <v>0</v>
      </c>
      <c r="BD21" s="151">
        <f>IF(BD$4=$E21,Assumption!$G$23,0)</f>
        <v>0</v>
      </c>
      <c r="BE21" s="151">
        <f>IF(BE$4=$E21,Assumption!$G$23,0)</f>
        <v>0</v>
      </c>
      <c r="BF21" s="151">
        <f>IF(BF$4=$E21,Assumption!$G$23,0)</f>
        <v>0</v>
      </c>
      <c r="BG21" s="151">
        <f>IF(BG$4=$E21,Assumption!$G$23,0)</f>
        <v>0</v>
      </c>
      <c r="BH21" s="151">
        <f>IF(BH$4=$E21,Assumption!$G$23,0)</f>
        <v>0</v>
      </c>
      <c r="BI21" s="151">
        <f>IF(BI$4=$E21,Assumption!$G$23,0)</f>
        <v>0</v>
      </c>
      <c r="BJ21" s="151">
        <f>IF(BJ$4=$E21,Assumption!$G$23,0)</f>
        <v>0</v>
      </c>
      <c r="BK21" s="151">
        <f>IF(BK$4=$E21,Assumption!$G$23,0)</f>
        <v>-0.6</v>
      </c>
      <c r="BL21" s="151">
        <f>IF(BL$4=$E21,Assumption!$G$23,0)</f>
        <v>0</v>
      </c>
      <c r="BM21" s="151">
        <f>IF(BM$4=$E21,Assumption!$G$23,0)</f>
        <v>0</v>
      </c>
      <c r="BN21" s="151">
        <f>IF(BN$4=$E21,Assumption!$G$23,0)</f>
        <v>0</v>
      </c>
      <c r="BO21" s="151"/>
    </row>
    <row r="22" ht="13.5" customHeight="1" outlineLevel="1">
      <c r="A22" s="138"/>
      <c r="B22" s="139"/>
      <c r="C22" s="138" t="s">
        <v>137</v>
      </c>
      <c r="D22" s="138"/>
      <c r="E22" s="149" t="s">
        <v>138</v>
      </c>
      <c r="F22" s="141"/>
      <c r="G22" s="151">
        <f>IF(G$4=$E22,Assumption!$G$24,0)</f>
        <v>0</v>
      </c>
      <c r="H22" s="151">
        <f>IF(H$4=$E22,Assumption!$G$24,0)</f>
        <v>0</v>
      </c>
      <c r="I22" s="151">
        <f>IF(I$4=$E22,Assumption!$G$24,0)</f>
        <v>0</v>
      </c>
      <c r="J22" s="151">
        <f>IF(J$4=$E22,Assumption!$G$24,0)</f>
        <v>0</v>
      </c>
      <c r="K22" s="151">
        <f>IF(K$4=$E22,Assumption!$G$24,0)</f>
        <v>0</v>
      </c>
      <c r="L22" s="151">
        <f>IF(L$4=$E22,Assumption!$G$24,0)</f>
        <v>0</v>
      </c>
      <c r="M22" s="151">
        <f>IF(M$4=$E22,Assumption!$G$24,0)</f>
        <v>0.2</v>
      </c>
      <c r="N22" s="151">
        <f>IF(N$4=$E22,Assumption!$G$24,0)</f>
        <v>0</v>
      </c>
      <c r="O22" s="151">
        <f>IF(O$4=$E22,Assumption!$G$24,0)</f>
        <v>0</v>
      </c>
      <c r="P22" s="151">
        <f>IF(P$4=$E22,Assumption!$G$24,0)</f>
        <v>0</v>
      </c>
      <c r="Q22" s="151">
        <f>IF(Q$4=$E22,Assumption!$G$24,0)</f>
        <v>0</v>
      </c>
      <c r="R22" s="151">
        <f>IF(R$4=$E22,Assumption!$G$24,0)</f>
        <v>0</v>
      </c>
      <c r="S22" s="151">
        <f>IF(S$4=$E22,Assumption!$G$24,0)</f>
        <v>0</v>
      </c>
      <c r="T22" s="151">
        <f>IF(T$4=$E22,Assumption!$G$24,0)</f>
        <v>0</v>
      </c>
      <c r="U22" s="151">
        <f>IF(U$4=$E22,Assumption!$G$24,0)</f>
        <v>0</v>
      </c>
      <c r="V22" s="151">
        <f>IF(V$4=$E22,Assumption!$G$24,0)</f>
        <v>0</v>
      </c>
      <c r="W22" s="151">
        <f>IF(W$4=$E22,Assumption!$G$24,0)</f>
        <v>0</v>
      </c>
      <c r="X22" s="151">
        <f>IF(X$4=$E22,Assumption!$G$24,0)</f>
        <v>0</v>
      </c>
      <c r="Y22" s="151">
        <f>IF(Y$4=$E22,Assumption!$G$24,0)</f>
        <v>0.2</v>
      </c>
      <c r="Z22" s="151">
        <f>IF(Z$4=$E22,Assumption!$G$24,0)</f>
        <v>0</v>
      </c>
      <c r="AA22" s="151">
        <f>IF(AA$4=$E22,Assumption!$G$24,0)</f>
        <v>0</v>
      </c>
      <c r="AB22" s="151">
        <f>IF(AB$4=$E22,Assumption!$G$24,0)</f>
        <v>0</v>
      </c>
      <c r="AC22" s="151">
        <f>IF(AC$4=$E22,Assumption!$G$24,0)</f>
        <v>0</v>
      </c>
      <c r="AD22" s="151">
        <f>IF(AD$4=$E22,Assumption!$G$24,0)</f>
        <v>0</v>
      </c>
      <c r="AE22" s="151">
        <f>IF(AE$4=$E22,Assumption!$G$24,0)</f>
        <v>0</v>
      </c>
      <c r="AF22" s="151">
        <f>IF(AF$4=$E22,Assumption!$G$24,0)</f>
        <v>0</v>
      </c>
      <c r="AG22" s="151">
        <f>IF(AG$4=$E22,Assumption!$G$24,0)</f>
        <v>0</v>
      </c>
      <c r="AH22" s="151">
        <f>IF(AH$4=$E22,Assumption!$G$24,0)</f>
        <v>0</v>
      </c>
      <c r="AI22" s="151">
        <f>IF(AI$4=$E22,Assumption!$G$24,0)</f>
        <v>0</v>
      </c>
      <c r="AJ22" s="151">
        <f>IF(AJ$4=$E22,Assumption!$G$24,0)</f>
        <v>0</v>
      </c>
      <c r="AK22" s="151">
        <f>IF(AK$4=$E22,Assumption!$G$24,0)</f>
        <v>0.2</v>
      </c>
      <c r="AL22" s="151">
        <f>IF(AL$4=$E22,Assumption!$G$24,0)</f>
        <v>0</v>
      </c>
      <c r="AM22" s="151">
        <f>IF(AM$4=$E22,Assumption!$G$24,0)</f>
        <v>0</v>
      </c>
      <c r="AN22" s="151">
        <f>IF(AN$4=$E22,Assumption!$G$24,0)</f>
        <v>0</v>
      </c>
      <c r="AO22" s="151">
        <f>IF(AO$4=$E22,Assumption!$G$24,0)</f>
        <v>0</v>
      </c>
      <c r="AP22" s="151">
        <f>IF(AP$4=$E22,Assumption!$G$24,0)</f>
        <v>0</v>
      </c>
      <c r="AQ22" s="151">
        <f>IF(AQ$4=$E22,Assumption!$G$24,0)</f>
        <v>0</v>
      </c>
      <c r="AR22" s="151">
        <f>IF(AR$4=$E22,Assumption!$G$24,0)</f>
        <v>0</v>
      </c>
      <c r="AS22" s="151">
        <f>IF(AS$4=$E22,Assumption!$G$24,0)</f>
        <v>0</v>
      </c>
      <c r="AT22" s="151">
        <f>IF(AT$4=$E22,Assumption!$G$24,0)</f>
        <v>0</v>
      </c>
      <c r="AU22" s="151">
        <f>IF(AU$4=$E22,Assumption!$G$24,0)</f>
        <v>0</v>
      </c>
      <c r="AV22" s="151">
        <f>IF(AV$4=$E22,Assumption!$G$24,0)</f>
        <v>0</v>
      </c>
      <c r="AW22" s="151">
        <f>IF(AW$4=$E22,Assumption!$G$24,0)</f>
        <v>0.2</v>
      </c>
      <c r="AX22" s="151">
        <f>IF(AX$4=$E22,Assumption!$G$24,0)</f>
        <v>0</v>
      </c>
      <c r="AY22" s="151">
        <f>IF(AY$4=$E22,Assumption!$G$24,0)</f>
        <v>0</v>
      </c>
      <c r="AZ22" s="151">
        <f>IF(AZ$4=$E22,Assumption!$G$24,0)</f>
        <v>0</v>
      </c>
      <c r="BA22" s="151">
        <f>IF(BA$4=$E22,Assumption!$G$24,0)</f>
        <v>0</v>
      </c>
      <c r="BB22" s="151">
        <f>IF(BB$4=$E22,Assumption!$G$24,0)</f>
        <v>0</v>
      </c>
      <c r="BC22" s="151">
        <f>IF(BC$4=$E22,Assumption!$G$24,0)</f>
        <v>0</v>
      </c>
      <c r="BD22" s="151">
        <f>IF(BD$4=$E22,Assumption!$G$24,0)</f>
        <v>0</v>
      </c>
      <c r="BE22" s="151">
        <f>IF(BE$4=$E22,Assumption!$G$24,0)</f>
        <v>0</v>
      </c>
      <c r="BF22" s="151">
        <f>IF(BF$4=$E22,Assumption!$G$24,0)</f>
        <v>0</v>
      </c>
      <c r="BG22" s="151">
        <f>IF(BG$4=$E22,Assumption!$G$24,0)</f>
        <v>0</v>
      </c>
      <c r="BH22" s="151">
        <f>IF(BH$4=$E22,Assumption!$G$24,0)</f>
        <v>0</v>
      </c>
      <c r="BI22" s="151">
        <f>IF(BI$4=$E22,Assumption!$G$24,0)</f>
        <v>0.2</v>
      </c>
      <c r="BJ22" s="151">
        <f>IF(BJ$4=$E22,Assumption!$G$24,0)</f>
        <v>0</v>
      </c>
      <c r="BK22" s="151">
        <f>IF(BK$4=$E22,Assumption!$G$24,0)</f>
        <v>0</v>
      </c>
      <c r="BL22" s="151">
        <f>IF(BL$4=$E22,Assumption!$G$24,0)</f>
        <v>0</v>
      </c>
      <c r="BM22" s="151">
        <f>IF(BM$4=$E22,Assumption!$G$24,0)</f>
        <v>0</v>
      </c>
      <c r="BN22" s="151">
        <f>IF(BN$4=$E22,Assumption!$G$24,0)</f>
        <v>0</v>
      </c>
      <c r="BO22" s="151"/>
    </row>
    <row r="23" ht="13.5" customHeight="1" outlineLevel="1">
      <c r="A23" s="147"/>
      <c r="B23" s="139"/>
      <c r="C23" s="147" t="s">
        <v>139</v>
      </c>
      <c r="D23" s="147"/>
      <c r="E23" s="148"/>
      <c r="F23" s="146"/>
      <c r="G23" s="152">
        <f t="shared" ref="G23:BN23" si="5">G20*(1+G21)*(1+G22)</f>
        <v>0.5</v>
      </c>
      <c r="H23" s="152">
        <f t="shared" si="5"/>
        <v>0.6</v>
      </c>
      <c r="I23" s="152">
        <f t="shared" si="5"/>
        <v>0.7</v>
      </c>
      <c r="J23" s="152">
        <f t="shared" si="5"/>
        <v>0.8</v>
      </c>
      <c r="K23" s="152">
        <f t="shared" si="5"/>
        <v>0.9</v>
      </c>
      <c r="L23" s="152">
        <f t="shared" si="5"/>
        <v>1</v>
      </c>
      <c r="M23" s="152">
        <f t="shared" si="5"/>
        <v>1.2</v>
      </c>
      <c r="N23" s="152">
        <f t="shared" si="5"/>
        <v>1</v>
      </c>
      <c r="O23" s="152">
        <f t="shared" si="5"/>
        <v>0.4</v>
      </c>
      <c r="P23" s="152">
        <f t="shared" si="5"/>
        <v>1</v>
      </c>
      <c r="Q23" s="152">
        <f t="shared" si="5"/>
        <v>1</v>
      </c>
      <c r="R23" s="152">
        <f t="shared" si="5"/>
        <v>1</v>
      </c>
      <c r="S23" s="152">
        <f t="shared" si="5"/>
        <v>1</v>
      </c>
      <c r="T23" s="152">
        <f t="shared" si="5"/>
        <v>1</v>
      </c>
      <c r="U23" s="152">
        <f t="shared" si="5"/>
        <v>1</v>
      </c>
      <c r="V23" s="152">
        <f t="shared" si="5"/>
        <v>1</v>
      </c>
      <c r="W23" s="152">
        <f t="shared" si="5"/>
        <v>1</v>
      </c>
      <c r="X23" s="152">
        <f t="shared" si="5"/>
        <v>1</v>
      </c>
      <c r="Y23" s="152">
        <f t="shared" si="5"/>
        <v>1.2</v>
      </c>
      <c r="Z23" s="152">
        <f t="shared" si="5"/>
        <v>1</v>
      </c>
      <c r="AA23" s="152">
        <f t="shared" si="5"/>
        <v>0.4</v>
      </c>
      <c r="AB23" s="152">
        <f t="shared" si="5"/>
        <v>1</v>
      </c>
      <c r="AC23" s="152">
        <f t="shared" si="5"/>
        <v>1</v>
      </c>
      <c r="AD23" s="152">
        <f t="shared" si="5"/>
        <v>1</v>
      </c>
      <c r="AE23" s="152">
        <f t="shared" si="5"/>
        <v>1</v>
      </c>
      <c r="AF23" s="152">
        <f t="shared" si="5"/>
        <v>1</v>
      </c>
      <c r="AG23" s="152">
        <f t="shared" si="5"/>
        <v>1</v>
      </c>
      <c r="AH23" s="152">
        <f t="shared" si="5"/>
        <v>1</v>
      </c>
      <c r="AI23" s="152">
        <f t="shared" si="5"/>
        <v>1</v>
      </c>
      <c r="AJ23" s="152">
        <f t="shared" si="5"/>
        <v>1</v>
      </c>
      <c r="AK23" s="152">
        <f t="shared" si="5"/>
        <v>1.2</v>
      </c>
      <c r="AL23" s="152">
        <f t="shared" si="5"/>
        <v>1</v>
      </c>
      <c r="AM23" s="152">
        <f t="shared" si="5"/>
        <v>0.4</v>
      </c>
      <c r="AN23" s="152">
        <f t="shared" si="5"/>
        <v>1</v>
      </c>
      <c r="AO23" s="152">
        <f t="shared" si="5"/>
        <v>1</v>
      </c>
      <c r="AP23" s="152">
        <f t="shared" si="5"/>
        <v>1</v>
      </c>
      <c r="AQ23" s="152">
        <f t="shared" si="5"/>
        <v>1</v>
      </c>
      <c r="AR23" s="152">
        <f t="shared" si="5"/>
        <v>1</v>
      </c>
      <c r="AS23" s="152">
        <f t="shared" si="5"/>
        <v>1</v>
      </c>
      <c r="AT23" s="152">
        <f t="shared" si="5"/>
        <v>1</v>
      </c>
      <c r="AU23" s="152">
        <f t="shared" si="5"/>
        <v>1</v>
      </c>
      <c r="AV23" s="152">
        <f t="shared" si="5"/>
        <v>1</v>
      </c>
      <c r="AW23" s="152">
        <f t="shared" si="5"/>
        <v>1.2</v>
      </c>
      <c r="AX23" s="152">
        <f t="shared" si="5"/>
        <v>1</v>
      </c>
      <c r="AY23" s="152">
        <f t="shared" si="5"/>
        <v>0.4</v>
      </c>
      <c r="AZ23" s="152">
        <f t="shared" si="5"/>
        <v>1</v>
      </c>
      <c r="BA23" s="152">
        <f t="shared" si="5"/>
        <v>1</v>
      </c>
      <c r="BB23" s="152">
        <f t="shared" si="5"/>
        <v>1</v>
      </c>
      <c r="BC23" s="152">
        <f t="shared" si="5"/>
        <v>1</v>
      </c>
      <c r="BD23" s="152">
        <f t="shared" si="5"/>
        <v>1</v>
      </c>
      <c r="BE23" s="152">
        <f t="shared" si="5"/>
        <v>1</v>
      </c>
      <c r="BF23" s="152">
        <f t="shared" si="5"/>
        <v>1</v>
      </c>
      <c r="BG23" s="152">
        <f t="shared" si="5"/>
        <v>1</v>
      </c>
      <c r="BH23" s="152">
        <f t="shared" si="5"/>
        <v>1</v>
      </c>
      <c r="BI23" s="152">
        <f t="shared" si="5"/>
        <v>1.2</v>
      </c>
      <c r="BJ23" s="152">
        <f t="shared" si="5"/>
        <v>1</v>
      </c>
      <c r="BK23" s="152">
        <f t="shared" si="5"/>
        <v>0.4</v>
      </c>
      <c r="BL23" s="152">
        <f t="shared" si="5"/>
        <v>1</v>
      </c>
      <c r="BM23" s="152">
        <f t="shared" si="5"/>
        <v>1</v>
      </c>
      <c r="BN23" s="152">
        <f t="shared" si="5"/>
        <v>1</v>
      </c>
      <c r="BO23" s="152"/>
    </row>
    <row r="24" ht="13.5" customHeight="1" outlineLevel="1">
      <c r="A24" s="138"/>
      <c r="B24" s="139"/>
      <c r="C24" s="138"/>
      <c r="D24" s="138"/>
      <c r="E24" s="140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</row>
    <row r="25" ht="13.5" customHeight="1" outlineLevel="1">
      <c r="A25" s="138"/>
      <c r="B25" s="139">
        <v>3.0</v>
      </c>
      <c r="C25" s="147" t="s">
        <v>140</v>
      </c>
      <c r="D25" s="138"/>
      <c r="E25" s="140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</row>
    <row r="26" ht="13.5" customHeight="1" outlineLevel="1">
      <c r="A26" s="147"/>
      <c r="B26" s="139"/>
      <c r="C26" s="147" t="s">
        <v>141</v>
      </c>
      <c r="D26" s="147"/>
      <c r="E26" s="148"/>
      <c r="F26" s="146"/>
      <c r="G26" s="146">
        <f t="shared" ref="G26:BN26" si="6">SUM(G27:G28)</f>
        <v>125</v>
      </c>
      <c r="H26" s="146">
        <f t="shared" si="6"/>
        <v>70</v>
      </c>
      <c r="I26" s="146">
        <f t="shared" si="6"/>
        <v>70</v>
      </c>
      <c r="J26" s="146">
        <f t="shared" si="6"/>
        <v>70</v>
      </c>
      <c r="K26" s="146">
        <f t="shared" si="6"/>
        <v>70</v>
      </c>
      <c r="L26" s="146">
        <f t="shared" si="6"/>
        <v>70</v>
      </c>
      <c r="M26" s="146">
        <f t="shared" si="6"/>
        <v>70</v>
      </c>
      <c r="N26" s="146">
        <f t="shared" si="6"/>
        <v>70</v>
      </c>
      <c r="O26" s="146">
        <f t="shared" si="6"/>
        <v>70</v>
      </c>
      <c r="P26" s="146">
        <f t="shared" si="6"/>
        <v>70</v>
      </c>
      <c r="Q26" s="146">
        <f t="shared" si="6"/>
        <v>70</v>
      </c>
      <c r="R26" s="146">
        <f t="shared" si="6"/>
        <v>70</v>
      </c>
      <c r="S26" s="146">
        <f t="shared" si="6"/>
        <v>70</v>
      </c>
      <c r="T26" s="146">
        <f t="shared" si="6"/>
        <v>70</v>
      </c>
      <c r="U26" s="146">
        <f t="shared" si="6"/>
        <v>70</v>
      </c>
      <c r="V26" s="146">
        <f t="shared" si="6"/>
        <v>70</v>
      </c>
      <c r="W26" s="146">
        <f t="shared" si="6"/>
        <v>70</v>
      </c>
      <c r="X26" s="146">
        <f t="shared" si="6"/>
        <v>70</v>
      </c>
      <c r="Y26" s="146">
        <f t="shared" si="6"/>
        <v>70</v>
      </c>
      <c r="Z26" s="146">
        <f t="shared" si="6"/>
        <v>70</v>
      </c>
      <c r="AA26" s="146">
        <f t="shared" si="6"/>
        <v>70</v>
      </c>
      <c r="AB26" s="146">
        <f t="shared" si="6"/>
        <v>70</v>
      </c>
      <c r="AC26" s="146">
        <f t="shared" si="6"/>
        <v>70</v>
      </c>
      <c r="AD26" s="146">
        <f t="shared" si="6"/>
        <v>70</v>
      </c>
      <c r="AE26" s="146">
        <f t="shared" si="6"/>
        <v>70</v>
      </c>
      <c r="AF26" s="146">
        <f t="shared" si="6"/>
        <v>70</v>
      </c>
      <c r="AG26" s="146">
        <f t="shared" si="6"/>
        <v>70</v>
      </c>
      <c r="AH26" s="146">
        <f t="shared" si="6"/>
        <v>70</v>
      </c>
      <c r="AI26" s="146">
        <f t="shared" si="6"/>
        <v>70</v>
      </c>
      <c r="AJ26" s="146">
        <f t="shared" si="6"/>
        <v>70</v>
      </c>
      <c r="AK26" s="146">
        <f t="shared" si="6"/>
        <v>70</v>
      </c>
      <c r="AL26" s="146">
        <f t="shared" si="6"/>
        <v>70</v>
      </c>
      <c r="AM26" s="146">
        <f t="shared" si="6"/>
        <v>70</v>
      </c>
      <c r="AN26" s="146">
        <f t="shared" si="6"/>
        <v>70</v>
      </c>
      <c r="AO26" s="146">
        <f t="shared" si="6"/>
        <v>70</v>
      </c>
      <c r="AP26" s="146">
        <f t="shared" si="6"/>
        <v>70</v>
      </c>
      <c r="AQ26" s="146">
        <f t="shared" si="6"/>
        <v>70</v>
      </c>
      <c r="AR26" s="146">
        <f t="shared" si="6"/>
        <v>70</v>
      </c>
      <c r="AS26" s="146">
        <f t="shared" si="6"/>
        <v>70</v>
      </c>
      <c r="AT26" s="146">
        <f t="shared" si="6"/>
        <v>70</v>
      </c>
      <c r="AU26" s="146">
        <f t="shared" si="6"/>
        <v>70</v>
      </c>
      <c r="AV26" s="146">
        <f t="shared" si="6"/>
        <v>70</v>
      </c>
      <c r="AW26" s="146">
        <f t="shared" si="6"/>
        <v>70</v>
      </c>
      <c r="AX26" s="146">
        <f t="shared" si="6"/>
        <v>70</v>
      </c>
      <c r="AY26" s="146">
        <f t="shared" si="6"/>
        <v>70</v>
      </c>
      <c r="AZ26" s="146">
        <f t="shared" si="6"/>
        <v>70</v>
      </c>
      <c r="BA26" s="146">
        <f t="shared" si="6"/>
        <v>70</v>
      </c>
      <c r="BB26" s="146">
        <f t="shared" si="6"/>
        <v>70</v>
      </c>
      <c r="BC26" s="146">
        <f t="shared" si="6"/>
        <v>70</v>
      </c>
      <c r="BD26" s="146">
        <f t="shared" si="6"/>
        <v>70</v>
      </c>
      <c r="BE26" s="146">
        <f t="shared" si="6"/>
        <v>70</v>
      </c>
      <c r="BF26" s="146">
        <f t="shared" si="6"/>
        <v>70</v>
      </c>
      <c r="BG26" s="146">
        <f t="shared" si="6"/>
        <v>70</v>
      </c>
      <c r="BH26" s="146">
        <f t="shared" si="6"/>
        <v>70</v>
      </c>
      <c r="BI26" s="146">
        <f t="shared" si="6"/>
        <v>70</v>
      </c>
      <c r="BJ26" s="146">
        <f t="shared" si="6"/>
        <v>70</v>
      </c>
      <c r="BK26" s="146">
        <f t="shared" si="6"/>
        <v>70</v>
      </c>
      <c r="BL26" s="146">
        <f t="shared" si="6"/>
        <v>70</v>
      </c>
      <c r="BM26" s="146">
        <f t="shared" si="6"/>
        <v>70</v>
      </c>
      <c r="BN26" s="146">
        <f t="shared" si="6"/>
        <v>70</v>
      </c>
      <c r="BO26" s="146"/>
    </row>
    <row r="27" ht="13.5" customHeight="1" outlineLevel="1">
      <c r="A27" s="138"/>
      <c r="B27" s="139"/>
      <c r="C27" s="153" t="s">
        <v>142</v>
      </c>
      <c r="D27" s="138"/>
      <c r="E27" s="140"/>
      <c r="F27" s="141"/>
      <c r="G27" s="141">
        <f>Assumption!E6</f>
        <v>125</v>
      </c>
      <c r="H27" s="141">
        <f>MIN(G27+Assumption!$E$8*(Model!H$2-Model!G$2),Assumption!$E$9)</f>
        <v>70</v>
      </c>
      <c r="I27" s="141">
        <f>MIN(H27+Assumption!$E$8*(Model!I$2-Model!H$2),Assumption!$E$9)</f>
        <v>70</v>
      </c>
      <c r="J27" s="141">
        <f>MIN(I27+Assumption!$E$8*(Model!J$2-Model!I$2),Assumption!$E$9)</f>
        <v>70</v>
      </c>
      <c r="K27" s="141">
        <f>MIN(J27+Assumption!$E$8*(Model!K$2-Model!J$2),Assumption!$E$9)</f>
        <v>70</v>
      </c>
      <c r="L27" s="141">
        <f>MIN(K27+Assumption!$E$8*(Model!L$2-Model!K$2),Assumption!$E$9)</f>
        <v>70</v>
      </c>
      <c r="M27" s="141">
        <f>MIN(L27+Assumption!$E$8*(Model!M$2-Model!L$2),Assumption!$E$9)</f>
        <v>70</v>
      </c>
      <c r="N27" s="141">
        <f>MIN(M27+Assumption!$E$8*(Model!N$2-Model!M$2),Assumption!$E$9)</f>
        <v>70</v>
      </c>
      <c r="O27" s="141">
        <f>MIN(N27+Assumption!$E$8*(Model!O$2-Model!N$2),Assumption!$E$9)</f>
        <v>70</v>
      </c>
      <c r="P27" s="141">
        <f>MIN(O27+Assumption!$E$8*(Model!P$2-Model!O$2),Assumption!$E$9)</f>
        <v>70</v>
      </c>
      <c r="Q27" s="141">
        <f>MIN(P27+Assumption!$E$8*(Model!Q$2-Model!P$2),Assumption!$E$9)</f>
        <v>70</v>
      </c>
      <c r="R27" s="141">
        <f>MIN(Q27+Assumption!$E$8*(Model!R$2-Model!Q$2),Assumption!$E$9)</f>
        <v>70</v>
      </c>
      <c r="S27" s="141">
        <f>MIN(R27+Assumption!$E$8*(Model!S$2-Model!R$2),Assumption!$E$9)</f>
        <v>70</v>
      </c>
      <c r="T27" s="141">
        <f>MIN(S27+Assumption!$E$8*(Model!T$2-Model!S$2),Assumption!$E$9)</f>
        <v>70</v>
      </c>
      <c r="U27" s="141">
        <f>MIN(T27+Assumption!$E$8*(Model!U$2-Model!T$2),Assumption!$E$9)</f>
        <v>70</v>
      </c>
      <c r="V27" s="141">
        <f>MIN(U27+Assumption!$E$8*(Model!V$2-Model!U$2),Assumption!$E$9)</f>
        <v>70</v>
      </c>
      <c r="W27" s="141">
        <f>MIN(V27+Assumption!$E$8*(Model!W$2-Model!V$2),Assumption!$E$9)</f>
        <v>70</v>
      </c>
      <c r="X27" s="141">
        <f>MIN(W27+Assumption!$E$8*(Model!X$2-Model!W$2),Assumption!$E$9)</f>
        <v>70</v>
      </c>
      <c r="Y27" s="141">
        <f>MIN(X27+Assumption!$E$8*(Model!Y$2-Model!X$2),Assumption!$E$9)</f>
        <v>70</v>
      </c>
      <c r="Z27" s="141">
        <f>MIN(Y27+Assumption!$E$8*(Model!Z$2-Model!Y$2),Assumption!$E$9)</f>
        <v>70</v>
      </c>
      <c r="AA27" s="141">
        <f>MIN(Z27+Assumption!$E$8*(Model!AA$2-Model!Z$2),Assumption!$E$9)</f>
        <v>70</v>
      </c>
      <c r="AB27" s="141">
        <f>MIN(AA27+Assumption!$E$8*(Model!AB$2-Model!AA$2),Assumption!$E$9)</f>
        <v>70</v>
      </c>
      <c r="AC27" s="141">
        <f>MIN(AB27+Assumption!$E$8*(Model!AC$2-Model!AB$2),Assumption!$E$9)</f>
        <v>70</v>
      </c>
      <c r="AD27" s="141">
        <f>MIN(AC27+Assumption!$E$8*(Model!AD$2-Model!AC$2),Assumption!$E$9)</f>
        <v>70</v>
      </c>
      <c r="AE27" s="141">
        <f>MIN(AD27+Assumption!$E$8*(Model!AE$2-Model!AD$2),Assumption!$E$9)</f>
        <v>70</v>
      </c>
      <c r="AF27" s="141">
        <f>MIN(AE27+Assumption!$E$8*(Model!AF$2-Model!AE$2),Assumption!$E$9)</f>
        <v>70</v>
      </c>
      <c r="AG27" s="141">
        <f>MIN(AF27+Assumption!$E$8*(Model!AG$2-Model!AF$2),Assumption!$E$9)</f>
        <v>70</v>
      </c>
      <c r="AH27" s="141">
        <f>MIN(AG27+Assumption!$E$8*(Model!AH$2-Model!AG$2),Assumption!$E$9)</f>
        <v>70</v>
      </c>
      <c r="AI27" s="141">
        <f>MIN(AH27+Assumption!$E$8*(Model!AI$2-Model!AH$2),Assumption!$E$9)</f>
        <v>70</v>
      </c>
      <c r="AJ27" s="141">
        <f>MIN(AI27+Assumption!$E$8*(Model!AJ$2-Model!AI$2),Assumption!$E$9)</f>
        <v>70</v>
      </c>
      <c r="AK27" s="141">
        <f>MIN(AJ27+Assumption!$E$8*(Model!AK$2-Model!AJ$2),Assumption!$E$9)</f>
        <v>70</v>
      </c>
      <c r="AL27" s="141">
        <f>MIN(AK27+Assumption!$E$8*(Model!AL$2-Model!AK$2),Assumption!$E$9)</f>
        <v>70</v>
      </c>
      <c r="AM27" s="141">
        <f>MIN(AL27+Assumption!$E$8*(Model!AM$2-Model!AL$2),Assumption!$E$9)</f>
        <v>70</v>
      </c>
      <c r="AN27" s="141">
        <f>MIN(AM27+Assumption!$E$8*(Model!AN$2-Model!AM$2),Assumption!$E$9)</f>
        <v>70</v>
      </c>
      <c r="AO27" s="141">
        <f>MIN(AN27+Assumption!$E$8*(Model!AO$2-Model!AN$2),Assumption!$E$9)</f>
        <v>70</v>
      </c>
      <c r="AP27" s="141">
        <f>MIN(AO27+Assumption!$E$8*(Model!AP$2-Model!AO$2),Assumption!$E$9)</f>
        <v>70</v>
      </c>
      <c r="AQ27" s="141">
        <f>MIN(AP27+Assumption!$E$8*(Model!AQ$2-Model!AP$2),Assumption!$E$9)</f>
        <v>70</v>
      </c>
      <c r="AR27" s="141">
        <f>MIN(AQ27+Assumption!$E$8*(Model!AR$2-Model!AQ$2),Assumption!$E$9)</f>
        <v>70</v>
      </c>
      <c r="AS27" s="141">
        <f>MIN(AR27+Assumption!$E$8*(Model!AS$2-Model!AR$2),Assumption!$E$9)</f>
        <v>70</v>
      </c>
      <c r="AT27" s="141">
        <f>MIN(AS27+Assumption!$E$8*(Model!AT$2-Model!AS$2),Assumption!$E$9)</f>
        <v>70</v>
      </c>
      <c r="AU27" s="141">
        <f>MIN(AT27+Assumption!$E$8*(Model!AU$2-Model!AT$2),Assumption!$E$9)</f>
        <v>70</v>
      </c>
      <c r="AV27" s="141">
        <f>MIN(AU27+Assumption!$E$8*(Model!AV$2-Model!AU$2),Assumption!$E$9)</f>
        <v>70</v>
      </c>
      <c r="AW27" s="141">
        <f>MIN(AV27+Assumption!$E$8*(Model!AW$2-Model!AV$2),Assumption!$E$9)</f>
        <v>70</v>
      </c>
      <c r="AX27" s="141">
        <f>MIN(AW27+Assumption!$E$8*(Model!AX$2-Model!AW$2),Assumption!$E$9)</f>
        <v>70</v>
      </c>
      <c r="AY27" s="141">
        <f>MIN(AX27+Assumption!$E$8*(Model!AY$2-Model!AX$2),Assumption!$E$9)</f>
        <v>70</v>
      </c>
      <c r="AZ27" s="141">
        <f>MIN(AY27+Assumption!$E$8*(Model!AZ$2-Model!AY$2),Assumption!$E$9)</f>
        <v>70</v>
      </c>
      <c r="BA27" s="141">
        <f>MIN(AZ27+Assumption!$E$8*(Model!BA$2-Model!AZ$2),Assumption!$E$9)</f>
        <v>70</v>
      </c>
      <c r="BB27" s="141">
        <f>MIN(BA27+Assumption!$E$8*(Model!BB$2-Model!BA$2),Assumption!$E$9)</f>
        <v>70</v>
      </c>
      <c r="BC27" s="141">
        <f>MIN(BB27+Assumption!$E$8*(Model!BC$2-Model!BB$2),Assumption!$E$9)</f>
        <v>70</v>
      </c>
      <c r="BD27" s="141">
        <f>MIN(BC27+Assumption!$E$8*(Model!BD$2-Model!BC$2),Assumption!$E$9)</f>
        <v>70</v>
      </c>
      <c r="BE27" s="141">
        <f>MIN(BD27+Assumption!$E$8*(Model!BE$2-Model!BD$2),Assumption!$E$9)</f>
        <v>70</v>
      </c>
      <c r="BF27" s="141">
        <f>MIN(BE27+Assumption!$E$8*(Model!BF$2-Model!BE$2),Assumption!$E$9)</f>
        <v>70</v>
      </c>
      <c r="BG27" s="141">
        <f>MIN(BF27+Assumption!$E$8*(Model!BG$2-Model!BF$2),Assumption!$E$9)</f>
        <v>70</v>
      </c>
      <c r="BH27" s="141">
        <f>MIN(BG27+Assumption!$E$8*(Model!BH$2-Model!BG$2),Assumption!$E$9)</f>
        <v>70</v>
      </c>
      <c r="BI27" s="141">
        <f>MIN(BH27+Assumption!$E$8*(Model!BI$2-Model!BH$2),Assumption!$E$9)</f>
        <v>70</v>
      </c>
      <c r="BJ27" s="141">
        <f>MIN(BI27+Assumption!$E$8*(Model!BJ$2-Model!BI$2),Assumption!$E$9)</f>
        <v>70</v>
      </c>
      <c r="BK27" s="141">
        <f>MIN(BJ27+Assumption!$E$8*(Model!BK$2-Model!BJ$2),Assumption!$E$9)</f>
        <v>70</v>
      </c>
      <c r="BL27" s="141">
        <f>MIN(BK27+Assumption!$E$8*(Model!BL$2-Model!BK$2),Assumption!$E$9)</f>
        <v>70</v>
      </c>
      <c r="BM27" s="141">
        <f>MIN(BL27+Assumption!$E$8*(Model!BM$2-Model!BL$2),Assumption!$E$9)</f>
        <v>70</v>
      </c>
      <c r="BN27" s="141">
        <f>MIN(BM27+Assumption!$E$8*(Model!BN$2-Model!BM$2),Assumption!$E$9)</f>
        <v>70</v>
      </c>
      <c r="BO27" s="141"/>
    </row>
    <row r="28" ht="13.5" customHeight="1" outlineLevel="1">
      <c r="A28" s="138"/>
      <c r="B28" s="139"/>
      <c r="C28" s="153" t="s">
        <v>143</v>
      </c>
      <c r="D28" s="138"/>
      <c r="E28" s="140"/>
      <c r="F28" s="141"/>
      <c r="G28" s="141">
        <f>Assumption!F6</f>
        <v>0</v>
      </c>
      <c r="H28" s="141">
        <f>MIN(G28+Assumption!$F$8*(Model!H$2-Model!G$2),Assumption!$F$9)</f>
        <v>0</v>
      </c>
      <c r="I28" s="141">
        <f>MIN(H28+Assumption!$F$8*(Model!I$2-Model!H$2),Assumption!$F$9)</f>
        <v>0</v>
      </c>
      <c r="J28" s="141">
        <f>MIN(I28+Assumption!$F$8*(Model!J$2-Model!I$2),Assumption!$F$9)</f>
        <v>0</v>
      </c>
      <c r="K28" s="141">
        <f>MIN(J28+Assumption!$F$8*(Model!K$2-Model!J$2),Assumption!$F$9)</f>
        <v>0</v>
      </c>
      <c r="L28" s="141">
        <f>MIN(K28+Assumption!$F$8*(Model!L$2-Model!K$2),Assumption!$F$9)</f>
        <v>0</v>
      </c>
      <c r="M28" s="141">
        <f>MIN(L28+Assumption!$F$8*(Model!M$2-Model!L$2),Assumption!$F$9)</f>
        <v>0</v>
      </c>
      <c r="N28" s="141">
        <f>MIN(M28+Assumption!$F$8*(Model!N$2-Model!M$2),Assumption!$F$9)</f>
        <v>0</v>
      </c>
      <c r="O28" s="141">
        <f>MIN(N28+Assumption!$F$8*(Model!O$2-Model!N$2),Assumption!$F$9)</f>
        <v>0</v>
      </c>
      <c r="P28" s="141">
        <f>MIN(O28+Assumption!$F$8*(Model!P$2-Model!O$2),Assumption!$F$9)</f>
        <v>0</v>
      </c>
      <c r="Q28" s="141">
        <f>MIN(P28+Assumption!$F$8*(Model!Q$2-Model!P$2),Assumption!$F$9)</f>
        <v>0</v>
      </c>
      <c r="R28" s="141">
        <f>MIN(Q28+Assumption!$F$8*(Model!R$2-Model!Q$2),Assumption!$F$9)</f>
        <v>0</v>
      </c>
      <c r="S28" s="141">
        <f>MIN(R28+Assumption!$F$8*(Model!S$2-Model!R$2),Assumption!$F$9)</f>
        <v>0</v>
      </c>
      <c r="T28" s="141">
        <f>MIN(S28+Assumption!$F$8*(Model!T$2-Model!S$2),Assumption!$F$9)</f>
        <v>0</v>
      </c>
      <c r="U28" s="141">
        <f>MIN(T28+Assumption!$F$8*(Model!U$2-Model!T$2),Assumption!$F$9)</f>
        <v>0</v>
      </c>
      <c r="V28" s="141">
        <f>MIN(U28+Assumption!$F$8*(Model!V$2-Model!U$2),Assumption!$F$9)</f>
        <v>0</v>
      </c>
      <c r="W28" s="141">
        <f>MIN(V28+Assumption!$F$8*(Model!W$2-Model!V$2),Assumption!$F$9)</f>
        <v>0</v>
      </c>
      <c r="X28" s="141">
        <f>MIN(W28+Assumption!$F$8*(Model!X$2-Model!W$2),Assumption!$F$9)</f>
        <v>0</v>
      </c>
      <c r="Y28" s="141">
        <f>MIN(X28+Assumption!$F$8*(Model!Y$2-Model!X$2),Assumption!$F$9)</f>
        <v>0</v>
      </c>
      <c r="Z28" s="141">
        <f>MIN(Y28+Assumption!$F$8*(Model!Z$2-Model!Y$2),Assumption!$F$9)</f>
        <v>0</v>
      </c>
      <c r="AA28" s="141">
        <f>MIN(Z28+Assumption!$F$8*(Model!AA$2-Model!Z$2),Assumption!$F$9)</f>
        <v>0</v>
      </c>
      <c r="AB28" s="141">
        <f>MIN(AA28+Assumption!$F$8*(Model!AB$2-Model!AA$2),Assumption!$F$9)</f>
        <v>0</v>
      </c>
      <c r="AC28" s="141">
        <f>MIN(AB28+Assumption!$F$8*(Model!AC$2-Model!AB$2),Assumption!$F$9)</f>
        <v>0</v>
      </c>
      <c r="AD28" s="141">
        <f>MIN(AC28+Assumption!$F$8*(Model!AD$2-Model!AC$2),Assumption!$F$9)</f>
        <v>0</v>
      </c>
      <c r="AE28" s="141">
        <f>MIN(AD28+Assumption!$F$8*(Model!AE$2-Model!AD$2),Assumption!$F$9)</f>
        <v>0</v>
      </c>
      <c r="AF28" s="141">
        <f>MIN(AE28+Assumption!$F$8*(Model!AF$2-Model!AE$2),Assumption!$F$9)</f>
        <v>0</v>
      </c>
      <c r="AG28" s="141">
        <f>MIN(AF28+Assumption!$F$8*(Model!AG$2-Model!AF$2),Assumption!$F$9)</f>
        <v>0</v>
      </c>
      <c r="AH28" s="141">
        <f>MIN(AG28+Assumption!$F$8*(Model!AH$2-Model!AG$2),Assumption!$F$9)</f>
        <v>0</v>
      </c>
      <c r="AI28" s="141">
        <f>MIN(AH28+Assumption!$F$8*(Model!AI$2-Model!AH$2),Assumption!$F$9)</f>
        <v>0</v>
      </c>
      <c r="AJ28" s="141">
        <f>MIN(AI28+Assumption!$F$8*(Model!AJ$2-Model!AI$2),Assumption!$F$9)</f>
        <v>0</v>
      </c>
      <c r="AK28" s="141">
        <f>MIN(AJ28+Assumption!$F$8*(Model!AK$2-Model!AJ$2),Assumption!$F$9)</f>
        <v>0</v>
      </c>
      <c r="AL28" s="141">
        <f>MIN(AK28+Assumption!$F$8*(Model!AL$2-Model!AK$2),Assumption!$F$9)</f>
        <v>0</v>
      </c>
      <c r="AM28" s="141">
        <f>MIN(AL28+Assumption!$F$8*(Model!AM$2-Model!AL$2),Assumption!$F$9)</f>
        <v>0</v>
      </c>
      <c r="AN28" s="141">
        <f>MIN(AM28+Assumption!$F$8*(Model!AN$2-Model!AM$2),Assumption!$F$9)</f>
        <v>0</v>
      </c>
      <c r="AO28" s="141">
        <f>MIN(AN28+Assumption!$F$8*(Model!AO$2-Model!AN$2),Assumption!$F$9)</f>
        <v>0</v>
      </c>
      <c r="AP28" s="141">
        <f>MIN(AO28+Assumption!$F$8*(Model!AP$2-Model!AO$2),Assumption!$F$9)</f>
        <v>0</v>
      </c>
      <c r="AQ28" s="141">
        <f>MIN(AP28+Assumption!$F$8*(Model!AQ$2-Model!AP$2),Assumption!$F$9)</f>
        <v>0</v>
      </c>
      <c r="AR28" s="141">
        <f>MIN(AQ28+Assumption!$F$8*(Model!AR$2-Model!AQ$2),Assumption!$F$9)</f>
        <v>0</v>
      </c>
      <c r="AS28" s="141">
        <f>MIN(AR28+Assumption!$F$8*(Model!AS$2-Model!AR$2),Assumption!$F$9)</f>
        <v>0</v>
      </c>
      <c r="AT28" s="141">
        <f>MIN(AS28+Assumption!$F$8*(Model!AT$2-Model!AS$2),Assumption!$F$9)</f>
        <v>0</v>
      </c>
      <c r="AU28" s="141">
        <f>MIN(AT28+Assumption!$F$8*(Model!AU$2-Model!AT$2),Assumption!$F$9)</f>
        <v>0</v>
      </c>
      <c r="AV28" s="141">
        <f>MIN(AU28+Assumption!$F$8*(Model!AV$2-Model!AU$2),Assumption!$F$9)</f>
        <v>0</v>
      </c>
      <c r="AW28" s="141">
        <f>MIN(AV28+Assumption!$F$8*(Model!AW$2-Model!AV$2),Assumption!$F$9)</f>
        <v>0</v>
      </c>
      <c r="AX28" s="141">
        <f>MIN(AW28+Assumption!$F$8*(Model!AX$2-Model!AW$2),Assumption!$F$9)</f>
        <v>0</v>
      </c>
      <c r="AY28" s="141">
        <f>MIN(AX28+Assumption!$F$8*(Model!AY$2-Model!AX$2),Assumption!$F$9)</f>
        <v>0</v>
      </c>
      <c r="AZ28" s="141">
        <f>MIN(AY28+Assumption!$F$8*(Model!AZ$2-Model!AY$2),Assumption!$F$9)</f>
        <v>0</v>
      </c>
      <c r="BA28" s="141">
        <f>MIN(AZ28+Assumption!$F$8*(Model!BA$2-Model!AZ$2),Assumption!$F$9)</f>
        <v>0</v>
      </c>
      <c r="BB28" s="141">
        <f>MIN(BA28+Assumption!$F$8*(Model!BB$2-Model!BA$2),Assumption!$F$9)</f>
        <v>0</v>
      </c>
      <c r="BC28" s="141">
        <f>MIN(BB28+Assumption!$F$8*(Model!BC$2-Model!BB$2),Assumption!$F$9)</f>
        <v>0</v>
      </c>
      <c r="BD28" s="141">
        <f>MIN(BC28+Assumption!$F$8*(Model!BD$2-Model!BC$2),Assumption!$F$9)</f>
        <v>0</v>
      </c>
      <c r="BE28" s="141">
        <f>MIN(BD28+Assumption!$F$8*(Model!BE$2-Model!BD$2),Assumption!$F$9)</f>
        <v>0</v>
      </c>
      <c r="BF28" s="141">
        <f>MIN(BE28+Assumption!$F$8*(Model!BF$2-Model!BE$2),Assumption!$F$9)</f>
        <v>0</v>
      </c>
      <c r="BG28" s="141">
        <f>MIN(BF28+Assumption!$F$8*(Model!BG$2-Model!BF$2),Assumption!$F$9)</f>
        <v>0</v>
      </c>
      <c r="BH28" s="141">
        <f>MIN(BG28+Assumption!$F$8*(Model!BH$2-Model!BG$2),Assumption!$F$9)</f>
        <v>0</v>
      </c>
      <c r="BI28" s="141">
        <f>MIN(BH28+Assumption!$F$8*(Model!BI$2-Model!BH$2),Assumption!$F$9)</f>
        <v>0</v>
      </c>
      <c r="BJ28" s="141">
        <f>MIN(BI28+Assumption!$F$8*(Model!BJ$2-Model!BI$2),Assumption!$F$9)</f>
        <v>0</v>
      </c>
      <c r="BK28" s="141">
        <f>MIN(BJ28+Assumption!$F$8*(Model!BK$2-Model!BJ$2),Assumption!$F$9)</f>
        <v>0</v>
      </c>
      <c r="BL28" s="141">
        <f>MIN(BK28+Assumption!$F$8*(Model!BL$2-Model!BK$2),Assumption!$F$9)</f>
        <v>0</v>
      </c>
      <c r="BM28" s="141">
        <f>MIN(BL28+Assumption!$F$8*(Model!BM$2-Model!BL$2),Assumption!$F$9)</f>
        <v>0</v>
      </c>
      <c r="BN28" s="141">
        <f>MIN(BM28+Assumption!$F$8*(Model!BN$2-Model!BM$2),Assumption!$F$9)</f>
        <v>0</v>
      </c>
      <c r="BO28" s="141"/>
    </row>
    <row r="29" ht="13.5" customHeight="1" outlineLevel="1">
      <c r="A29" s="147"/>
      <c r="B29" s="139"/>
      <c r="C29" s="147" t="s">
        <v>144</v>
      </c>
      <c r="D29" s="147"/>
      <c r="E29" s="148"/>
      <c r="F29" s="146"/>
      <c r="G29" s="146">
        <f t="shared" ref="G29:BN29" si="7">SUM(G30:G31)</f>
        <v>150</v>
      </c>
      <c r="H29" s="146">
        <f t="shared" si="7"/>
        <v>70</v>
      </c>
      <c r="I29" s="146">
        <f t="shared" si="7"/>
        <v>70</v>
      </c>
      <c r="J29" s="146">
        <f t="shared" si="7"/>
        <v>70</v>
      </c>
      <c r="K29" s="146">
        <f t="shared" si="7"/>
        <v>70</v>
      </c>
      <c r="L29" s="146">
        <f t="shared" si="7"/>
        <v>70</v>
      </c>
      <c r="M29" s="146">
        <f t="shared" si="7"/>
        <v>70</v>
      </c>
      <c r="N29" s="146">
        <f t="shared" si="7"/>
        <v>70</v>
      </c>
      <c r="O29" s="146">
        <f t="shared" si="7"/>
        <v>70</v>
      </c>
      <c r="P29" s="146">
        <f t="shared" si="7"/>
        <v>70</v>
      </c>
      <c r="Q29" s="146">
        <f t="shared" si="7"/>
        <v>70</v>
      </c>
      <c r="R29" s="146">
        <f t="shared" si="7"/>
        <v>70</v>
      </c>
      <c r="S29" s="146">
        <f t="shared" si="7"/>
        <v>70</v>
      </c>
      <c r="T29" s="146">
        <f t="shared" si="7"/>
        <v>70</v>
      </c>
      <c r="U29" s="146">
        <f t="shared" si="7"/>
        <v>70</v>
      </c>
      <c r="V29" s="146">
        <f t="shared" si="7"/>
        <v>70</v>
      </c>
      <c r="W29" s="146">
        <f t="shared" si="7"/>
        <v>70</v>
      </c>
      <c r="X29" s="146">
        <f t="shared" si="7"/>
        <v>70</v>
      </c>
      <c r="Y29" s="146">
        <f t="shared" si="7"/>
        <v>70</v>
      </c>
      <c r="Z29" s="146">
        <f t="shared" si="7"/>
        <v>70</v>
      </c>
      <c r="AA29" s="146">
        <f t="shared" si="7"/>
        <v>70</v>
      </c>
      <c r="AB29" s="146">
        <f t="shared" si="7"/>
        <v>70</v>
      </c>
      <c r="AC29" s="146">
        <f t="shared" si="7"/>
        <v>70</v>
      </c>
      <c r="AD29" s="146">
        <f t="shared" si="7"/>
        <v>70</v>
      </c>
      <c r="AE29" s="146">
        <f t="shared" si="7"/>
        <v>70</v>
      </c>
      <c r="AF29" s="146">
        <f t="shared" si="7"/>
        <v>70</v>
      </c>
      <c r="AG29" s="146">
        <f t="shared" si="7"/>
        <v>70</v>
      </c>
      <c r="AH29" s="146">
        <f t="shared" si="7"/>
        <v>70</v>
      </c>
      <c r="AI29" s="146">
        <f t="shared" si="7"/>
        <v>70</v>
      </c>
      <c r="AJ29" s="146">
        <f t="shared" si="7"/>
        <v>70</v>
      </c>
      <c r="AK29" s="146">
        <f t="shared" si="7"/>
        <v>70</v>
      </c>
      <c r="AL29" s="146">
        <f t="shared" si="7"/>
        <v>70</v>
      </c>
      <c r="AM29" s="146">
        <f t="shared" si="7"/>
        <v>70</v>
      </c>
      <c r="AN29" s="146">
        <f t="shared" si="7"/>
        <v>70</v>
      </c>
      <c r="AO29" s="146">
        <f t="shared" si="7"/>
        <v>70</v>
      </c>
      <c r="AP29" s="146">
        <f t="shared" si="7"/>
        <v>70</v>
      </c>
      <c r="AQ29" s="146">
        <f t="shared" si="7"/>
        <v>70</v>
      </c>
      <c r="AR29" s="146">
        <f t="shared" si="7"/>
        <v>70</v>
      </c>
      <c r="AS29" s="146">
        <f t="shared" si="7"/>
        <v>70</v>
      </c>
      <c r="AT29" s="146">
        <f t="shared" si="7"/>
        <v>70</v>
      </c>
      <c r="AU29" s="146">
        <f t="shared" si="7"/>
        <v>70</v>
      </c>
      <c r="AV29" s="146">
        <f t="shared" si="7"/>
        <v>70</v>
      </c>
      <c r="AW29" s="146">
        <f t="shared" si="7"/>
        <v>70</v>
      </c>
      <c r="AX29" s="146">
        <f t="shared" si="7"/>
        <v>70</v>
      </c>
      <c r="AY29" s="146">
        <f t="shared" si="7"/>
        <v>70</v>
      </c>
      <c r="AZ29" s="146">
        <f t="shared" si="7"/>
        <v>70</v>
      </c>
      <c r="BA29" s="146">
        <f t="shared" si="7"/>
        <v>70</v>
      </c>
      <c r="BB29" s="146">
        <f t="shared" si="7"/>
        <v>70</v>
      </c>
      <c r="BC29" s="146">
        <f t="shared" si="7"/>
        <v>70</v>
      </c>
      <c r="BD29" s="146">
        <f t="shared" si="7"/>
        <v>70</v>
      </c>
      <c r="BE29" s="146">
        <f t="shared" si="7"/>
        <v>70</v>
      </c>
      <c r="BF29" s="146">
        <f t="shared" si="7"/>
        <v>70</v>
      </c>
      <c r="BG29" s="146">
        <f t="shared" si="7"/>
        <v>70</v>
      </c>
      <c r="BH29" s="146">
        <f t="shared" si="7"/>
        <v>70</v>
      </c>
      <c r="BI29" s="146">
        <f t="shared" si="7"/>
        <v>70</v>
      </c>
      <c r="BJ29" s="146">
        <f t="shared" si="7"/>
        <v>70</v>
      </c>
      <c r="BK29" s="146">
        <f t="shared" si="7"/>
        <v>70</v>
      </c>
      <c r="BL29" s="146">
        <f t="shared" si="7"/>
        <v>70</v>
      </c>
      <c r="BM29" s="146">
        <f t="shared" si="7"/>
        <v>70</v>
      </c>
      <c r="BN29" s="146">
        <f t="shared" si="7"/>
        <v>70</v>
      </c>
      <c r="BO29" s="146"/>
    </row>
    <row r="30" ht="13.5" customHeight="1" outlineLevel="1">
      <c r="A30" s="138"/>
      <c r="B30" s="139"/>
      <c r="C30" s="153" t="s">
        <v>142</v>
      </c>
      <c r="D30" s="138"/>
      <c r="E30" s="140"/>
      <c r="F30" s="141"/>
      <c r="G30" s="141">
        <f>Assumption!E13</f>
        <v>150</v>
      </c>
      <c r="H30" s="141">
        <f>MIN(G30+Assumption!$E$15*(Model!H$2-Model!G$2),Assumption!$E$16)</f>
        <v>70</v>
      </c>
      <c r="I30" s="141">
        <f>MIN(H30+Assumption!$E$15*(Model!I$2-Model!H$2),Assumption!$E$16)</f>
        <v>70</v>
      </c>
      <c r="J30" s="141">
        <f>MIN(I30+Assumption!$E$15*(Model!J$2-Model!I$2),Assumption!$E$16)</f>
        <v>70</v>
      </c>
      <c r="K30" s="141">
        <f>MIN(J30+Assumption!$E$15*(Model!K$2-Model!J$2),Assumption!$E$16)</f>
        <v>70</v>
      </c>
      <c r="L30" s="141">
        <f>MIN(K30+Assumption!$E$15*(Model!L$2-Model!K$2),Assumption!$E$16)</f>
        <v>70</v>
      </c>
      <c r="M30" s="141">
        <f>MIN(L30+Assumption!$E$15*(Model!M$2-Model!L$2),Assumption!$E$16)</f>
        <v>70</v>
      </c>
      <c r="N30" s="141">
        <f>MIN(M30+Assumption!$E$15*(Model!N$2-Model!M$2),Assumption!$E$16)</f>
        <v>70</v>
      </c>
      <c r="O30" s="141">
        <f>MIN(N30+Assumption!$E$15*(Model!O$2-Model!N$2),Assumption!$E$16)</f>
        <v>70</v>
      </c>
      <c r="P30" s="141">
        <f>MIN(O30+Assumption!$E$15*(Model!P$2-Model!O$2),Assumption!$E$16)</f>
        <v>70</v>
      </c>
      <c r="Q30" s="141">
        <f>MIN(P30+Assumption!$E$15*(Model!Q$2-Model!P$2),Assumption!$E$16)</f>
        <v>70</v>
      </c>
      <c r="R30" s="141">
        <f>MIN(Q30+Assumption!$E$15*(Model!R$2-Model!Q$2),Assumption!$E$16)</f>
        <v>70</v>
      </c>
      <c r="S30" s="141">
        <f>MIN(R30+Assumption!$E$15*(Model!S$2-Model!R$2),Assumption!$E$16)</f>
        <v>70</v>
      </c>
      <c r="T30" s="141">
        <f>MIN(S30+Assumption!$E$15*(Model!T$2-Model!S$2),Assumption!$E$16)</f>
        <v>70</v>
      </c>
      <c r="U30" s="141">
        <f>MIN(T30+Assumption!$E$15*(Model!U$2-Model!T$2),Assumption!$E$16)</f>
        <v>70</v>
      </c>
      <c r="V30" s="141">
        <f>MIN(U30+Assumption!$E$15*(Model!V$2-Model!U$2),Assumption!$E$16)</f>
        <v>70</v>
      </c>
      <c r="W30" s="141">
        <f>MIN(V30+Assumption!$E$15*(Model!W$2-Model!V$2),Assumption!$E$16)</f>
        <v>70</v>
      </c>
      <c r="X30" s="141">
        <f>MIN(W30+Assumption!$E$15*(Model!X$2-Model!W$2),Assumption!$E$16)</f>
        <v>70</v>
      </c>
      <c r="Y30" s="141">
        <f>MIN(X30+Assumption!$E$15*(Model!Y$2-Model!X$2),Assumption!$E$16)</f>
        <v>70</v>
      </c>
      <c r="Z30" s="141">
        <f>MIN(Y30+Assumption!$E$15*(Model!Z$2-Model!Y$2),Assumption!$E$16)</f>
        <v>70</v>
      </c>
      <c r="AA30" s="141">
        <f>MIN(Z30+Assumption!$E$15*(Model!AA$2-Model!Z$2),Assumption!$E$16)</f>
        <v>70</v>
      </c>
      <c r="AB30" s="141">
        <f>MIN(AA30+Assumption!$E$15*(Model!AB$2-Model!AA$2),Assumption!$E$16)</f>
        <v>70</v>
      </c>
      <c r="AC30" s="141">
        <f>MIN(AB30+Assumption!$E$15*(Model!AC$2-Model!AB$2),Assumption!$E$16)</f>
        <v>70</v>
      </c>
      <c r="AD30" s="141">
        <f>MIN(AC30+Assumption!$E$15*(Model!AD$2-Model!AC$2),Assumption!$E$16)</f>
        <v>70</v>
      </c>
      <c r="AE30" s="141">
        <f>MIN(AD30+Assumption!$E$15*(Model!AE$2-Model!AD$2),Assumption!$E$16)</f>
        <v>70</v>
      </c>
      <c r="AF30" s="141">
        <f>MIN(AE30+Assumption!$E$15*(Model!AF$2-Model!AE$2),Assumption!$E$16)</f>
        <v>70</v>
      </c>
      <c r="AG30" s="141">
        <f>MIN(AF30+Assumption!$E$15*(Model!AG$2-Model!AF$2),Assumption!$E$16)</f>
        <v>70</v>
      </c>
      <c r="AH30" s="141">
        <f>MIN(AG30+Assumption!$E$15*(Model!AH$2-Model!AG$2),Assumption!$E$16)</f>
        <v>70</v>
      </c>
      <c r="AI30" s="141">
        <f>MIN(AH30+Assumption!$E$15*(Model!AI$2-Model!AH$2),Assumption!$E$16)</f>
        <v>70</v>
      </c>
      <c r="AJ30" s="141">
        <f>MIN(AI30+Assumption!$E$15*(Model!AJ$2-Model!AI$2),Assumption!$E$16)</f>
        <v>70</v>
      </c>
      <c r="AK30" s="141">
        <f>MIN(AJ30+Assumption!$E$15*(Model!AK$2-Model!AJ$2),Assumption!$E$16)</f>
        <v>70</v>
      </c>
      <c r="AL30" s="141">
        <f>MIN(AK30+Assumption!$E$15*(Model!AL$2-Model!AK$2),Assumption!$E$16)</f>
        <v>70</v>
      </c>
      <c r="AM30" s="141">
        <f>MIN(AL30+Assumption!$E$15*(Model!AM$2-Model!AL$2),Assumption!$E$16)</f>
        <v>70</v>
      </c>
      <c r="AN30" s="141">
        <f>MIN(AM30+Assumption!$E$15*(Model!AN$2-Model!AM$2),Assumption!$E$16)</f>
        <v>70</v>
      </c>
      <c r="AO30" s="141">
        <f>MIN(AN30+Assumption!$E$15*(Model!AO$2-Model!AN$2),Assumption!$E$16)</f>
        <v>70</v>
      </c>
      <c r="AP30" s="141">
        <f>MIN(AO30+Assumption!$E$15*(Model!AP$2-Model!AO$2),Assumption!$E$16)</f>
        <v>70</v>
      </c>
      <c r="AQ30" s="141">
        <f>MIN(AP30+Assumption!$E$15*(Model!AQ$2-Model!AP$2),Assumption!$E$16)</f>
        <v>70</v>
      </c>
      <c r="AR30" s="141">
        <f>MIN(AQ30+Assumption!$E$15*(Model!AR$2-Model!AQ$2),Assumption!$E$16)</f>
        <v>70</v>
      </c>
      <c r="AS30" s="141">
        <f>MIN(AR30+Assumption!$E$15*(Model!AS$2-Model!AR$2),Assumption!$E$16)</f>
        <v>70</v>
      </c>
      <c r="AT30" s="141">
        <f>MIN(AS30+Assumption!$E$15*(Model!AT$2-Model!AS$2),Assumption!$E$16)</f>
        <v>70</v>
      </c>
      <c r="AU30" s="141">
        <f>MIN(AT30+Assumption!$E$15*(Model!AU$2-Model!AT$2),Assumption!$E$16)</f>
        <v>70</v>
      </c>
      <c r="AV30" s="141">
        <f>MIN(AU30+Assumption!$E$15*(Model!AV$2-Model!AU$2),Assumption!$E$16)</f>
        <v>70</v>
      </c>
      <c r="AW30" s="141">
        <f>MIN(AV30+Assumption!$E$15*(Model!AW$2-Model!AV$2),Assumption!$E$16)</f>
        <v>70</v>
      </c>
      <c r="AX30" s="141">
        <f>MIN(AW30+Assumption!$E$15*(Model!AX$2-Model!AW$2),Assumption!$E$16)</f>
        <v>70</v>
      </c>
      <c r="AY30" s="141">
        <f>MIN(AX30+Assumption!$E$15*(Model!AY$2-Model!AX$2),Assumption!$E$16)</f>
        <v>70</v>
      </c>
      <c r="AZ30" s="141">
        <f>MIN(AY30+Assumption!$E$15*(Model!AZ$2-Model!AY$2),Assumption!$E$16)</f>
        <v>70</v>
      </c>
      <c r="BA30" s="141">
        <f>MIN(AZ30+Assumption!$E$15*(Model!BA$2-Model!AZ$2),Assumption!$E$16)</f>
        <v>70</v>
      </c>
      <c r="BB30" s="141">
        <f>MIN(BA30+Assumption!$E$15*(Model!BB$2-Model!BA$2),Assumption!$E$16)</f>
        <v>70</v>
      </c>
      <c r="BC30" s="141">
        <f>MIN(BB30+Assumption!$E$15*(Model!BC$2-Model!BB$2),Assumption!$E$16)</f>
        <v>70</v>
      </c>
      <c r="BD30" s="141">
        <f>MIN(BC30+Assumption!$E$15*(Model!BD$2-Model!BC$2),Assumption!$E$16)</f>
        <v>70</v>
      </c>
      <c r="BE30" s="141">
        <f>MIN(BD30+Assumption!$E$15*(Model!BE$2-Model!BD$2),Assumption!$E$16)</f>
        <v>70</v>
      </c>
      <c r="BF30" s="141">
        <f>MIN(BE30+Assumption!$E$15*(Model!BF$2-Model!BE$2),Assumption!$E$16)</f>
        <v>70</v>
      </c>
      <c r="BG30" s="141">
        <f>MIN(BF30+Assumption!$E$15*(Model!BG$2-Model!BF$2),Assumption!$E$16)</f>
        <v>70</v>
      </c>
      <c r="BH30" s="141">
        <f>MIN(BG30+Assumption!$E$15*(Model!BH$2-Model!BG$2),Assumption!$E$16)</f>
        <v>70</v>
      </c>
      <c r="BI30" s="141">
        <f>MIN(BH30+Assumption!$E$15*(Model!BI$2-Model!BH$2),Assumption!$E$16)</f>
        <v>70</v>
      </c>
      <c r="BJ30" s="141">
        <f>MIN(BI30+Assumption!$E$15*(Model!BJ$2-Model!BI$2),Assumption!$E$16)</f>
        <v>70</v>
      </c>
      <c r="BK30" s="141">
        <f>MIN(BJ30+Assumption!$E$15*(Model!BK$2-Model!BJ$2),Assumption!$E$16)</f>
        <v>70</v>
      </c>
      <c r="BL30" s="141">
        <f>MIN(BK30+Assumption!$E$15*(Model!BL$2-Model!BK$2),Assumption!$E$16)</f>
        <v>70</v>
      </c>
      <c r="BM30" s="141">
        <f>MIN(BL30+Assumption!$E$15*(Model!BM$2-Model!BL$2),Assumption!$E$16)</f>
        <v>70</v>
      </c>
      <c r="BN30" s="141">
        <f>MIN(BM30+Assumption!$E$15*(Model!BN$2-Model!BM$2),Assumption!$E$16)</f>
        <v>70</v>
      </c>
      <c r="BO30" s="141"/>
    </row>
    <row r="31" ht="13.5" customHeight="1" outlineLevel="1">
      <c r="A31" s="138"/>
      <c r="B31" s="139"/>
      <c r="C31" s="153" t="s">
        <v>143</v>
      </c>
      <c r="D31" s="138"/>
      <c r="E31" s="140"/>
      <c r="F31" s="141"/>
      <c r="G31" s="141">
        <f>Assumption!F13</f>
        <v>0</v>
      </c>
      <c r="H31" s="141">
        <f>MIN(G31+Assumption!$F$15*(Model!H$2-Model!G$2),Assumption!$F$16)</f>
        <v>0</v>
      </c>
      <c r="I31" s="141">
        <f>MIN(H31+Assumption!$F$15*(Model!I$2-Model!H$2),Assumption!$F$16)</f>
        <v>0</v>
      </c>
      <c r="J31" s="141">
        <f>MIN(I31+Assumption!$F$15*(Model!J$2-Model!I$2),Assumption!$F$16)</f>
        <v>0</v>
      </c>
      <c r="K31" s="141">
        <f>MIN(J31+Assumption!$F$15*(Model!K$2-Model!J$2),Assumption!$F$16)</f>
        <v>0</v>
      </c>
      <c r="L31" s="141">
        <f>MIN(K31+Assumption!$F$15*(Model!L$2-Model!K$2),Assumption!$F$16)</f>
        <v>0</v>
      </c>
      <c r="M31" s="141">
        <f>MIN(L31+Assumption!$F$15*(Model!M$2-Model!L$2),Assumption!$F$16)</f>
        <v>0</v>
      </c>
      <c r="N31" s="141">
        <f>MIN(M31+Assumption!$F$15*(Model!N$2-Model!M$2),Assumption!$F$16)</f>
        <v>0</v>
      </c>
      <c r="O31" s="141">
        <f>MIN(N31+Assumption!$F$15*(Model!O$2-Model!N$2),Assumption!$F$16)</f>
        <v>0</v>
      </c>
      <c r="P31" s="141">
        <f>MIN(O31+Assumption!$F$15*(Model!P$2-Model!O$2),Assumption!$F$16)</f>
        <v>0</v>
      </c>
      <c r="Q31" s="141">
        <f>MIN(P31+Assumption!$F$15*(Model!Q$2-Model!P$2),Assumption!$F$16)</f>
        <v>0</v>
      </c>
      <c r="R31" s="141">
        <f>MIN(Q31+Assumption!$F$15*(Model!R$2-Model!Q$2),Assumption!$F$16)</f>
        <v>0</v>
      </c>
      <c r="S31" s="141">
        <f>MIN(R31+Assumption!$F$15*(Model!S$2-Model!R$2),Assumption!$F$16)</f>
        <v>0</v>
      </c>
      <c r="T31" s="141">
        <f>MIN(S31+Assumption!$F$15*(Model!T$2-Model!S$2),Assumption!$F$16)</f>
        <v>0</v>
      </c>
      <c r="U31" s="141">
        <f>MIN(T31+Assumption!$F$15*(Model!U$2-Model!T$2),Assumption!$F$16)</f>
        <v>0</v>
      </c>
      <c r="V31" s="141">
        <f>MIN(U31+Assumption!$F$15*(Model!V$2-Model!U$2),Assumption!$F$16)</f>
        <v>0</v>
      </c>
      <c r="W31" s="141">
        <f>MIN(V31+Assumption!$F$15*(Model!W$2-Model!V$2),Assumption!$F$16)</f>
        <v>0</v>
      </c>
      <c r="X31" s="141">
        <f>MIN(W31+Assumption!$F$15*(Model!X$2-Model!W$2),Assumption!$F$16)</f>
        <v>0</v>
      </c>
      <c r="Y31" s="141">
        <f>MIN(X31+Assumption!$F$15*(Model!Y$2-Model!X$2),Assumption!$F$16)</f>
        <v>0</v>
      </c>
      <c r="Z31" s="141">
        <f>MIN(Y31+Assumption!$F$15*(Model!Z$2-Model!Y$2),Assumption!$F$16)</f>
        <v>0</v>
      </c>
      <c r="AA31" s="141">
        <f>MIN(Z31+Assumption!$F$15*(Model!AA$2-Model!Z$2),Assumption!$F$16)</f>
        <v>0</v>
      </c>
      <c r="AB31" s="141">
        <f>MIN(AA31+Assumption!$F$15*(Model!AB$2-Model!AA$2),Assumption!$F$16)</f>
        <v>0</v>
      </c>
      <c r="AC31" s="141">
        <f>MIN(AB31+Assumption!$F$15*(Model!AC$2-Model!AB$2),Assumption!$F$16)</f>
        <v>0</v>
      </c>
      <c r="AD31" s="141">
        <f>MIN(AC31+Assumption!$F$15*(Model!AD$2-Model!AC$2),Assumption!$F$16)</f>
        <v>0</v>
      </c>
      <c r="AE31" s="141">
        <f>MIN(AD31+Assumption!$F$15*(Model!AE$2-Model!AD$2),Assumption!$F$16)</f>
        <v>0</v>
      </c>
      <c r="AF31" s="141">
        <f>MIN(AE31+Assumption!$F$15*(Model!AF$2-Model!AE$2),Assumption!$F$16)</f>
        <v>0</v>
      </c>
      <c r="AG31" s="141">
        <f>MIN(AF31+Assumption!$F$15*(Model!AG$2-Model!AF$2),Assumption!$F$16)</f>
        <v>0</v>
      </c>
      <c r="AH31" s="141">
        <f>MIN(AG31+Assumption!$F$15*(Model!AH$2-Model!AG$2),Assumption!$F$16)</f>
        <v>0</v>
      </c>
      <c r="AI31" s="141">
        <f>MIN(AH31+Assumption!$F$15*(Model!AI$2-Model!AH$2),Assumption!$F$16)</f>
        <v>0</v>
      </c>
      <c r="AJ31" s="141">
        <f>MIN(AI31+Assumption!$F$15*(Model!AJ$2-Model!AI$2),Assumption!$F$16)</f>
        <v>0</v>
      </c>
      <c r="AK31" s="141">
        <f>MIN(AJ31+Assumption!$F$15*(Model!AK$2-Model!AJ$2),Assumption!$F$16)</f>
        <v>0</v>
      </c>
      <c r="AL31" s="141">
        <f>MIN(AK31+Assumption!$F$15*(Model!AL$2-Model!AK$2),Assumption!$F$16)</f>
        <v>0</v>
      </c>
      <c r="AM31" s="141">
        <f>MIN(AL31+Assumption!$F$15*(Model!AM$2-Model!AL$2),Assumption!$F$16)</f>
        <v>0</v>
      </c>
      <c r="AN31" s="141">
        <f>MIN(AM31+Assumption!$F$15*(Model!AN$2-Model!AM$2),Assumption!$F$16)</f>
        <v>0</v>
      </c>
      <c r="AO31" s="141">
        <f>MIN(AN31+Assumption!$F$15*(Model!AO$2-Model!AN$2),Assumption!$F$16)</f>
        <v>0</v>
      </c>
      <c r="AP31" s="141">
        <f>MIN(AO31+Assumption!$F$15*(Model!AP$2-Model!AO$2),Assumption!$F$16)</f>
        <v>0</v>
      </c>
      <c r="AQ31" s="141">
        <f>MIN(AP31+Assumption!$F$15*(Model!AQ$2-Model!AP$2),Assumption!$F$16)</f>
        <v>0</v>
      </c>
      <c r="AR31" s="141">
        <f>MIN(AQ31+Assumption!$F$15*(Model!AR$2-Model!AQ$2),Assumption!$F$16)</f>
        <v>0</v>
      </c>
      <c r="AS31" s="141">
        <f>MIN(AR31+Assumption!$F$15*(Model!AS$2-Model!AR$2),Assumption!$F$16)</f>
        <v>0</v>
      </c>
      <c r="AT31" s="141">
        <f>MIN(AS31+Assumption!$F$15*(Model!AT$2-Model!AS$2),Assumption!$F$16)</f>
        <v>0</v>
      </c>
      <c r="AU31" s="141">
        <f>MIN(AT31+Assumption!$F$15*(Model!AU$2-Model!AT$2),Assumption!$F$16)</f>
        <v>0</v>
      </c>
      <c r="AV31" s="141">
        <f>MIN(AU31+Assumption!$F$15*(Model!AV$2-Model!AU$2),Assumption!$F$16)</f>
        <v>0</v>
      </c>
      <c r="AW31" s="141">
        <f>MIN(AV31+Assumption!$F$15*(Model!AW$2-Model!AV$2),Assumption!$F$16)</f>
        <v>0</v>
      </c>
      <c r="AX31" s="141">
        <f>MIN(AW31+Assumption!$F$15*(Model!AX$2-Model!AW$2),Assumption!$F$16)</f>
        <v>0</v>
      </c>
      <c r="AY31" s="141">
        <f>MIN(AX31+Assumption!$F$15*(Model!AY$2-Model!AX$2),Assumption!$F$16)</f>
        <v>0</v>
      </c>
      <c r="AZ31" s="141">
        <f>MIN(AY31+Assumption!$F$15*(Model!AZ$2-Model!AY$2),Assumption!$F$16)</f>
        <v>0</v>
      </c>
      <c r="BA31" s="141">
        <f>MIN(AZ31+Assumption!$F$15*(Model!BA$2-Model!AZ$2),Assumption!$F$16)</f>
        <v>0</v>
      </c>
      <c r="BB31" s="141">
        <f>MIN(BA31+Assumption!$F$15*(Model!BB$2-Model!BA$2),Assumption!$F$16)</f>
        <v>0</v>
      </c>
      <c r="BC31" s="141">
        <f>MIN(BB31+Assumption!$F$15*(Model!BC$2-Model!BB$2),Assumption!$F$16)</f>
        <v>0</v>
      </c>
      <c r="BD31" s="141">
        <f>MIN(BC31+Assumption!$F$15*(Model!BD$2-Model!BC$2),Assumption!$F$16)</f>
        <v>0</v>
      </c>
      <c r="BE31" s="141">
        <f>MIN(BD31+Assumption!$F$15*(Model!BE$2-Model!BD$2),Assumption!$F$16)</f>
        <v>0</v>
      </c>
      <c r="BF31" s="141">
        <f>MIN(BE31+Assumption!$F$15*(Model!BF$2-Model!BE$2),Assumption!$F$16)</f>
        <v>0</v>
      </c>
      <c r="BG31" s="141">
        <f>MIN(BF31+Assumption!$F$15*(Model!BG$2-Model!BF$2),Assumption!$F$16)</f>
        <v>0</v>
      </c>
      <c r="BH31" s="141">
        <f>MIN(BG31+Assumption!$F$15*(Model!BH$2-Model!BG$2),Assumption!$F$16)</f>
        <v>0</v>
      </c>
      <c r="BI31" s="141">
        <f>MIN(BH31+Assumption!$F$15*(Model!BI$2-Model!BH$2),Assumption!$F$16)</f>
        <v>0</v>
      </c>
      <c r="BJ31" s="141">
        <f>MIN(BI31+Assumption!$F$15*(Model!BJ$2-Model!BI$2),Assumption!$F$16)</f>
        <v>0</v>
      </c>
      <c r="BK31" s="141">
        <f>MIN(BJ31+Assumption!$F$15*(Model!BK$2-Model!BJ$2),Assumption!$F$16)</f>
        <v>0</v>
      </c>
      <c r="BL31" s="141">
        <f>MIN(BK31+Assumption!$F$15*(Model!BL$2-Model!BK$2),Assumption!$F$16)</f>
        <v>0</v>
      </c>
      <c r="BM31" s="141">
        <f>MIN(BL31+Assumption!$F$15*(Model!BM$2-Model!BL$2),Assumption!$F$16)</f>
        <v>0</v>
      </c>
      <c r="BN31" s="141">
        <f>MIN(BM31+Assumption!$F$15*(Model!BN$2-Model!BM$2),Assumption!$F$16)</f>
        <v>0</v>
      </c>
      <c r="BO31" s="141"/>
    </row>
    <row r="32" ht="13.5" customHeight="1" outlineLevel="1">
      <c r="A32" s="147"/>
      <c r="B32" s="139"/>
      <c r="C32" s="147" t="s">
        <v>145</v>
      </c>
      <c r="D32" s="147"/>
      <c r="E32" s="148"/>
      <c r="F32" s="146"/>
      <c r="G32" s="146">
        <f t="shared" ref="G32:BN32" si="8">G26+G29</f>
        <v>275</v>
      </c>
      <c r="H32" s="146">
        <f t="shared" si="8"/>
        <v>140</v>
      </c>
      <c r="I32" s="146">
        <f t="shared" si="8"/>
        <v>140</v>
      </c>
      <c r="J32" s="146">
        <f t="shared" si="8"/>
        <v>140</v>
      </c>
      <c r="K32" s="146">
        <f t="shared" si="8"/>
        <v>140</v>
      </c>
      <c r="L32" s="146">
        <f t="shared" si="8"/>
        <v>140</v>
      </c>
      <c r="M32" s="146">
        <f t="shared" si="8"/>
        <v>140</v>
      </c>
      <c r="N32" s="146">
        <f t="shared" si="8"/>
        <v>140</v>
      </c>
      <c r="O32" s="146">
        <f t="shared" si="8"/>
        <v>140</v>
      </c>
      <c r="P32" s="146">
        <f t="shared" si="8"/>
        <v>140</v>
      </c>
      <c r="Q32" s="146">
        <f t="shared" si="8"/>
        <v>140</v>
      </c>
      <c r="R32" s="146">
        <f t="shared" si="8"/>
        <v>140</v>
      </c>
      <c r="S32" s="146">
        <f t="shared" si="8"/>
        <v>140</v>
      </c>
      <c r="T32" s="146">
        <f t="shared" si="8"/>
        <v>140</v>
      </c>
      <c r="U32" s="146">
        <f t="shared" si="8"/>
        <v>140</v>
      </c>
      <c r="V32" s="146">
        <f t="shared" si="8"/>
        <v>140</v>
      </c>
      <c r="W32" s="146">
        <f t="shared" si="8"/>
        <v>140</v>
      </c>
      <c r="X32" s="146">
        <f t="shared" si="8"/>
        <v>140</v>
      </c>
      <c r="Y32" s="146">
        <f t="shared" si="8"/>
        <v>140</v>
      </c>
      <c r="Z32" s="146">
        <f t="shared" si="8"/>
        <v>140</v>
      </c>
      <c r="AA32" s="146">
        <f t="shared" si="8"/>
        <v>140</v>
      </c>
      <c r="AB32" s="146">
        <f t="shared" si="8"/>
        <v>140</v>
      </c>
      <c r="AC32" s="146">
        <f t="shared" si="8"/>
        <v>140</v>
      </c>
      <c r="AD32" s="146">
        <f t="shared" si="8"/>
        <v>140</v>
      </c>
      <c r="AE32" s="146">
        <f t="shared" si="8"/>
        <v>140</v>
      </c>
      <c r="AF32" s="146">
        <f t="shared" si="8"/>
        <v>140</v>
      </c>
      <c r="AG32" s="146">
        <f t="shared" si="8"/>
        <v>140</v>
      </c>
      <c r="AH32" s="146">
        <f t="shared" si="8"/>
        <v>140</v>
      </c>
      <c r="AI32" s="146">
        <f t="shared" si="8"/>
        <v>140</v>
      </c>
      <c r="AJ32" s="146">
        <f t="shared" si="8"/>
        <v>140</v>
      </c>
      <c r="AK32" s="146">
        <f t="shared" si="8"/>
        <v>140</v>
      </c>
      <c r="AL32" s="146">
        <f t="shared" si="8"/>
        <v>140</v>
      </c>
      <c r="AM32" s="146">
        <f t="shared" si="8"/>
        <v>140</v>
      </c>
      <c r="AN32" s="146">
        <f t="shared" si="8"/>
        <v>140</v>
      </c>
      <c r="AO32" s="146">
        <f t="shared" si="8"/>
        <v>140</v>
      </c>
      <c r="AP32" s="146">
        <f t="shared" si="8"/>
        <v>140</v>
      </c>
      <c r="AQ32" s="146">
        <f t="shared" si="8"/>
        <v>140</v>
      </c>
      <c r="AR32" s="146">
        <f t="shared" si="8"/>
        <v>140</v>
      </c>
      <c r="AS32" s="146">
        <f t="shared" si="8"/>
        <v>140</v>
      </c>
      <c r="AT32" s="146">
        <f t="shared" si="8"/>
        <v>140</v>
      </c>
      <c r="AU32" s="146">
        <f t="shared" si="8"/>
        <v>140</v>
      </c>
      <c r="AV32" s="146">
        <f t="shared" si="8"/>
        <v>140</v>
      </c>
      <c r="AW32" s="146">
        <f t="shared" si="8"/>
        <v>140</v>
      </c>
      <c r="AX32" s="146">
        <f t="shared" si="8"/>
        <v>140</v>
      </c>
      <c r="AY32" s="146">
        <f t="shared" si="8"/>
        <v>140</v>
      </c>
      <c r="AZ32" s="146">
        <f t="shared" si="8"/>
        <v>140</v>
      </c>
      <c r="BA32" s="146">
        <f t="shared" si="8"/>
        <v>140</v>
      </c>
      <c r="BB32" s="146">
        <f t="shared" si="8"/>
        <v>140</v>
      </c>
      <c r="BC32" s="146">
        <f t="shared" si="8"/>
        <v>140</v>
      </c>
      <c r="BD32" s="146">
        <f t="shared" si="8"/>
        <v>140</v>
      </c>
      <c r="BE32" s="146">
        <f t="shared" si="8"/>
        <v>140</v>
      </c>
      <c r="BF32" s="146">
        <f t="shared" si="8"/>
        <v>140</v>
      </c>
      <c r="BG32" s="146">
        <f t="shared" si="8"/>
        <v>140</v>
      </c>
      <c r="BH32" s="146">
        <f t="shared" si="8"/>
        <v>140</v>
      </c>
      <c r="BI32" s="146">
        <f t="shared" si="8"/>
        <v>140</v>
      </c>
      <c r="BJ32" s="146">
        <f t="shared" si="8"/>
        <v>140</v>
      </c>
      <c r="BK32" s="146">
        <f t="shared" si="8"/>
        <v>140</v>
      </c>
      <c r="BL32" s="146">
        <f t="shared" si="8"/>
        <v>140</v>
      </c>
      <c r="BM32" s="146">
        <f t="shared" si="8"/>
        <v>140</v>
      </c>
      <c r="BN32" s="146">
        <f t="shared" si="8"/>
        <v>140</v>
      </c>
      <c r="BO32" s="146"/>
    </row>
    <row r="33" ht="13.5" customHeight="1" outlineLevel="1">
      <c r="A33" s="147"/>
      <c r="B33" s="139"/>
      <c r="C33" s="147"/>
      <c r="D33" s="147"/>
      <c r="E33" s="148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</row>
    <row r="34" ht="13.5" customHeight="1" outlineLevel="1">
      <c r="A34" s="138"/>
      <c r="B34" s="139">
        <v>4.0</v>
      </c>
      <c r="C34" s="147" t="s">
        <v>146</v>
      </c>
      <c r="D34" s="138"/>
      <c r="E34" s="140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</row>
    <row r="35" ht="13.5" customHeight="1" outlineLevel="1">
      <c r="A35" s="147"/>
      <c r="B35" s="139"/>
      <c r="C35" s="147" t="s">
        <v>141</v>
      </c>
      <c r="D35" s="147"/>
      <c r="E35" s="148"/>
      <c r="F35" s="146"/>
      <c r="G35" s="146">
        <f t="shared" ref="G35:BN35" si="9">SUM(G36:G37)</f>
        <v>1125</v>
      </c>
      <c r="H35" s="146">
        <f t="shared" si="9"/>
        <v>756</v>
      </c>
      <c r="I35" s="146">
        <f t="shared" si="9"/>
        <v>833</v>
      </c>
      <c r="J35" s="146">
        <f t="shared" si="9"/>
        <v>1008</v>
      </c>
      <c r="K35" s="146">
        <f t="shared" si="9"/>
        <v>1071</v>
      </c>
      <c r="L35" s="146">
        <f t="shared" si="9"/>
        <v>1190</v>
      </c>
      <c r="M35" s="146">
        <f t="shared" si="9"/>
        <v>1596</v>
      </c>
      <c r="N35" s="146">
        <f t="shared" si="9"/>
        <v>1120</v>
      </c>
      <c r="O35" s="146">
        <f t="shared" si="9"/>
        <v>448</v>
      </c>
      <c r="P35" s="146">
        <f t="shared" si="9"/>
        <v>1330</v>
      </c>
      <c r="Q35" s="146">
        <f t="shared" si="9"/>
        <v>1190</v>
      </c>
      <c r="R35" s="146">
        <f t="shared" si="9"/>
        <v>1190</v>
      </c>
      <c r="S35" s="146">
        <f t="shared" si="9"/>
        <v>1260</v>
      </c>
      <c r="T35" s="146">
        <f t="shared" si="9"/>
        <v>1190</v>
      </c>
      <c r="U35" s="146">
        <f t="shared" si="9"/>
        <v>1260</v>
      </c>
      <c r="V35" s="146">
        <f t="shared" si="9"/>
        <v>1260</v>
      </c>
      <c r="W35" s="146">
        <f t="shared" si="9"/>
        <v>1120</v>
      </c>
      <c r="X35" s="146">
        <f t="shared" si="9"/>
        <v>1260</v>
      </c>
      <c r="Y35" s="146">
        <f t="shared" si="9"/>
        <v>1512</v>
      </c>
      <c r="Z35" s="146">
        <f t="shared" si="9"/>
        <v>1190</v>
      </c>
      <c r="AA35" s="146">
        <f t="shared" si="9"/>
        <v>476</v>
      </c>
      <c r="AB35" s="146">
        <f t="shared" si="9"/>
        <v>1260</v>
      </c>
      <c r="AC35" s="146">
        <f t="shared" si="9"/>
        <v>1120</v>
      </c>
      <c r="AD35" s="146">
        <f t="shared" si="9"/>
        <v>1330</v>
      </c>
      <c r="AE35" s="146">
        <f t="shared" si="9"/>
        <v>1190</v>
      </c>
      <c r="AF35" s="146">
        <f t="shared" si="9"/>
        <v>1190</v>
      </c>
      <c r="AG35" s="146">
        <f t="shared" si="9"/>
        <v>1330</v>
      </c>
      <c r="AH35" s="146">
        <f t="shared" si="9"/>
        <v>1120</v>
      </c>
      <c r="AI35" s="146">
        <f t="shared" si="9"/>
        <v>1260</v>
      </c>
      <c r="AJ35" s="146">
        <f t="shared" si="9"/>
        <v>1260</v>
      </c>
      <c r="AK35" s="146">
        <f t="shared" si="9"/>
        <v>1344</v>
      </c>
      <c r="AL35" s="146">
        <f t="shared" si="9"/>
        <v>1330</v>
      </c>
      <c r="AM35" s="146">
        <f t="shared" si="9"/>
        <v>448</v>
      </c>
      <c r="AN35" s="146">
        <f t="shared" si="9"/>
        <v>1190</v>
      </c>
      <c r="AO35" s="146">
        <f t="shared" si="9"/>
        <v>1190</v>
      </c>
      <c r="AP35" s="146">
        <f t="shared" si="9"/>
        <v>1330</v>
      </c>
      <c r="AQ35" s="146">
        <f t="shared" si="9"/>
        <v>1120</v>
      </c>
      <c r="AR35" s="146">
        <f t="shared" si="9"/>
        <v>1260</v>
      </c>
      <c r="AS35" s="146">
        <f t="shared" si="9"/>
        <v>1260</v>
      </c>
      <c r="AT35" s="146">
        <f t="shared" si="9"/>
        <v>1120</v>
      </c>
      <c r="AU35" s="146">
        <f t="shared" si="9"/>
        <v>1330</v>
      </c>
      <c r="AV35" s="146">
        <f t="shared" si="9"/>
        <v>1190</v>
      </c>
      <c r="AW35" s="146">
        <f t="shared" si="9"/>
        <v>1428</v>
      </c>
      <c r="AX35" s="146">
        <f t="shared" si="9"/>
        <v>1330</v>
      </c>
      <c r="AY35" s="146">
        <f t="shared" si="9"/>
        <v>448</v>
      </c>
      <c r="AZ35" s="146">
        <f t="shared" si="9"/>
        <v>1120</v>
      </c>
      <c r="BA35" s="146">
        <f t="shared" si="9"/>
        <v>1260</v>
      </c>
      <c r="BB35" s="146">
        <f t="shared" si="9"/>
        <v>1260</v>
      </c>
      <c r="BC35" s="146">
        <f t="shared" si="9"/>
        <v>1120</v>
      </c>
      <c r="BD35" s="146">
        <f t="shared" si="9"/>
        <v>1330</v>
      </c>
      <c r="BE35" s="146">
        <f t="shared" si="9"/>
        <v>1190</v>
      </c>
      <c r="BF35" s="146">
        <f t="shared" si="9"/>
        <v>1190</v>
      </c>
      <c r="BG35" s="146">
        <f t="shared" si="9"/>
        <v>1330</v>
      </c>
      <c r="BH35" s="146">
        <f t="shared" si="9"/>
        <v>1120</v>
      </c>
      <c r="BI35" s="146">
        <f t="shared" si="9"/>
        <v>1512</v>
      </c>
      <c r="BJ35" s="146">
        <f t="shared" si="9"/>
        <v>1260</v>
      </c>
      <c r="BK35" s="146">
        <f t="shared" si="9"/>
        <v>448</v>
      </c>
      <c r="BL35" s="146">
        <f t="shared" si="9"/>
        <v>1190</v>
      </c>
      <c r="BM35" s="146">
        <f t="shared" si="9"/>
        <v>1260</v>
      </c>
      <c r="BN35" s="146">
        <f t="shared" si="9"/>
        <v>1190</v>
      </c>
      <c r="BO35" s="146"/>
    </row>
    <row r="36" ht="13.5" customHeight="1" outlineLevel="1">
      <c r="A36" s="138"/>
      <c r="B36" s="139"/>
      <c r="C36" s="153" t="s">
        <v>142</v>
      </c>
      <c r="D36" s="138"/>
      <c r="E36" s="140"/>
      <c r="F36" s="141"/>
      <c r="G36" s="141">
        <f t="shared" ref="G36:BN36" si="10">G27*SUM(G$10:G$13)*G$23</f>
        <v>1125</v>
      </c>
      <c r="H36" s="141">
        <f t="shared" si="10"/>
        <v>756</v>
      </c>
      <c r="I36" s="141">
        <f t="shared" si="10"/>
        <v>833</v>
      </c>
      <c r="J36" s="141">
        <f t="shared" si="10"/>
        <v>1008</v>
      </c>
      <c r="K36" s="141">
        <f t="shared" si="10"/>
        <v>1071</v>
      </c>
      <c r="L36" s="141">
        <f t="shared" si="10"/>
        <v>1190</v>
      </c>
      <c r="M36" s="141">
        <f t="shared" si="10"/>
        <v>1596</v>
      </c>
      <c r="N36" s="141">
        <f t="shared" si="10"/>
        <v>1120</v>
      </c>
      <c r="O36" s="141">
        <f t="shared" si="10"/>
        <v>448</v>
      </c>
      <c r="P36" s="141">
        <f t="shared" si="10"/>
        <v>1330</v>
      </c>
      <c r="Q36" s="141">
        <f t="shared" si="10"/>
        <v>1190</v>
      </c>
      <c r="R36" s="141">
        <f t="shared" si="10"/>
        <v>1190</v>
      </c>
      <c r="S36" s="141">
        <f t="shared" si="10"/>
        <v>1260</v>
      </c>
      <c r="T36" s="141">
        <f t="shared" si="10"/>
        <v>1190</v>
      </c>
      <c r="U36" s="141">
        <f t="shared" si="10"/>
        <v>1260</v>
      </c>
      <c r="V36" s="141">
        <f t="shared" si="10"/>
        <v>1260</v>
      </c>
      <c r="W36" s="141">
        <f t="shared" si="10"/>
        <v>1120</v>
      </c>
      <c r="X36" s="141">
        <f t="shared" si="10"/>
        <v>1260</v>
      </c>
      <c r="Y36" s="141">
        <f t="shared" si="10"/>
        <v>1512</v>
      </c>
      <c r="Z36" s="141">
        <f t="shared" si="10"/>
        <v>1190</v>
      </c>
      <c r="AA36" s="141">
        <f t="shared" si="10"/>
        <v>476</v>
      </c>
      <c r="AB36" s="141">
        <f t="shared" si="10"/>
        <v>1260</v>
      </c>
      <c r="AC36" s="141">
        <f t="shared" si="10"/>
        <v>1120</v>
      </c>
      <c r="AD36" s="141">
        <f t="shared" si="10"/>
        <v>1330</v>
      </c>
      <c r="AE36" s="141">
        <f t="shared" si="10"/>
        <v>1190</v>
      </c>
      <c r="AF36" s="141">
        <f t="shared" si="10"/>
        <v>1190</v>
      </c>
      <c r="AG36" s="141">
        <f t="shared" si="10"/>
        <v>1330</v>
      </c>
      <c r="AH36" s="141">
        <f t="shared" si="10"/>
        <v>1120</v>
      </c>
      <c r="AI36" s="141">
        <f t="shared" si="10"/>
        <v>1260</v>
      </c>
      <c r="AJ36" s="141">
        <f t="shared" si="10"/>
        <v>1260</v>
      </c>
      <c r="AK36" s="141">
        <f t="shared" si="10"/>
        <v>1344</v>
      </c>
      <c r="AL36" s="141">
        <f t="shared" si="10"/>
        <v>1330</v>
      </c>
      <c r="AM36" s="141">
        <f t="shared" si="10"/>
        <v>448</v>
      </c>
      <c r="AN36" s="141">
        <f t="shared" si="10"/>
        <v>1190</v>
      </c>
      <c r="AO36" s="141">
        <f t="shared" si="10"/>
        <v>1190</v>
      </c>
      <c r="AP36" s="141">
        <f t="shared" si="10"/>
        <v>1330</v>
      </c>
      <c r="AQ36" s="141">
        <f t="shared" si="10"/>
        <v>1120</v>
      </c>
      <c r="AR36" s="141">
        <f t="shared" si="10"/>
        <v>1260</v>
      </c>
      <c r="AS36" s="141">
        <f t="shared" si="10"/>
        <v>1260</v>
      </c>
      <c r="AT36" s="141">
        <f t="shared" si="10"/>
        <v>1120</v>
      </c>
      <c r="AU36" s="141">
        <f t="shared" si="10"/>
        <v>1330</v>
      </c>
      <c r="AV36" s="141">
        <f t="shared" si="10"/>
        <v>1190</v>
      </c>
      <c r="AW36" s="141">
        <f t="shared" si="10"/>
        <v>1428</v>
      </c>
      <c r="AX36" s="141">
        <f t="shared" si="10"/>
        <v>1330</v>
      </c>
      <c r="AY36" s="141">
        <f t="shared" si="10"/>
        <v>448</v>
      </c>
      <c r="AZ36" s="141">
        <f t="shared" si="10"/>
        <v>1120</v>
      </c>
      <c r="BA36" s="141">
        <f t="shared" si="10"/>
        <v>1260</v>
      </c>
      <c r="BB36" s="141">
        <f t="shared" si="10"/>
        <v>1260</v>
      </c>
      <c r="BC36" s="141">
        <f t="shared" si="10"/>
        <v>1120</v>
      </c>
      <c r="BD36" s="141">
        <f t="shared" si="10"/>
        <v>1330</v>
      </c>
      <c r="BE36" s="141">
        <f t="shared" si="10"/>
        <v>1190</v>
      </c>
      <c r="BF36" s="141">
        <f t="shared" si="10"/>
        <v>1190</v>
      </c>
      <c r="BG36" s="141">
        <f t="shared" si="10"/>
        <v>1330</v>
      </c>
      <c r="BH36" s="141">
        <f t="shared" si="10"/>
        <v>1120</v>
      </c>
      <c r="BI36" s="141">
        <f t="shared" si="10"/>
        <v>1512</v>
      </c>
      <c r="BJ36" s="141">
        <f t="shared" si="10"/>
        <v>1260</v>
      </c>
      <c r="BK36" s="141">
        <f t="shared" si="10"/>
        <v>448</v>
      </c>
      <c r="BL36" s="141">
        <f t="shared" si="10"/>
        <v>1190</v>
      </c>
      <c r="BM36" s="141">
        <f t="shared" si="10"/>
        <v>1260</v>
      </c>
      <c r="BN36" s="141">
        <f t="shared" si="10"/>
        <v>1190</v>
      </c>
      <c r="BO36" s="141"/>
    </row>
    <row r="37" ht="13.5" customHeight="1" outlineLevel="1">
      <c r="A37" s="138"/>
      <c r="B37" s="139"/>
      <c r="C37" s="153" t="s">
        <v>143</v>
      </c>
      <c r="D37" s="138"/>
      <c r="E37" s="140"/>
      <c r="F37" s="141"/>
      <c r="G37" s="141">
        <f t="shared" ref="G37:BN37" si="11">G28*SUM(G$14:G$16)*G$23</f>
        <v>0</v>
      </c>
      <c r="H37" s="141">
        <f t="shared" si="11"/>
        <v>0</v>
      </c>
      <c r="I37" s="141">
        <f t="shared" si="11"/>
        <v>0</v>
      </c>
      <c r="J37" s="141">
        <f t="shared" si="11"/>
        <v>0</v>
      </c>
      <c r="K37" s="141">
        <f t="shared" si="11"/>
        <v>0</v>
      </c>
      <c r="L37" s="141">
        <f t="shared" si="11"/>
        <v>0</v>
      </c>
      <c r="M37" s="141">
        <f t="shared" si="11"/>
        <v>0</v>
      </c>
      <c r="N37" s="141">
        <f t="shared" si="11"/>
        <v>0</v>
      </c>
      <c r="O37" s="141">
        <f t="shared" si="11"/>
        <v>0</v>
      </c>
      <c r="P37" s="141">
        <f t="shared" si="11"/>
        <v>0</v>
      </c>
      <c r="Q37" s="141">
        <f t="shared" si="11"/>
        <v>0</v>
      </c>
      <c r="R37" s="141">
        <f t="shared" si="11"/>
        <v>0</v>
      </c>
      <c r="S37" s="141">
        <f t="shared" si="11"/>
        <v>0</v>
      </c>
      <c r="T37" s="141">
        <f t="shared" si="11"/>
        <v>0</v>
      </c>
      <c r="U37" s="141">
        <f t="shared" si="11"/>
        <v>0</v>
      </c>
      <c r="V37" s="141">
        <f t="shared" si="11"/>
        <v>0</v>
      </c>
      <c r="W37" s="141">
        <f t="shared" si="11"/>
        <v>0</v>
      </c>
      <c r="X37" s="141">
        <f t="shared" si="11"/>
        <v>0</v>
      </c>
      <c r="Y37" s="141">
        <f t="shared" si="11"/>
        <v>0</v>
      </c>
      <c r="Z37" s="141">
        <f t="shared" si="11"/>
        <v>0</v>
      </c>
      <c r="AA37" s="141">
        <f t="shared" si="11"/>
        <v>0</v>
      </c>
      <c r="AB37" s="141">
        <f t="shared" si="11"/>
        <v>0</v>
      </c>
      <c r="AC37" s="141">
        <f t="shared" si="11"/>
        <v>0</v>
      </c>
      <c r="AD37" s="141">
        <f t="shared" si="11"/>
        <v>0</v>
      </c>
      <c r="AE37" s="141">
        <f t="shared" si="11"/>
        <v>0</v>
      </c>
      <c r="AF37" s="141">
        <f t="shared" si="11"/>
        <v>0</v>
      </c>
      <c r="AG37" s="141">
        <f t="shared" si="11"/>
        <v>0</v>
      </c>
      <c r="AH37" s="141">
        <f t="shared" si="11"/>
        <v>0</v>
      </c>
      <c r="AI37" s="141">
        <f t="shared" si="11"/>
        <v>0</v>
      </c>
      <c r="AJ37" s="141">
        <f t="shared" si="11"/>
        <v>0</v>
      </c>
      <c r="AK37" s="141">
        <f t="shared" si="11"/>
        <v>0</v>
      </c>
      <c r="AL37" s="141">
        <f t="shared" si="11"/>
        <v>0</v>
      </c>
      <c r="AM37" s="141">
        <f t="shared" si="11"/>
        <v>0</v>
      </c>
      <c r="AN37" s="141">
        <f t="shared" si="11"/>
        <v>0</v>
      </c>
      <c r="AO37" s="141">
        <f t="shared" si="11"/>
        <v>0</v>
      </c>
      <c r="AP37" s="141">
        <f t="shared" si="11"/>
        <v>0</v>
      </c>
      <c r="AQ37" s="141">
        <f t="shared" si="11"/>
        <v>0</v>
      </c>
      <c r="AR37" s="141">
        <f t="shared" si="11"/>
        <v>0</v>
      </c>
      <c r="AS37" s="141">
        <f t="shared" si="11"/>
        <v>0</v>
      </c>
      <c r="AT37" s="141">
        <f t="shared" si="11"/>
        <v>0</v>
      </c>
      <c r="AU37" s="141">
        <f t="shared" si="11"/>
        <v>0</v>
      </c>
      <c r="AV37" s="141">
        <f t="shared" si="11"/>
        <v>0</v>
      </c>
      <c r="AW37" s="141">
        <f t="shared" si="11"/>
        <v>0</v>
      </c>
      <c r="AX37" s="141">
        <f t="shared" si="11"/>
        <v>0</v>
      </c>
      <c r="AY37" s="141">
        <f t="shared" si="11"/>
        <v>0</v>
      </c>
      <c r="AZ37" s="141">
        <f t="shared" si="11"/>
        <v>0</v>
      </c>
      <c r="BA37" s="141">
        <f t="shared" si="11"/>
        <v>0</v>
      </c>
      <c r="BB37" s="141">
        <f t="shared" si="11"/>
        <v>0</v>
      </c>
      <c r="BC37" s="141">
        <f t="shared" si="11"/>
        <v>0</v>
      </c>
      <c r="BD37" s="141">
        <f t="shared" si="11"/>
        <v>0</v>
      </c>
      <c r="BE37" s="141">
        <f t="shared" si="11"/>
        <v>0</v>
      </c>
      <c r="BF37" s="141">
        <f t="shared" si="11"/>
        <v>0</v>
      </c>
      <c r="BG37" s="141">
        <f t="shared" si="11"/>
        <v>0</v>
      </c>
      <c r="BH37" s="141">
        <f t="shared" si="11"/>
        <v>0</v>
      </c>
      <c r="BI37" s="141">
        <f t="shared" si="11"/>
        <v>0</v>
      </c>
      <c r="BJ37" s="141">
        <f t="shared" si="11"/>
        <v>0</v>
      </c>
      <c r="BK37" s="141">
        <f t="shared" si="11"/>
        <v>0</v>
      </c>
      <c r="BL37" s="141">
        <f t="shared" si="11"/>
        <v>0</v>
      </c>
      <c r="BM37" s="141">
        <f t="shared" si="11"/>
        <v>0</v>
      </c>
      <c r="BN37" s="141">
        <f t="shared" si="11"/>
        <v>0</v>
      </c>
      <c r="BO37" s="141"/>
    </row>
    <row r="38" ht="13.5" customHeight="1" outlineLevel="1">
      <c r="A38" s="147"/>
      <c r="B38" s="139"/>
      <c r="C38" s="147" t="s">
        <v>144</v>
      </c>
      <c r="D38" s="147"/>
      <c r="E38" s="148"/>
      <c r="F38" s="146"/>
      <c r="G38" s="146">
        <f t="shared" ref="G38:BN38" si="12">SUM(G39:G40)</f>
        <v>1350</v>
      </c>
      <c r="H38" s="146">
        <f t="shared" si="12"/>
        <v>756</v>
      </c>
      <c r="I38" s="146">
        <f t="shared" si="12"/>
        <v>833</v>
      </c>
      <c r="J38" s="146">
        <f t="shared" si="12"/>
        <v>1008</v>
      </c>
      <c r="K38" s="146">
        <f t="shared" si="12"/>
        <v>1071</v>
      </c>
      <c r="L38" s="146">
        <f t="shared" si="12"/>
        <v>1190</v>
      </c>
      <c r="M38" s="146">
        <f t="shared" si="12"/>
        <v>1596</v>
      </c>
      <c r="N38" s="146">
        <f t="shared" si="12"/>
        <v>1120</v>
      </c>
      <c r="O38" s="146">
        <f t="shared" si="12"/>
        <v>448</v>
      </c>
      <c r="P38" s="146">
        <f t="shared" si="12"/>
        <v>1330</v>
      </c>
      <c r="Q38" s="146">
        <f t="shared" si="12"/>
        <v>1190</v>
      </c>
      <c r="R38" s="146">
        <f t="shared" si="12"/>
        <v>1190</v>
      </c>
      <c r="S38" s="146">
        <f t="shared" si="12"/>
        <v>1260</v>
      </c>
      <c r="T38" s="146">
        <f t="shared" si="12"/>
        <v>1190</v>
      </c>
      <c r="U38" s="146">
        <f t="shared" si="12"/>
        <v>1260</v>
      </c>
      <c r="V38" s="146">
        <f t="shared" si="12"/>
        <v>1260</v>
      </c>
      <c r="W38" s="146">
        <f t="shared" si="12"/>
        <v>1120</v>
      </c>
      <c r="X38" s="146">
        <f t="shared" si="12"/>
        <v>1260</v>
      </c>
      <c r="Y38" s="146">
        <f t="shared" si="12"/>
        <v>1512</v>
      </c>
      <c r="Z38" s="146">
        <f t="shared" si="12"/>
        <v>1190</v>
      </c>
      <c r="AA38" s="146">
        <f t="shared" si="12"/>
        <v>476</v>
      </c>
      <c r="AB38" s="146">
        <f t="shared" si="12"/>
        <v>1260</v>
      </c>
      <c r="AC38" s="146">
        <f t="shared" si="12"/>
        <v>1120</v>
      </c>
      <c r="AD38" s="146">
        <f t="shared" si="12"/>
        <v>1330</v>
      </c>
      <c r="AE38" s="146">
        <f t="shared" si="12"/>
        <v>1190</v>
      </c>
      <c r="AF38" s="146">
        <f t="shared" si="12"/>
        <v>1190</v>
      </c>
      <c r="AG38" s="146">
        <f t="shared" si="12"/>
        <v>1330</v>
      </c>
      <c r="AH38" s="146">
        <f t="shared" si="12"/>
        <v>1120</v>
      </c>
      <c r="AI38" s="146">
        <f t="shared" si="12"/>
        <v>1260</v>
      </c>
      <c r="AJ38" s="146">
        <f t="shared" si="12"/>
        <v>1260</v>
      </c>
      <c r="AK38" s="146">
        <f t="shared" si="12"/>
        <v>1344</v>
      </c>
      <c r="AL38" s="146">
        <f t="shared" si="12"/>
        <v>1330</v>
      </c>
      <c r="AM38" s="146">
        <f t="shared" si="12"/>
        <v>448</v>
      </c>
      <c r="AN38" s="146">
        <f t="shared" si="12"/>
        <v>1190</v>
      </c>
      <c r="AO38" s="146">
        <f t="shared" si="12"/>
        <v>1190</v>
      </c>
      <c r="AP38" s="146">
        <f t="shared" si="12"/>
        <v>1330</v>
      </c>
      <c r="AQ38" s="146">
        <f t="shared" si="12"/>
        <v>1120</v>
      </c>
      <c r="AR38" s="146">
        <f t="shared" si="12"/>
        <v>1260</v>
      </c>
      <c r="AS38" s="146">
        <f t="shared" si="12"/>
        <v>1260</v>
      </c>
      <c r="AT38" s="146">
        <f t="shared" si="12"/>
        <v>1120</v>
      </c>
      <c r="AU38" s="146">
        <f t="shared" si="12"/>
        <v>1330</v>
      </c>
      <c r="AV38" s="146">
        <f t="shared" si="12"/>
        <v>1190</v>
      </c>
      <c r="AW38" s="146">
        <f t="shared" si="12"/>
        <v>1428</v>
      </c>
      <c r="AX38" s="146">
        <f t="shared" si="12"/>
        <v>1330</v>
      </c>
      <c r="AY38" s="146">
        <f t="shared" si="12"/>
        <v>448</v>
      </c>
      <c r="AZ38" s="146">
        <f t="shared" si="12"/>
        <v>1120</v>
      </c>
      <c r="BA38" s="146">
        <f t="shared" si="12"/>
        <v>1260</v>
      </c>
      <c r="BB38" s="146">
        <f t="shared" si="12"/>
        <v>1260</v>
      </c>
      <c r="BC38" s="146">
        <f t="shared" si="12"/>
        <v>1120</v>
      </c>
      <c r="BD38" s="146">
        <f t="shared" si="12"/>
        <v>1330</v>
      </c>
      <c r="BE38" s="146">
        <f t="shared" si="12"/>
        <v>1190</v>
      </c>
      <c r="BF38" s="146">
        <f t="shared" si="12"/>
        <v>1190</v>
      </c>
      <c r="BG38" s="146">
        <f t="shared" si="12"/>
        <v>1330</v>
      </c>
      <c r="BH38" s="146">
        <f t="shared" si="12"/>
        <v>1120</v>
      </c>
      <c r="BI38" s="146">
        <f t="shared" si="12"/>
        <v>1512</v>
      </c>
      <c r="BJ38" s="146">
        <f t="shared" si="12"/>
        <v>1260</v>
      </c>
      <c r="BK38" s="146">
        <f t="shared" si="12"/>
        <v>448</v>
      </c>
      <c r="BL38" s="146">
        <f t="shared" si="12"/>
        <v>1190</v>
      </c>
      <c r="BM38" s="146">
        <f t="shared" si="12"/>
        <v>1260</v>
      </c>
      <c r="BN38" s="146">
        <f t="shared" si="12"/>
        <v>1190</v>
      </c>
      <c r="BO38" s="146"/>
    </row>
    <row r="39" ht="13.5" customHeight="1" outlineLevel="1">
      <c r="A39" s="138"/>
      <c r="B39" s="139"/>
      <c r="C39" s="153" t="s">
        <v>142</v>
      </c>
      <c r="D39" s="138"/>
      <c r="E39" s="140"/>
      <c r="F39" s="141"/>
      <c r="G39" s="141">
        <f t="shared" ref="G39:BN39" si="13">G30*SUM(G$10:G$13)*G$23</f>
        <v>1350</v>
      </c>
      <c r="H39" s="141">
        <f t="shared" si="13"/>
        <v>756</v>
      </c>
      <c r="I39" s="141">
        <f t="shared" si="13"/>
        <v>833</v>
      </c>
      <c r="J39" s="141">
        <f t="shared" si="13"/>
        <v>1008</v>
      </c>
      <c r="K39" s="141">
        <f t="shared" si="13"/>
        <v>1071</v>
      </c>
      <c r="L39" s="141">
        <f t="shared" si="13"/>
        <v>1190</v>
      </c>
      <c r="M39" s="141">
        <f t="shared" si="13"/>
        <v>1596</v>
      </c>
      <c r="N39" s="141">
        <f t="shared" si="13"/>
        <v>1120</v>
      </c>
      <c r="O39" s="141">
        <f t="shared" si="13"/>
        <v>448</v>
      </c>
      <c r="P39" s="141">
        <f t="shared" si="13"/>
        <v>1330</v>
      </c>
      <c r="Q39" s="141">
        <f t="shared" si="13"/>
        <v>1190</v>
      </c>
      <c r="R39" s="141">
        <f t="shared" si="13"/>
        <v>1190</v>
      </c>
      <c r="S39" s="141">
        <f t="shared" si="13"/>
        <v>1260</v>
      </c>
      <c r="T39" s="141">
        <f t="shared" si="13"/>
        <v>1190</v>
      </c>
      <c r="U39" s="141">
        <f t="shared" si="13"/>
        <v>1260</v>
      </c>
      <c r="V39" s="141">
        <f t="shared" si="13"/>
        <v>1260</v>
      </c>
      <c r="W39" s="141">
        <f t="shared" si="13"/>
        <v>1120</v>
      </c>
      <c r="X39" s="141">
        <f t="shared" si="13"/>
        <v>1260</v>
      </c>
      <c r="Y39" s="141">
        <f t="shared" si="13"/>
        <v>1512</v>
      </c>
      <c r="Z39" s="141">
        <f t="shared" si="13"/>
        <v>1190</v>
      </c>
      <c r="AA39" s="141">
        <f t="shared" si="13"/>
        <v>476</v>
      </c>
      <c r="AB39" s="141">
        <f t="shared" si="13"/>
        <v>1260</v>
      </c>
      <c r="AC39" s="141">
        <f t="shared" si="13"/>
        <v>1120</v>
      </c>
      <c r="AD39" s="141">
        <f t="shared" si="13"/>
        <v>1330</v>
      </c>
      <c r="AE39" s="141">
        <f t="shared" si="13"/>
        <v>1190</v>
      </c>
      <c r="AF39" s="141">
        <f t="shared" si="13"/>
        <v>1190</v>
      </c>
      <c r="AG39" s="141">
        <f t="shared" si="13"/>
        <v>1330</v>
      </c>
      <c r="AH39" s="141">
        <f t="shared" si="13"/>
        <v>1120</v>
      </c>
      <c r="AI39" s="141">
        <f t="shared" si="13"/>
        <v>1260</v>
      </c>
      <c r="AJ39" s="141">
        <f t="shared" si="13"/>
        <v>1260</v>
      </c>
      <c r="AK39" s="141">
        <f t="shared" si="13"/>
        <v>1344</v>
      </c>
      <c r="AL39" s="141">
        <f t="shared" si="13"/>
        <v>1330</v>
      </c>
      <c r="AM39" s="141">
        <f t="shared" si="13"/>
        <v>448</v>
      </c>
      <c r="AN39" s="141">
        <f t="shared" si="13"/>
        <v>1190</v>
      </c>
      <c r="AO39" s="141">
        <f t="shared" si="13"/>
        <v>1190</v>
      </c>
      <c r="AP39" s="141">
        <f t="shared" si="13"/>
        <v>1330</v>
      </c>
      <c r="AQ39" s="141">
        <f t="shared" si="13"/>
        <v>1120</v>
      </c>
      <c r="AR39" s="141">
        <f t="shared" si="13"/>
        <v>1260</v>
      </c>
      <c r="AS39" s="141">
        <f t="shared" si="13"/>
        <v>1260</v>
      </c>
      <c r="AT39" s="141">
        <f t="shared" si="13"/>
        <v>1120</v>
      </c>
      <c r="AU39" s="141">
        <f t="shared" si="13"/>
        <v>1330</v>
      </c>
      <c r="AV39" s="141">
        <f t="shared" si="13"/>
        <v>1190</v>
      </c>
      <c r="AW39" s="141">
        <f t="shared" si="13"/>
        <v>1428</v>
      </c>
      <c r="AX39" s="141">
        <f t="shared" si="13"/>
        <v>1330</v>
      </c>
      <c r="AY39" s="141">
        <f t="shared" si="13"/>
        <v>448</v>
      </c>
      <c r="AZ39" s="141">
        <f t="shared" si="13"/>
        <v>1120</v>
      </c>
      <c r="BA39" s="141">
        <f t="shared" si="13"/>
        <v>1260</v>
      </c>
      <c r="BB39" s="141">
        <f t="shared" si="13"/>
        <v>1260</v>
      </c>
      <c r="BC39" s="141">
        <f t="shared" si="13"/>
        <v>1120</v>
      </c>
      <c r="BD39" s="141">
        <f t="shared" si="13"/>
        <v>1330</v>
      </c>
      <c r="BE39" s="141">
        <f t="shared" si="13"/>
        <v>1190</v>
      </c>
      <c r="BF39" s="141">
        <f t="shared" si="13"/>
        <v>1190</v>
      </c>
      <c r="BG39" s="141">
        <f t="shared" si="13"/>
        <v>1330</v>
      </c>
      <c r="BH39" s="141">
        <f t="shared" si="13"/>
        <v>1120</v>
      </c>
      <c r="BI39" s="141">
        <f t="shared" si="13"/>
        <v>1512</v>
      </c>
      <c r="BJ39" s="141">
        <f t="shared" si="13"/>
        <v>1260</v>
      </c>
      <c r="BK39" s="141">
        <f t="shared" si="13"/>
        <v>448</v>
      </c>
      <c r="BL39" s="141">
        <f t="shared" si="13"/>
        <v>1190</v>
      </c>
      <c r="BM39" s="141">
        <f t="shared" si="13"/>
        <v>1260</v>
      </c>
      <c r="BN39" s="141">
        <f t="shared" si="13"/>
        <v>1190</v>
      </c>
      <c r="BO39" s="141"/>
    </row>
    <row r="40" ht="13.5" customHeight="1" outlineLevel="1">
      <c r="A40" s="138"/>
      <c r="B40" s="139"/>
      <c r="C40" s="153" t="s">
        <v>143</v>
      </c>
      <c r="D40" s="138"/>
      <c r="E40" s="140"/>
      <c r="F40" s="141"/>
      <c r="G40" s="141">
        <f t="shared" ref="G40:BN40" si="14">G31*SUM(G$14:G$16)*G$23</f>
        <v>0</v>
      </c>
      <c r="H40" s="141">
        <f t="shared" si="14"/>
        <v>0</v>
      </c>
      <c r="I40" s="141">
        <f t="shared" si="14"/>
        <v>0</v>
      </c>
      <c r="J40" s="141">
        <f t="shared" si="14"/>
        <v>0</v>
      </c>
      <c r="K40" s="141">
        <f t="shared" si="14"/>
        <v>0</v>
      </c>
      <c r="L40" s="141">
        <f t="shared" si="14"/>
        <v>0</v>
      </c>
      <c r="M40" s="141">
        <f t="shared" si="14"/>
        <v>0</v>
      </c>
      <c r="N40" s="141">
        <f t="shared" si="14"/>
        <v>0</v>
      </c>
      <c r="O40" s="141">
        <f t="shared" si="14"/>
        <v>0</v>
      </c>
      <c r="P40" s="141">
        <f t="shared" si="14"/>
        <v>0</v>
      </c>
      <c r="Q40" s="141">
        <f t="shared" si="14"/>
        <v>0</v>
      </c>
      <c r="R40" s="141">
        <f t="shared" si="14"/>
        <v>0</v>
      </c>
      <c r="S40" s="141">
        <f t="shared" si="14"/>
        <v>0</v>
      </c>
      <c r="T40" s="141">
        <f t="shared" si="14"/>
        <v>0</v>
      </c>
      <c r="U40" s="141">
        <f t="shared" si="14"/>
        <v>0</v>
      </c>
      <c r="V40" s="141">
        <f t="shared" si="14"/>
        <v>0</v>
      </c>
      <c r="W40" s="141">
        <f t="shared" si="14"/>
        <v>0</v>
      </c>
      <c r="X40" s="141">
        <f t="shared" si="14"/>
        <v>0</v>
      </c>
      <c r="Y40" s="141">
        <f t="shared" si="14"/>
        <v>0</v>
      </c>
      <c r="Z40" s="141">
        <f t="shared" si="14"/>
        <v>0</v>
      </c>
      <c r="AA40" s="141">
        <f t="shared" si="14"/>
        <v>0</v>
      </c>
      <c r="AB40" s="141">
        <f t="shared" si="14"/>
        <v>0</v>
      </c>
      <c r="AC40" s="141">
        <f t="shared" si="14"/>
        <v>0</v>
      </c>
      <c r="AD40" s="141">
        <f t="shared" si="14"/>
        <v>0</v>
      </c>
      <c r="AE40" s="141">
        <f t="shared" si="14"/>
        <v>0</v>
      </c>
      <c r="AF40" s="141">
        <f t="shared" si="14"/>
        <v>0</v>
      </c>
      <c r="AG40" s="141">
        <f t="shared" si="14"/>
        <v>0</v>
      </c>
      <c r="AH40" s="141">
        <f t="shared" si="14"/>
        <v>0</v>
      </c>
      <c r="AI40" s="141">
        <f t="shared" si="14"/>
        <v>0</v>
      </c>
      <c r="AJ40" s="141">
        <f t="shared" si="14"/>
        <v>0</v>
      </c>
      <c r="AK40" s="141">
        <f t="shared" si="14"/>
        <v>0</v>
      </c>
      <c r="AL40" s="141">
        <f t="shared" si="14"/>
        <v>0</v>
      </c>
      <c r="AM40" s="141">
        <f t="shared" si="14"/>
        <v>0</v>
      </c>
      <c r="AN40" s="141">
        <f t="shared" si="14"/>
        <v>0</v>
      </c>
      <c r="AO40" s="141">
        <f t="shared" si="14"/>
        <v>0</v>
      </c>
      <c r="AP40" s="141">
        <f t="shared" si="14"/>
        <v>0</v>
      </c>
      <c r="AQ40" s="141">
        <f t="shared" si="14"/>
        <v>0</v>
      </c>
      <c r="AR40" s="141">
        <f t="shared" si="14"/>
        <v>0</v>
      </c>
      <c r="AS40" s="141">
        <f t="shared" si="14"/>
        <v>0</v>
      </c>
      <c r="AT40" s="141">
        <f t="shared" si="14"/>
        <v>0</v>
      </c>
      <c r="AU40" s="141">
        <f t="shared" si="14"/>
        <v>0</v>
      </c>
      <c r="AV40" s="141">
        <f t="shared" si="14"/>
        <v>0</v>
      </c>
      <c r="AW40" s="141">
        <f t="shared" si="14"/>
        <v>0</v>
      </c>
      <c r="AX40" s="141">
        <f t="shared" si="14"/>
        <v>0</v>
      </c>
      <c r="AY40" s="141">
        <f t="shared" si="14"/>
        <v>0</v>
      </c>
      <c r="AZ40" s="141">
        <f t="shared" si="14"/>
        <v>0</v>
      </c>
      <c r="BA40" s="141">
        <f t="shared" si="14"/>
        <v>0</v>
      </c>
      <c r="BB40" s="141">
        <f t="shared" si="14"/>
        <v>0</v>
      </c>
      <c r="BC40" s="141">
        <f t="shared" si="14"/>
        <v>0</v>
      </c>
      <c r="BD40" s="141">
        <f t="shared" si="14"/>
        <v>0</v>
      </c>
      <c r="BE40" s="141">
        <f t="shared" si="14"/>
        <v>0</v>
      </c>
      <c r="BF40" s="141">
        <f t="shared" si="14"/>
        <v>0</v>
      </c>
      <c r="BG40" s="141">
        <f t="shared" si="14"/>
        <v>0</v>
      </c>
      <c r="BH40" s="141">
        <f t="shared" si="14"/>
        <v>0</v>
      </c>
      <c r="BI40" s="141">
        <f t="shared" si="14"/>
        <v>0</v>
      </c>
      <c r="BJ40" s="141">
        <f t="shared" si="14"/>
        <v>0</v>
      </c>
      <c r="BK40" s="141">
        <f t="shared" si="14"/>
        <v>0</v>
      </c>
      <c r="BL40" s="141">
        <f t="shared" si="14"/>
        <v>0</v>
      </c>
      <c r="BM40" s="141">
        <f t="shared" si="14"/>
        <v>0</v>
      </c>
      <c r="BN40" s="141">
        <f t="shared" si="14"/>
        <v>0</v>
      </c>
      <c r="BO40" s="141"/>
    </row>
    <row r="41" ht="13.5" customHeight="1" outlineLevel="1">
      <c r="A41" s="147"/>
      <c r="B41" s="139"/>
      <c r="C41" s="147" t="s">
        <v>145</v>
      </c>
      <c r="D41" s="147"/>
      <c r="E41" s="148"/>
      <c r="F41" s="146"/>
      <c r="G41" s="146">
        <f t="shared" ref="G41:BN41" si="15">G35+G38</f>
        <v>2475</v>
      </c>
      <c r="H41" s="146">
        <f t="shared" si="15"/>
        <v>1512</v>
      </c>
      <c r="I41" s="146">
        <f t="shared" si="15"/>
        <v>1666</v>
      </c>
      <c r="J41" s="146">
        <f t="shared" si="15"/>
        <v>2016</v>
      </c>
      <c r="K41" s="146">
        <f t="shared" si="15"/>
        <v>2142</v>
      </c>
      <c r="L41" s="146">
        <f t="shared" si="15"/>
        <v>2380</v>
      </c>
      <c r="M41" s="146">
        <f t="shared" si="15"/>
        <v>3192</v>
      </c>
      <c r="N41" s="146">
        <f t="shared" si="15"/>
        <v>2240</v>
      </c>
      <c r="O41" s="146">
        <f t="shared" si="15"/>
        <v>896</v>
      </c>
      <c r="P41" s="146">
        <f t="shared" si="15"/>
        <v>2660</v>
      </c>
      <c r="Q41" s="146">
        <f t="shared" si="15"/>
        <v>2380</v>
      </c>
      <c r="R41" s="146">
        <f t="shared" si="15"/>
        <v>2380</v>
      </c>
      <c r="S41" s="146">
        <f t="shared" si="15"/>
        <v>2520</v>
      </c>
      <c r="T41" s="146">
        <f t="shared" si="15"/>
        <v>2380</v>
      </c>
      <c r="U41" s="146">
        <f t="shared" si="15"/>
        <v>2520</v>
      </c>
      <c r="V41" s="146">
        <f t="shared" si="15"/>
        <v>2520</v>
      </c>
      <c r="W41" s="146">
        <f t="shared" si="15"/>
        <v>2240</v>
      </c>
      <c r="X41" s="146">
        <f t="shared" si="15"/>
        <v>2520</v>
      </c>
      <c r="Y41" s="146">
        <f t="shared" si="15"/>
        <v>3024</v>
      </c>
      <c r="Z41" s="146">
        <f t="shared" si="15"/>
        <v>2380</v>
      </c>
      <c r="AA41" s="146">
        <f t="shared" si="15"/>
        <v>952</v>
      </c>
      <c r="AB41" s="146">
        <f t="shared" si="15"/>
        <v>2520</v>
      </c>
      <c r="AC41" s="146">
        <f t="shared" si="15"/>
        <v>2240</v>
      </c>
      <c r="AD41" s="146">
        <f t="shared" si="15"/>
        <v>2660</v>
      </c>
      <c r="AE41" s="146">
        <f t="shared" si="15"/>
        <v>2380</v>
      </c>
      <c r="AF41" s="146">
        <f t="shared" si="15"/>
        <v>2380</v>
      </c>
      <c r="AG41" s="146">
        <f t="shared" si="15"/>
        <v>2660</v>
      </c>
      <c r="AH41" s="146">
        <f t="shared" si="15"/>
        <v>2240</v>
      </c>
      <c r="AI41" s="146">
        <f t="shared" si="15"/>
        <v>2520</v>
      </c>
      <c r="AJ41" s="146">
        <f t="shared" si="15"/>
        <v>2520</v>
      </c>
      <c r="AK41" s="146">
        <f t="shared" si="15"/>
        <v>2688</v>
      </c>
      <c r="AL41" s="146">
        <f t="shared" si="15"/>
        <v>2660</v>
      </c>
      <c r="AM41" s="146">
        <f t="shared" si="15"/>
        <v>896</v>
      </c>
      <c r="AN41" s="146">
        <f t="shared" si="15"/>
        <v>2380</v>
      </c>
      <c r="AO41" s="146">
        <f t="shared" si="15"/>
        <v>2380</v>
      </c>
      <c r="AP41" s="146">
        <f t="shared" si="15"/>
        <v>2660</v>
      </c>
      <c r="AQ41" s="146">
        <f t="shared" si="15"/>
        <v>2240</v>
      </c>
      <c r="AR41" s="146">
        <f t="shared" si="15"/>
        <v>2520</v>
      </c>
      <c r="AS41" s="146">
        <f t="shared" si="15"/>
        <v>2520</v>
      </c>
      <c r="AT41" s="146">
        <f t="shared" si="15"/>
        <v>2240</v>
      </c>
      <c r="AU41" s="146">
        <f t="shared" si="15"/>
        <v>2660</v>
      </c>
      <c r="AV41" s="146">
        <f t="shared" si="15"/>
        <v>2380</v>
      </c>
      <c r="AW41" s="146">
        <f t="shared" si="15"/>
        <v>2856</v>
      </c>
      <c r="AX41" s="146">
        <f t="shared" si="15"/>
        <v>2660</v>
      </c>
      <c r="AY41" s="146">
        <f t="shared" si="15"/>
        <v>896</v>
      </c>
      <c r="AZ41" s="146">
        <f t="shared" si="15"/>
        <v>2240</v>
      </c>
      <c r="BA41" s="146">
        <f t="shared" si="15"/>
        <v>2520</v>
      </c>
      <c r="BB41" s="146">
        <f t="shared" si="15"/>
        <v>2520</v>
      </c>
      <c r="BC41" s="146">
        <f t="shared" si="15"/>
        <v>2240</v>
      </c>
      <c r="BD41" s="146">
        <f t="shared" si="15"/>
        <v>2660</v>
      </c>
      <c r="BE41" s="146">
        <f t="shared" si="15"/>
        <v>2380</v>
      </c>
      <c r="BF41" s="146">
        <f t="shared" si="15"/>
        <v>2380</v>
      </c>
      <c r="BG41" s="146">
        <f t="shared" si="15"/>
        <v>2660</v>
      </c>
      <c r="BH41" s="146">
        <f t="shared" si="15"/>
        <v>2240</v>
      </c>
      <c r="BI41" s="146">
        <f t="shared" si="15"/>
        <v>3024</v>
      </c>
      <c r="BJ41" s="146">
        <f t="shared" si="15"/>
        <v>2520</v>
      </c>
      <c r="BK41" s="146">
        <f t="shared" si="15"/>
        <v>896</v>
      </c>
      <c r="BL41" s="146">
        <f t="shared" si="15"/>
        <v>2380</v>
      </c>
      <c r="BM41" s="146">
        <f t="shared" si="15"/>
        <v>2520</v>
      </c>
      <c r="BN41" s="146">
        <f t="shared" si="15"/>
        <v>2380</v>
      </c>
      <c r="BO41" s="146"/>
    </row>
    <row r="42" ht="13.5" customHeight="1" outlineLevel="1">
      <c r="A42" s="147"/>
      <c r="B42" s="139"/>
      <c r="C42" s="154" t="s">
        <v>147</v>
      </c>
      <c r="D42" s="155"/>
      <c r="E42" s="140"/>
      <c r="F42" s="156"/>
      <c r="G42" s="157">
        <f>G41/G$17/Assumption!$G$20</f>
        <v>1.1</v>
      </c>
      <c r="H42" s="157">
        <f>H41/H$17/Assumption!$G$20</f>
        <v>0.6503225806</v>
      </c>
      <c r="I42" s="157">
        <f>I41/I$17/Assumption!$G$20</f>
        <v>0.7165591398</v>
      </c>
      <c r="J42" s="157">
        <f>J41/J$17/Assumption!$G$20</f>
        <v>0.896</v>
      </c>
      <c r="K42" s="157">
        <f>K41/K$17/Assumption!$G$20</f>
        <v>0.9212903226</v>
      </c>
      <c r="L42" s="157">
        <f>L41/L$17/Assumption!$G$20</f>
        <v>1.057777778</v>
      </c>
      <c r="M42" s="157">
        <f>M41/M$17/Assumption!$G$20</f>
        <v>1.372903226</v>
      </c>
      <c r="N42" s="157">
        <f>N41/N$17/Assumption!$G$20</f>
        <v>0.9634408602</v>
      </c>
      <c r="O42" s="157">
        <f>O41/O$17/Assumption!$G$20</f>
        <v>0.4266666667</v>
      </c>
      <c r="P42" s="157">
        <f>P41/P$17/Assumption!$G$20</f>
        <v>1.144086022</v>
      </c>
      <c r="Q42" s="157">
        <f>Q41/Q$17/Assumption!$G$20</f>
        <v>1.057777778</v>
      </c>
      <c r="R42" s="157">
        <f>R41/R$17/Assumption!$G$20</f>
        <v>1.023655914</v>
      </c>
      <c r="S42" s="157">
        <f>S41/S$17/Assumption!$G$20</f>
        <v>1.12</v>
      </c>
      <c r="T42" s="157">
        <f>T41/T$17/Assumption!$G$20</f>
        <v>1.023655914</v>
      </c>
      <c r="U42" s="157">
        <f>U41/U$17/Assumption!$G$20</f>
        <v>1.083870968</v>
      </c>
      <c r="V42" s="157">
        <f>V41/V$17/Assumption!$G$20</f>
        <v>1.12</v>
      </c>
      <c r="W42" s="157">
        <f>W41/W$17/Assumption!$G$20</f>
        <v>0.9634408602</v>
      </c>
      <c r="X42" s="157">
        <f>X41/X$17/Assumption!$G$20</f>
        <v>1.12</v>
      </c>
      <c r="Y42" s="157">
        <f>Y41/Y$17/Assumption!$G$20</f>
        <v>1.300645161</v>
      </c>
      <c r="Z42" s="157">
        <f>Z41/Z$17/Assumption!$G$20</f>
        <v>1.023655914</v>
      </c>
      <c r="AA42" s="157">
        <f>AA41/AA$17/Assumption!$G$20</f>
        <v>0.4377011494</v>
      </c>
      <c r="AB42" s="157">
        <f>AB41/AB$17/Assumption!$G$20</f>
        <v>1.083870968</v>
      </c>
      <c r="AC42" s="157">
        <f>AC41/AC$17/Assumption!$G$20</f>
        <v>0.9955555556</v>
      </c>
      <c r="AD42" s="157">
        <f>AD41/AD$17/Assumption!$G$20</f>
        <v>1.144086022</v>
      </c>
      <c r="AE42" s="157">
        <f>AE41/AE$17/Assumption!$G$20</f>
        <v>1.057777778</v>
      </c>
      <c r="AF42" s="157">
        <f>AF41/AF$17/Assumption!$G$20</f>
        <v>1.023655914</v>
      </c>
      <c r="AG42" s="157">
        <f>AG41/AG$17/Assumption!$G$20</f>
        <v>1.144086022</v>
      </c>
      <c r="AH42" s="157">
        <f>AH41/AH$17/Assumption!$G$20</f>
        <v>0.9955555556</v>
      </c>
      <c r="AI42" s="157">
        <f>AI41/AI$17/Assumption!$G$20</f>
        <v>1.083870968</v>
      </c>
      <c r="AJ42" s="157">
        <f>AJ41/AJ$17/Assumption!$G$20</f>
        <v>1.12</v>
      </c>
      <c r="AK42" s="157">
        <f>AK41/AK$17/Assumption!$G$20</f>
        <v>1.156129032</v>
      </c>
      <c r="AL42" s="157">
        <f>AL41/AL$17/Assumption!$G$20</f>
        <v>1.144086022</v>
      </c>
      <c r="AM42" s="157">
        <f>AM41/AM$17/Assumption!$G$20</f>
        <v>0.4266666667</v>
      </c>
      <c r="AN42" s="157">
        <f>AN41/AN$17/Assumption!$G$20</f>
        <v>1.023655914</v>
      </c>
      <c r="AO42" s="157">
        <f>AO41/AO$17/Assumption!$G$20</f>
        <v>1.057777778</v>
      </c>
      <c r="AP42" s="157">
        <f>AP41/AP$17/Assumption!$G$20</f>
        <v>1.144086022</v>
      </c>
      <c r="AQ42" s="157">
        <f>AQ41/AQ$17/Assumption!$G$20</f>
        <v>0.9955555556</v>
      </c>
      <c r="AR42" s="157">
        <f>AR41/AR$17/Assumption!$G$20</f>
        <v>1.083870968</v>
      </c>
      <c r="AS42" s="157">
        <f>AS41/AS$17/Assumption!$G$20</f>
        <v>1.083870968</v>
      </c>
      <c r="AT42" s="157">
        <f>AT41/AT$17/Assumption!$G$20</f>
        <v>0.9955555556</v>
      </c>
      <c r="AU42" s="157">
        <f>AU41/AU$17/Assumption!$G$20</f>
        <v>1.144086022</v>
      </c>
      <c r="AV42" s="157">
        <f>AV41/AV$17/Assumption!$G$20</f>
        <v>1.057777778</v>
      </c>
      <c r="AW42" s="157">
        <f>AW41/AW$17/Assumption!$G$20</f>
        <v>1.228387097</v>
      </c>
      <c r="AX42" s="157">
        <f>AX41/AX$17/Assumption!$G$20</f>
        <v>1.144086022</v>
      </c>
      <c r="AY42" s="157">
        <f>AY41/AY$17/Assumption!$G$20</f>
        <v>0.4266666667</v>
      </c>
      <c r="AZ42" s="157">
        <f>AZ41/AZ$17/Assumption!$G$20</f>
        <v>0.9634408602</v>
      </c>
      <c r="BA42" s="157">
        <f>BA41/BA$17/Assumption!$G$20</f>
        <v>1.12</v>
      </c>
      <c r="BB42" s="157">
        <f>BB41/BB$17/Assumption!$G$20</f>
        <v>1.083870968</v>
      </c>
      <c r="BC42" s="157">
        <f>BC41/BC$17/Assumption!$G$20</f>
        <v>0.9955555556</v>
      </c>
      <c r="BD42" s="157">
        <f>BD41/BD$17/Assumption!$G$20</f>
        <v>1.144086022</v>
      </c>
      <c r="BE42" s="157">
        <f>BE41/BE$17/Assumption!$G$20</f>
        <v>1.023655914</v>
      </c>
      <c r="BF42" s="157">
        <f>BF41/BF$17/Assumption!$G$20</f>
        <v>1.057777778</v>
      </c>
      <c r="BG42" s="157">
        <f>BG41/BG$17/Assumption!$G$20</f>
        <v>1.144086022</v>
      </c>
      <c r="BH42" s="157">
        <f>BH41/BH$17/Assumption!$G$20</f>
        <v>0.9955555556</v>
      </c>
      <c r="BI42" s="157">
        <f>BI41/BI$17/Assumption!$G$20</f>
        <v>1.300645161</v>
      </c>
      <c r="BJ42" s="157">
        <f>BJ41/BJ$17/Assumption!$G$20</f>
        <v>1.083870968</v>
      </c>
      <c r="BK42" s="157">
        <f>BK41/BK$17/Assumption!$G$20</f>
        <v>0.4266666667</v>
      </c>
      <c r="BL42" s="157">
        <f>BL41/BL$17/Assumption!$G$20</f>
        <v>1.023655914</v>
      </c>
      <c r="BM42" s="157">
        <f>BM41/BM$17/Assumption!$G$20</f>
        <v>1.12</v>
      </c>
      <c r="BN42" s="157">
        <f>BN41/BN$17/Assumption!$G$20</f>
        <v>1.023655914</v>
      </c>
      <c r="BO42" s="157"/>
    </row>
    <row r="43" ht="13.5" customHeight="1" outlineLevel="1">
      <c r="A43" s="138"/>
      <c r="B43" s="139"/>
      <c r="C43" s="138"/>
      <c r="D43" s="138"/>
      <c r="E43" s="140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</row>
    <row r="44" ht="13.5" customHeight="1" outlineLevel="1">
      <c r="A44" s="138"/>
      <c r="B44" s="139">
        <v>5.0</v>
      </c>
      <c r="C44" s="147" t="s">
        <v>148</v>
      </c>
      <c r="D44" s="138"/>
      <c r="E44" s="140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</row>
    <row r="45" ht="13.5" customHeight="1" outlineLevel="1">
      <c r="A45" s="147"/>
      <c r="B45" s="139"/>
      <c r="C45" s="147" t="s">
        <v>149</v>
      </c>
      <c r="D45" s="147"/>
      <c r="E45" s="148"/>
      <c r="F45" s="146"/>
      <c r="G45" s="146">
        <f t="array" ref="G45">SUM(SUMPRODUCT(G36:G37,TRANSPOSE(Assumption!$E$5:$F$5)),SUMPRODUCT(G39:G40,TRANSPOSE(Assumption!$E$12:$F$12)))</f>
        <v>1170000000</v>
      </c>
      <c r="H45" s="146">
        <f t="array" ref="H45">SUM(SUMPRODUCT(H36:H37,TRANSPOSE(Assumption!$E$5:$F$5)),SUMPRODUCT(H39:H40,TRANSPOSE(Assumption!$E$12:$F$12)))*(1+(H2-G2)*Assumption!$G$21)</f>
        <v>680400000</v>
      </c>
      <c r="I45" s="146">
        <f t="array" ref="I45">SUM(SUMPRODUCT(I36:I37,TRANSPOSE(Assumption!$E$5:$F$5)),SUMPRODUCT(I39:I40,TRANSPOSE(Assumption!$E$12:$F$12)))*(1+(I2-H2)*Assumption!$G$21)</f>
        <v>749700000</v>
      </c>
      <c r="J45" s="146">
        <f t="array" ref="J45">SUM(SUMPRODUCT(J36:J37,TRANSPOSE(Assumption!$E$5:$F$5)),SUMPRODUCT(J39:J40,TRANSPOSE(Assumption!$E$12:$F$12)))*(1+(J2-I2)*Assumption!$G$21)</f>
        <v>907200000</v>
      </c>
      <c r="K45" s="146">
        <f t="array" ref="K45">SUM(SUMPRODUCT(K36:K37,TRANSPOSE(Assumption!$E$5:$F$5)),SUMPRODUCT(K39:K40,TRANSPOSE(Assumption!$E$12:$F$12)))*(1+(K2-J2)*Assumption!$G$21)</f>
        <v>963900000</v>
      </c>
      <c r="L45" s="146">
        <f t="array" ref="L45">SUM(SUMPRODUCT(L36:L37,TRANSPOSE(Assumption!$E$5:$F$5)),SUMPRODUCT(L39:L40,TRANSPOSE(Assumption!$E$12:$F$12)))*(1+(L2-K2)*Assumption!$G$21)</f>
        <v>1071000000</v>
      </c>
      <c r="M45" s="146">
        <f t="array" ref="M45">SUM(SUMPRODUCT(M36:M37,TRANSPOSE(Assumption!$E$5:$F$5)),SUMPRODUCT(M39:M40,TRANSPOSE(Assumption!$E$12:$F$12)))*(1+(M2-L2)*Assumption!$G$21)</f>
        <v>1436400000</v>
      </c>
      <c r="N45" s="146">
        <f t="array" ref="N45">SUM(SUMPRODUCT(N36:N37,TRANSPOSE(Assumption!$E$5:$F$5)),SUMPRODUCT(N39:N40,TRANSPOSE(Assumption!$E$12:$F$12)))*(1+(N2-M2)*Assumption!$G$21)</f>
        <v>1008000000</v>
      </c>
      <c r="O45" s="146">
        <f t="array" ref="O45">SUM(SUMPRODUCT(O36:O37,TRANSPOSE(Assumption!$E$5:$F$5)),SUMPRODUCT(O39:O40,TRANSPOSE(Assumption!$E$12:$F$12)))*(1+(O2-N2)*Assumption!$G$21)</f>
        <v>403200000</v>
      </c>
      <c r="P45" s="146">
        <f t="array" ref="P45">SUM(SUMPRODUCT(P36:P37,TRANSPOSE(Assumption!$E$5:$F$5)),SUMPRODUCT(P39:P40,TRANSPOSE(Assumption!$E$12:$F$12)))*(1+(P2-O2)*Assumption!$G$21)</f>
        <v>1197000000</v>
      </c>
      <c r="Q45" s="146">
        <f t="array" ref="Q45">SUM(SUMPRODUCT(Q36:Q37,TRANSPOSE(Assumption!$E$5:$F$5)),SUMPRODUCT(Q39:Q40,TRANSPOSE(Assumption!$E$12:$F$12)))*(1+(Q2-P2)*Assumption!$G$21)</f>
        <v>1071000000</v>
      </c>
      <c r="R45" s="146">
        <f t="array" ref="R45">SUM(SUMPRODUCT(R36:R37,TRANSPOSE(Assumption!$E$5:$F$5)),SUMPRODUCT(R39:R40,TRANSPOSE(Assumption!$E$12:$F$12)))*(1+(R2-Q2)*Assumption!$G$21)</f>
        <v>1071000000</v>
      </c>
      <c r="S45" s="146">
        <f t="array" ref="S45">SUM(SUMPRODUCT(S36:S37,TRANSPOSE(Assumption!$E$5:$F$5)),SUMPRODUCT(S39:S40,TRANSPOSE(Assumption!$E$12:$F$12)))*(1+(S2-R2)*Assumption!$G$21)</f>
        <v>1190700000</v>
      </c>
      <c r="T45" s="146">
        <f t="array" ref="T45">SUM(SUMPRODUCT(T36:T37,TRANSPOSE(Assumption!$E$5:$F$5)),SUMPRODUCT(T39:T40,TRANSPOSE(Assumption!$E$12:$F$12)))*(1+(T2-S2)*Assumption!$G$21)</f>
        <v>1071000000</v>
      </c>
      <c r="U45" s="146">
        <f t="array" ref="U45">SUM(SUMPRODUCT(U36:U37,TRANSPOSE(Assumption!$E$5:$F$5)),SUMPRODUCT(U39:U40,TRANSPOSE(Assumption!$E$12:$F$12)))*(1+(U2-T2)*Assumption!$G$21)</f>
        <v>1134000000</v>
      </c>
      <c r="V45" s="146">
        <f t="array" ref="V45">SUM(SUMPRODUCT(V36:V37,TRANSPOSE(Assumption!$E$5:$F$5)),SUMPRODUCT(V39:V40,TRANSPOSE(Assumption!$E$12:$F$12)))*(1+(V2-U2)*Assumption!$G$21)</f>
        <v>1134000000</v>
      </c>
      <c r="W45" s="146">
        <f t="array" ref="W45">SUM(SUMPRODUCT(W36:W37,TRANSPOSE(Assumption!$E$5:$F$5)),SUMPRODUCT(W39:W40,TRANSPOSE(Assumption!$E$12:$F$12)))*(1+(W2-V2)*Assumption!$G$21)</f>
        <v>1008000000</v>
      </c>
      <c r="X45" s="146">
        <f t="array" ref="X45">SUM(SUMPRODUCT(X36:X37,TRANSPOSE(Assumption!$E$5:$F$5)),SUMPRODUCT(X39:X40,TRANSPOSE(Assumption!$E$12:$F$12)))*(1+(X2-W2)*Assumption!$G$21)</f>
        <v>1134000000</v>
      </c>
      <c r="Y45" s="146">
        <f t="array" ref="Y45">SUM(SUMPRODUCT(Y36:Y37,TRANSPOSE(Assumption!$E$5:$F$5)),SUMPRODUCT(Y39:Y40,TRANSPOSE(Assumption!$E$12:$F$12)))*(1+(Y2-X2)*Assumption!$G$21)</f>
        <v>1360800000</v>
      </c>
      <c r="Z45" s="146">
        <f t="array" ref="Z45">SUM(SUMPRODUCT(Z36:Z37,TRANSPOSE(Assumption!$E$5:$F$5)),SUMPRODUCT(Z39:Z40,TRANSPOSE(Assumption!$E$12:$F$12)))*(1+(Z2-Y2)*Assumption!$G$21)</f>
        <v>1071000000</v>
      </c>
      <c r="AA45" s="146">
        <f t="array" ref="AA45">SUM(SUMPRODUCT(AA36:AA37,TRANSPOSE(Assumption!$E$5:$F$5)),SUMPRODUCT(AA39:AA40,TRANSPOSE(Assumption!$E$12:$F$12)))*(1+(AA2-Z2)*Assumption!$G$21)</f>
        <v>428400000</v>
      </c>
      <c r="AB45" s="146">
        <f t="array" ref="AB45">SUM(SUMPRODUCT(AB36:AB37,TRANSPOSE(Assumption!$E$5:$F$5)),SUMPRODUCT(AB39:AB40,TRANSPOSE(Assumption!$E$12:$F$12)))*(1+(AB2-AA2)*Assumption!$G$21)</f>
        <v>1134000000</v>
      </c>
      <c r="AC45" s="146">
        <f t="array" ref="AC45">SUM(SUMPRODUCT(AC36:AC37,TRANSPOSE(Assumption!$E$5:$F$5)),SUMPRODUCT(AC39:AC40,TRANSPOSE(Assumption!$E$12:$F$12)))*(1+(AC2-AB2)*Assumption!$G$21)</f>
        <v>1008000000</v>
      </c>
      <c r="AD45" s="146">
        <f t="array" ref="AD45">SUM(SUMPRODUCT(AD36:AD37,TRANSPOSE(Assumption!$E$5:$F$5)),SUMPRODUCT(AD39:AD40,TRANSPOSE(Assumption!$E$12:$F$12)))*(1+(AD2-AC2)*Assumption!$G$21)</f>
        <v>1197000000</v>
      </c>
      <c r="AE45" s="146">
        <f t="array" ref="AE45">SUM(SUMPRODUCT(AE36:AE37,TRANSPOSE(Assumption!$E$5:$F$5)),SUMPRODUCT(AE39:AE40,TRANSPOSE(Assumption!$E$12:$F$12)))*(1+(AE2-AD2)*Assumption!$G$21)</f>
        <v>1124550000</v>
      </c>
      <c r="AF45" s="146">
        <f t="array" ref="AF45">SUM(SUMPRODUCT(AF36:AF37,TRANSPOSE(Assumption!$E$5:$F$5)),SUMPRODUCT(AF39:AF40,TRANSPOSE(Assumption!$E$12:$F$12)))*(1+(AF2-AE2)*Assumption!$G$21)</f>
        <v>1071000000</v>
      </c>
      <c r="AG45" s="146">
        <f t="array" ref="AG45">SUM(SUMPRODUCT(AG36:AG37,TRANSPOSE(Assumption!$E$5:$F$5)),SUMPRODUCT(AG39:AG40,TRANSPOSE(Assumption!$E$12:$F$12)))*(1+(AG2-AF2)*Assumption!$G$21)</f>
        <v>1197000000</v>
      </c>
      <c r="AH45" s="146">
        <f t="array" ref="AH45">SUM(SUMPRODUCT(AH36:AH37,TRANSPOSE(Assumption!$E$5:$F$5)),SUMPRODUCT(AH39:AH40,TRANSPOSE(Assumption!$E$12:$F$12)))*(1+(AH2-AG2)*Assumption!$G$21)</f>
        <v>1008000000</v>
      </c>
      <c r="AI45" s="146">
        <f t="array" ref="AI45">SUM(SUMPRODUCT(AI36:AI37,TRANSPOSE(Assumption!$E$5:$F$5)),SUMPRODUCT(AI39:AI40,TRANSPOSE(Assumption!$E$12:$F$12)))*(1+(AI2-AH2)*Assumption!$G$21)</f>
        <v>1134000000</v>
      </c>
      <c r="AJ45" s="146">
        <f t="array" ref="AJ45">SUM(SUMPRODUCT(AJ36:AJ37,TRANSPOSE(Assumption!$E$5:$F$5)),SUMPRODUCT(AJ39:AJ40,TRANSPOSE(Assumption!$E$12:$F$12)))*(1+(AJ2-AI2)*Assumption!$G$21)</f>
        <v>1134000000</v>
      </c>
      <c r="AK45" s="146">
        <f t="array" ref="AK45">SUM(SUMPRODUCT(AK36:AK37,TRANSPOSE(Assumption!$E$5:$F$5)),SUMPRODUCT(AK39:AK40,TRANSPOSE(Assumption!$E$12:$F$12)))*(1+(AK2-AJ2)*Assumption!$G$21)</f>
        <v>1209600000</v>
      </c>
      <c r="AL45" s="146">
        <f t="array" ref="AL45">SUM(SUMPRODUCT(AL36:AL37,TRANSPOSE(Assumption!$E$5:$F$5)),SUMPRODUCT(AL39:AL40,TRANSPOSE(Assumption!$E$12:$F$12)))*(1+(AL2-AK2)*Assumption!$G$21)</f>
        <v>1197000000</v>
      </c>
      <c r="AM45" s="146">
        <f t="array" ref="AM45">SUM(SUMPRODUCT(AM36:AM37,TRANSPOSE(Assumption!$E$5:$F$5)),SUMPRODUCT(AM39:AM40,TRANSPOSE(Assumption!$E$12:$F$12)))*(1+(AM2-AL2)*Assumption!$G$21)</f>
        <v>403200000</v>
      </c>
      <c r="AN45" s="146">
        <f t="array" ref="AN45">SUM(SUMPRODUCT(AN36:AN37,TRANSPOSE(Assumption!$E$5:$F$5)),SUMPRODUCT(AN39:AN40,TRANSPOSE(Assumption!$E$12:$F$12)))*(1+(AN2-AM2)*Assumption!$G$21)</f>
        <v>1071000000</v>
      </c>
      <c r="AO45" s="146">
        <f t="array" ref="AO45">SUM(SUMPRODUCT(AO36:AO37,TRANSPOSE(Assumption!$E$5:$F$5)),SUMPRODUCT(AO39:AO40,TRANSPOSE(Assumption!$E$12:$F$12)))*(1+(AO2-AN2)*Assumption!$G$21)</f>
        <v>1071000000</v>
      </c>
      <c r="AP45" s="146">
        <f t="array" ref="AP45">SUM(SUMPRODUCT(AP36:AP37,TRANSPOSE(Assumption!$E$5:$F$5)),SUMPRODUCT(AP39:AP40,TRANSPOSE(Assumption!$E$12:$F$12)))*(1+(AP2-AO2)*Assumption!$G$21)</f>
        <v>1197000000</v>
      </c>
      <c r="AQ45" s="146">
        <f t="array" ref="AQ45">SUM(SUMPRODUCT(AQ36:AQ37,TRANSPOSE(Assumption!$E$5:$F$5)),SUMPRODUCT(AQ39:AQ40,TRANSPOSE(Assumption!$E$12:$F$12)))*(1+(AQ2-AP2)*Assumption!$G$21)</f>
        <v>1058400000</v>
      </c>
      <c r="AR45" s="146">
        <f t="array" ref="AR45">SUM(SUMPRODUCT(AR36:AR37,TRANSPOSE(Assumption!$E$5:$F$5)),SUMPRODUCT(AR39:AR40,TRANSPOSE(Assumption!$E$12:$F$12)))*(1+(AR2-AQ2)*Assumption!$G$21)</f>
        <v>1134000000</v>
      </c>
      <c r="AS45" s="146">
        <f t="array" ref="AS45">SUM(SUMPRODUCT(AS36:AS37,TRANSPOSE(Assumption!$E$5:$F$5)),SUMPRODUCT(AS39:AS40,TRANSPOSE(Assumption!$E$12:$F$12)))*(1+(AS2-AR2)*Assumption!$G$21)</f>
        <v>1134000000</v>
      </c>
      <c r="AT45" s="146">
        <f t="array" ref="AT45">SUM(SUMPRODUCT(AT36:AT37,TRANSPOSE(Assumption!$E$5:$F$5)),SUMPRODUCT(AT39:AT40,TRANSPOSE(Assumption!$E$12:$F$12)))*(1+(AT2-AS2)*Assumption!$G$21)</f>
        <v>1008000000</v>
      </c>
      <c r="AU45" s="146">
        <f t="array" ref="AU45">SUM(SUMPRODUCT(AU36:AU37,TRANSPOSE(Assumption!$E$5:$F$5)),SUMPRODUCT(AU39:AU40,TRANSPOSE(Assumption!$E$12:$F$12)))*(1+(AU2-AT2)*Assumption!$G$21)</f>
        <v>1197000000</v>
      </c>
      <c r="AV45" s="146">
        <f t="array" ref="AV45">SUM(SUMPRODUCT(AV36:AV37,TRANSPOSE(Assumption!$E$5:$F$5)),SUMPRODUCT(AV39:AV40,TRANSPOSE(Assumption!$E$12:$F$12)))*(1+(AV2-AU2)*Assumption!$G$21)</f>
        <v>1071000000</v>
      </c>
      <c r="AW45" s="146">
        <f t="array" ref="AW45">SUM(SUMPRODUCT(AW36:AW37,TRANSPOSE(Assumption!$E$5:$F$5)),SUMPRODUCT(AW39:AW40,TRANSPOSE(Assumption!$E$12:$F$12)))*(1+(AW2-AV2)*Assumption!$G$21)</f>
        <v>1285200000</v>
      </c>
      <c r="AX45" s="146">
        <f t="array" ref="AX45">SUM(SUMPRODUCT(AX36:AX37,TRANSPOSE(Assumption!$E$5:$F$5)),SUMPRODUCT(AX39:AX40,TRANSPOSE(Assumption!$E$12:$F$12)))*(1+(AX2-AW2)*Assumption!$G$21)</f>
        <v>1197000000</v>
      </c>
      <c r="AY45" s="146">
        <f t="array" ref="AY45">SUM(SUMPRODUCT(AY36:AY37,TRANSPOSE(Assumption!$E$5:$F$5)),SUMPRODUCT(AY39:AY40,TRANSPOSE(Assumption!$E$12:$F$12)))*(1+(AY2-AX2)*Assumption!$G$21)</f>
        <v>403200000</v>
      </c>
      <c r="AZ45" s="146">
        <f t="array" ref="AZ45">SUM(SUMPRODUCT(AZ36:AZ37,TRANSPOSE(Assumption!$E$5:$F$5)),SUMPRODUCT(AZ39:AZ40,TRANSPOSE(Assumption!$E$12:$F$12)))*(1+(AZ2-AY2)*Assumption!$G$21)</f>
        <v>1008000000</v>
      </c>
      <c r="BA45" s="146">
        <f t="array" ref="BA45">SUM(SUMPRODUCT(BA36:BA37,TRANSPOSE(Assumption!$E$5:$F$5)),SUMPRODUCT(BA39:BA40,TRANSPOSE(Assumption!$E$12:$F$12)))*(1+(BA2-AZ2)*Assumption!$G$21)</f>
        <v>1134000000</v>
      </c>
      <c r="BB45" s="146">
        <f t="array" ref="BB45">SUM(SUMPRODUCT(BB36:BB37,TRANSPOSE(Assumption!$E$5:$F$5)),SUMPRODUCT(BB39:BB40,TRANSPOSE(Assumption!$E$12:$F$12)))*(1+(BB2-BA2)*Assumption!$G$21)</f>
        <v>1134000000</v>
      </c>
      <c r="BC45" s="146">
        <f t="array" ref="BC45">SUM(SUMPRODUCT(BC36:BC37,TRANSPOSE(Assumption!$E$5:$F$5)),SUMPRODUCT(BC39:BC40,TRANSPOSE(Assumption!$E$12:$F$12)))*(1+(BC2-BB2)*Assumption!$G$21)</f>
        <v>1058400000</v>
      </c>
      <c r="BD45" s="146">
        <f t="array" ref="BD45">SUM(SUMPRODUCT(BD36:BD37,TRANSPOSE(Assumption!$E$5:$F$5)),SUMPRODUCT(BD39:BD40,TRANSPOSE(Assumption!$E$12:$F$12)))*(1+(BD2-BC2)*Assumption!$G$21)</f>
        <v>1197000000</v>
      </c>
      <c r="BE45" s="146">
        <f t="array" ref="BE45">SUM(SUMPRODUCT(BE36:BE37,TRANSPOSE(Assumption!$E$5:$F$5)),SUMPRODUCT(BE39:BE40,TRANSPOSE(Assumption!$E$12:$F$12)))*(1+(BE2-BD2)*Assumption!$G$21)</f>
        <v>1071000000</v>
      </c>
      <c r="BF45" s="146">
        <f t="array" ref="BF45">SUM(SUMPRODUCT(BF36:BF37,TRANSPOSE(Assumption!$E$5:$F$5)),SUMPRODUCT(BF39:BF40,TRANSPOSE(Assumption!$E$12:$F$12)))*(1+(BF2-BE2)*Assumption!$G$21)</f>
        <v>1071000000</v>
      </c>
      <c r="BG45" s="146">
        <f t="array" ref="BG45">SUM(SUMPRODUCT(BG36:BG37,TRANSPOSE(Assumption!$E$5:$F$5)),SUMPRODUCT(BG39:BG40,TRANSPOSE(Assumption!$E$12:$F$12)))*(1+(BG2-BF2)*Assumption!$G$21)</f>
        <v>1197000000</v>
      </c>
      <c r="BH45" s="146">
        <f t="array" ref="BH45">SUM(SUMPRODUCT(BH36:BH37,TRANSPOSE(Assumption!$E$5:$F$5)),SUMPRODUCT(BH39:BH40,TRANSPOSE(Assumption!$E$12:$F$12)))*(1+(BH2-BG2)*Assumption!$G$21)</f>
        <v>1008000000</v>
      </c>
      <c r="BI45" s="146">
        <f t="array" ref="BI45">SUM(SUMPRODUCT(BI36:BI37,TRANSPOSE(Assumption!$E$5:$F$5)),SUMPRODUCT(BI39:BI40,TRANSPOSE(Assumption!$E$12:$F$12)))*(1+(BI2-BH2)*Assumption!$G$21)</f>
        <v>1360800000</v>
      </c>
      <c r="BJ45" s="146">
        <f t="array" ref="BJ45">SUM(SUMPRODUCT(BJ36:BJ37,TRANSPOSE(Assumption!$E$5:$F$5)),SUMPRODUCT(BJ39:BJ40,TRANSPOSE(Assumption!$E$12:$F$12)))*(1+(BJ2-BI2)*Assumption!$G$21)</f>
        <v>1134000000</v>
      </c>
      <c r="BK45" s="146">
        <f t="array" ref="BK45">SUM(SUMPRODUCT(BK36:BK37,TRANSPOSE(Assumption!$E$5:$F$5)),SUMPRODUCT(BK39:BK40,TRANSPOSE(Assumption!$E$12:$F$12)))*(1+(BK2-BJ2)*Assumption!$G$21)</f>
        <v>403200000</v>
      </c>
      <c r="BL45" s="146">
        <f t="array" ref="BL45">SUM(SUMPRODUCT(BL36:BL37,TRANSPOSE(Assumption!$E$5:$F$5)),SUMPRODUCT(BL39:BL40,TRANSPOSE(Assumption!$E$12:$F$12)))*(1+(BL2-BK2)*Assumption!$G$21)</f>
        <v>1071000000</v>
      </c>
      <c r="BM45" s="146">
        <f t="array" ref="BM45">SUM(SUMPRODUCT(BM36:BM37,TRANSPOSE(Assumption!$E$5:$F$5)),SUMPRODUCT(BM39:BM40,TRANSPOSE(Assumption!$E$12:$F$12)))*(1+(BM2-BL2)*Assumption!$G$21)</f>
        <v>1134000000</v>
      </c>
      <c r="BN45" s="146">
        <f t="array" ref="BN45">SUM(SUMPRODUCT(BN36:BN37,TRANSPOSE(Assumption!$E$5:$F$5)),SUMPRODUCT(BN39:BN40,TRANSPOSE(Assumption!$E$12:$F$12)))*(1+(BN2-BM2)*Assumption!$G$21)</f>
        <v>1071000000</v>
      </c>
      <c r="BO45" s="146"/>
    </row>
    <row r="46" ht="13.5" customHeight="1" outlineLevel="1">
      <c r="A46" s="155"/>
      <c r="B46" s="158"/>
      <c r="C46" s="154" t="s">
        <v>150</v>
      </c>
      <c r="D46" s="155"/>
      <c r="E46" s="150">
        <v>0.3</v>
      </c>
      <c r="F46" s="156"/>
      <c r="G46" s="156">
        <f t="shared" ref="G46:BN46" si="16">G$45*$E46</f>
        <v>351000000</v>
      </c>
      <c r="H46" s="156">
        <f t="shared" si="16"/>
        <v>204120000</v>
      </c>
      <c r="I46" s="156">
        <f t="shared" si="16"/>
        <v>224910000</v>
      </c>
      <c r="J46" s="156">
        <f t="shared" si="16"/>
        <v>272160000</v>
      </c>
      <c r="K46" s="156">
        <f t="shared" si="16"/>
        <v>289170000</v>
      </c>
      <c r="L46" s="156">
        <f t="shared" si="16"/>
        <v>321300000</v>
      </c>
      <c r="M46" s="156">
        <f t="shared" si="16"/>
        <v>430920000</v>
      </c>
      <c r="N46" s="156">
        <f t="shared" si="16"/>
        <v>302400000</v>
      </c>
      <c r="O46" s="156">
        <f t="shared" si="16"/>
        <v>120960000</v>
      </c>
      <c r="P46" s="156">
        <f t="shared" si="16"/>
        <v>359100000</v>
      </c>
      <c r="Q46" s="156">
        <f t="shared" si="16"/>
        <v>321300000</v>
      </c>
      <c r="R46" s="156">
        <f t="shared" si="16"/>
        <v>321300000</v>
      </c>
      <c r="S46" s="156">
        <f t="shared" si="16"/>
        <v>357210000</v>
      </c>
      <c r="T46" s="156">
        <f t="shared" si="16"/>
        <v>321300000</v>
      </c>
      <c r="U46" s="156">
        <f t="shared" si="16"/>
        <v>340200000</v>
      </c>
      <c r="V46" s="156">
        <f t="shared" si="16"/>
        <v>340200000</v>
      </c>
      <c r="W46" s="156">
        <f t="shared" si="16"/>
        <v>302400000</v>
      </c>
      <c r="X46" s="156">
        <f t="shared" si="16"/>
        <v>340200000</v>
      </c>
      <c r="Y46" s="156">
        <f t="shared" si="16"/>
        <v>408240000</v>
      </c>
      <c r="Z46" s="156">
        <f t="shared" si="16"/>
        <v>321300000</v>
      </c>
      <c r="AA46" s="156">
        <f t="shared" si="16"/>
        <v>128520000</v>
      </c>
      <c r="AB46" s="156">
        <f t="shared" si="16"/>
        <v>340200000</v>
      </c>
      <c r="AC46" s="156">
        <f t="shared" si="16"/>
        <v>302400000</v>
      </c>
      <c r="AD46" s="156">
        <f t="shared" si="16"/>
        <v>359100000</v>
      </c>
      <c r="AE46" s="156">
        <f t="shared" si="16"/>
        <v>337365000</v>
      </c>
      <c r="AF46" s="156">
        <f t="shared" si="16"/>
        <v>321300000</v>
      </c>
      <c r="AG46" s="156">
        <f t="shared" si="16"/>
        <v>359100000</v>
      </c>
      <c r="AH46" s="156">
        <f t="shared" si="16"/>
        <v>302400000</v>
      </c>
      <c r="AI46" s="156">
        <f t="shared" si="16"/>
        <v>340200000</v>
      </c>
      <c r="AJ46" s="156">
        <f t="shared" si="16"/>
        <v>340200000</v>
      </c>
      <c r="AK46" s="156">
        <f t="shared" si="16"/>
        <v>362880000</v>
      </c>
      <c r="AL46" s="156">
        <f t="shared" si="16"/>
        <v>359100000</v>
      </c>
      <c r="AM46" s="156">
        <f t="shared" si="16"/>
        <v>120960000</v>
      </c>
      <c r="AN46" s="156">
        <f t="shared" si="16"/>
        <v>321300000</v>
      </c>
      <c r="AO46" s="156">
        <f t="shared" si="16"/>
        <v>321300000</v>
      </c>
      <c r="AP46" s="156">
        <f t="shared" si="16"/>
        <v>359100000</v>
      </c>
      <c r="AQ46" s="156">
        <f t="shared" si="16"/>
        <v>317520000</v>
      </c>
      <c r="AR46" s="156">
        <f t="shared" si="16"/>
        <v>340200000</v>
      </c>
      <c r="AS46" s="156">
        <f t="shared" si="16"/>
        <v>340200000</v>
      </c>
      <c r="AT46" s="156">
        <f t="shared" si="16"/>
        <v>302400000</v>
      </c>
      <c r="AU46" s="156">
        <f t="shared" si="16"/>
        <v>359100000</v>
      </c>
      <c r="AV46" s="156">
        <f t="shared" si="16"/>
        <v>321300000</v>
      </c>
      <c r="AW46" s="156">
        <f t="shared" si="16"/>
        <v>385560000</v>
      </c>
      <c r="AX46" s="156">
        <f t="shared" si="16"/>
        <v>359100000</v>
      </c>
      <c r="AY46" s="156">
        <f t="shared" si="16"/>
        <v>120960000</v>
      </c>
      <c r="AZ46" s="156">
        <f t="shared" si="16"/>
        <v>302400000</v>
      </c>
      <c r="BA46" s="156">
        <f t="shared" si="16"/>
        <v>340200000</v>
      </c>
      <c r="BB46" s="156">
        <f t="shared" si="16"/>
        <v>340200000</v>
      </c>
      <c r="BC46" s="156">
        <f t="shared" si="16"/>
        <v>317520000</v>
      </c>
      <c r="BD46" s="156">
        <f t="shared" si="16"/>
        <v>359100000</v>
      </c>
      <c r="BE46" s="156">
        <f t="shared" si="16"/>
        <v>321300000</v>
      </c>
      <c r="BF46" s="156">
        <f t="shared" si="16"/>
        <v>321300000</v>
      </c>
      <c r="BG46" s="156">
        <f t="shared" si="16"/>
        <v>359100000</v>
      </c>
      <c r="BH46" s="156">
        <f t="shared" si="16"/>
        <v>302400000</v>
      </c>
      <c r="BI46" s="156">
        <f t="shared" si="16"/>
        <v>408240000</v>
      </c>
      <c r="BJ46" s="156">
        <f t="shared" si="16"/>
        <v>340200000</v>
      </c>
      <c r="BK46" s="156">
        <f t="shared" si="16"/>
        <v>120960000</v>
      </c>
      <c r="BL46" s="156">
        <f t="shared" si="16"/>
        <v>321300000</v>
      </c>
      <c r="BM46" s="156">
        <f t="shared" si="16"/>
        <v>340200000</v>
      </c>
      <c r="BN46" s="156">
        <f t="shared" si="16"/>
        <v>321300000</v>
      </c>
      <c r="BO46" s="156"/>
    </row>
    <row r="47" ht="13.5" customHeight="1" outlineLevel="1">
      <c r="A47" s="155"/>
      <c r="B47" s="158"/>
      <c r="C47" s="154" t="s">
        <v>151</v>
      </c>
      <c r="D47" s="155"/>
      <c r="E47" s="150">
        <v>0.7</v>
      </c>
      <c r="F47" s="156"/>
      <c r="G47" s="156">
        <f t="shared" ref="G47:BN47" si="17">G$45*$E47</f>
        <v>819000000</v>
      </c>
      <c r="H47" s="156">
        <f t="shared" si="17"/>
        <v>476280000</v>
      </c>
      <c r="I47" s="156">
        <f t="shared" si="17"/>
        <v>524790000</v>
      </c>
      <c r="J47" s="156">
        <f t="shared" si="17"/>
        <v>635040000</v>
      </c>
      <c r="K47" s="156">
        <f t="shared" si="17"/>
        <v>674730000</v>
      </c>
      <c r="L47" s="156">
        <f t="shared" si="17"/>
        <v>749700000</v>
      </c>
      <c r="M47" s="156">
        <f t="shared" si="17"/>
        <v>1005480000</v>
      </c>
      <c r="N47" s="156">
        <f t="shared" si="17"/>
        <v>705600000</v>
      </c>
      <c r="O47" s="156">
        <f t="shared" si="17"/>
        <v>282240000</v>
      </c>
      <c r="P47" s="156">
        <f t="shared" si="17"/>
        <v>837900000</v>
      </c>
      <c r="Q47" s="156">
        <f t="shared" si="17"/>
        <v>749700000</v>
      </c>
      <c r="R47" s="156">
        <f t="shared" si="17"/>
        <v>749700000</v>
      </c>
      <c r="S47" s="156">
        <f t="shared" si="17"/>
        <v>833490000</v>
      </c>
      <c r="T47" s="156">
        <f t="shared" si="17"/>
        <v>749700000</v>
      </c>
      <c r="U47" s="156">
        <f t="shared" si="17"/>
        <v>793800000</v>
      </c>
      <c r="V47" s="156">
        <f t="shared" si="17"/>
        <v>793800000</v>
      </c>
      <c r="W47" s="156">
        <f t="shared" si="17"/>
        <v>705600000</v>
      </c>
      <c r="X47" s="156">
        <f t="shared" si="17"/>
        <v>793800000</v>
      </c>
      <c r="Y47" s="156">
        <f t="shared" si="17"/>
        <v>952560000</v>
      </c>
      <c r="Z47" s="156">
        <f t="shared" si="17"/>
        <v>749700000</v>
      </c>
      <c r="AA47" s="156">
        <f t="shared" si="17"/>
        <v>299880000</v>
      </c>
      <c r="AB47" s="156">
        <f t="shared" si="17"/>
        <v>793800000</v>
      </c>
      <c r="AC47" s="156">
        <f t="shared" si="17"/>
        <v>705600000</v>
      </c>
      <c r="AD47" s="156">
        <f t="shared" si="17"/>
        <v>837900000</v>
      </c>
      <c r="AE47" s="156">
        <f t="shared" si="17"/>
        <v>787185000</v>
      </c>
      <c r="AF47" s="156">
        <f t="shared" si="17"/>
        <v>749700000</v>
      </c>
      <c r="AG47" s="156">
        <f t="shared" si="17"/>
        <v>837900000</v>
      </c>
      <c r="AH47" s="156">
        <f t="shared" si="17"/>
        <v>705600000</v>
      </c>
      <c r="AI47" s="156">
        <f t="shared" si="17"/>
        <v>793800000</v>
      </c>
      <c r="AJ47" s="156">
        <f t="shared" si="17"/>
        <v>793800000</v>
      </c>
      <c r="AK47" s="156">
        <f t="shared" si="17"/>
        <v>846720000</v>
      </c>
      <c r="AL47" s="156">
        <f t="shared" si="17"/>
        <v>837900000</v>
      </c>
      <c r="AM47" s="156">
        <f t="shared" si="17"/>
        <v>282240000</v>
      </c>
      <c r="AN47" s="156">
        <f t="shared" si="17"/>
        <v>749700000</v>
      </c>
      <c r="AO47" s="156">
        <f t="shared" si="17"/>
        <v>749700000</v>
      </c>
      <c r="AP47" s="156">
        <f t="shared" si="17"/>
        <v>837900000</v>
      </c>
      <c r="AQ47" s="156">
        <f t="shared" si="17"/>
        <v>740880000</v>
      </c>
      <c r="AR47" s="156">
        <f t="shared" si="17"/>
        <v>793800000</v>
      </c>
      <c r="AS47" s="156">
        <f t="shared" si="17"/>
        <v>793800000</v>
      </c>
      <c r="AT47" s="156">
        <f t="shared" si="17"/>
        <v>705600000</v>
      </c>
      <c r="AU47" s="156">
        <f t="shared" si="17"/>
        <v>837900000</v>
      </c>
      <c r="AV47" s="156">
        <f t="shared" si="17"/>
        <v>749700000</v>
      </c>
      <c r="AW47" s="156">
        <f t="shared" si="17"/>
        <v>899640000</v>
      </c>
      <c r="AX47" s="156">
        <f t="shared" si="17"/>
        <v>837900000</v>
      </c>
      <c r="AY47" s="156">
        <f t="shared" si="17"/>
        <v>282240000</v>
      </c>
      <c r="AZ47" s="156">
        <f t="shared" si="17"/>
        <v>705600000</v>
      </c>
      <c r="BA47" s="156">
        <f t="shared" si="17"/>
        <v>793800000</v>
      </c>
      <c r="BB47" s="156">
        <f t="shared" si="17"/>
        <v>793800000</v>
      </c>
      <c r="BC47" s="156">
        <f t="shared" si="17"/>
        <v>740880000</v>
      </c>
      <c r="BD47" s="156">
        <f t="shared" si="17"/>
        <v>837900000</v>
      </c>
      <c r="BE47" s="156">
        <f t="shared" si="17"/>
        <v>749700000</v>
      </c>
      <c r="BF47" s="156">
        <f t="shared" si="17"/>
        <v>749700000</v>
      </c>
      <c r="BG47" s="156">
        <f t="shared" si="17"/>
        <v>837900000</v>
      </c>
      <c r="BH47" s="156">
        <f t="shared" si="17"/>
        <v>705600000</v>
      </c>
      <c r="BI47" s="156">
        <f t="shared" si="17"/>
        <v>952560000</v>
      </c>
      <c r="BJ47" s="156">
        <f t="shared" si="17"/>
        <v>793800000</v>
      </c>
      <c r="BK47" s="156">
        <f t="shared" si="17"/>
        <v>282240000</v>
      </c>
      <c r="BL47" s="156">
        <f t="shared" si="17"/>
        <v>749700000</v>
      </c>
      <c r="BM47" s="156">
        <f t="shared" si="17"/>
        <v>793800000</v>
      </c>
      <c r="BN47" s="156">
        <f t="shared" si="17"/>
        <v>749700000</v>
      </c>
      <c r="BO47" s="156"/>
    </row>
    <row r="48" ht="13.5" customHeight="1" outlineLevel="1">
      <c r="A48" s="138"/>
      <c r="B48" s="139"/>
      <c r="C48" s="138" t="s">
        <v>152</v>
      </c>
      <c r="D48" s="138"/>
      <c r="E48" s="150">
        <v>0.05</v>
      </c>
      <c r="F48" s="141"/>
      <c r="G48" s="141">
        <f t="shared" ref="G48:BN48" si="18">G45*$E$48</f>
        <v>58500000</v>
      </c>
      <c r="H48" s="141">
        <f t="shared" si="18"/>
        <v>34020000</v>
      </c>
      <c r="I48" s="141">
        <f t="shared" si="18"/>
        <v>37485000</v>
      </c>
      <c r="J48" s="141">
        <f t="shared" si="18"/>
        <v>45360000</v>
      </c>
      <c r="K48" s="141">
        <f t="shared" si="18"/>
        <v>48195000</v>
      </c>
      <c r="L48" s="141">
        <f t="shared" si="18"/>
        <v>53550000</v>
      </c>
      <c r="M48" s="141">
        <f t="shared" si="18"/>
        <v>71820000</v>
      </c>
      <c r="N48" s="141">
        <f t="shared" si="18"/>
        <v>50400000</v>
      </c>
      <c r="O48" s="141">
        <f t="shared" si="18"/>
        <v>20160000</v>
      </c>
      <c r="P48" s="141">
        <f t="shared" si="18"/>
        <v>59850000</v>
      </c>
      <c r="Q48" s="141">
        <f t="shared" si="18"/>
        <v>53550000</v>
      </c>
      <c r="R48" s="141">
        <f t="shared" si="18"/>
        <v>53550000</v>
      </c>
      <c r="S48" s="141">
        <f t="shared" si="18"/>
        <v>59535000</v>
      </c>
      <c r="T48" s="141">
        <f t="shared" si="18"/>
        <v>53550000</v>
      </c>
      <c r="U48" s="141">
        <f t="shared" si="18"/>
        <v>56700000</v>
      </c>
      <c r="V48" s="141">
        <f t="shared" si="18"/>
        <v>56700000</v>
      </c>
      <c r="W48" s="141">
        <f t="shared" si="18"/>
        <v>50400000</v>
      </c>
      <c r="X48" s="141">
        <f t="shared" si="18"/>
        <v>56700000</v>
      </c>
      <c r="Y48" s="141">
        <f t="shared" si="18"/>
        <v>68040000</v>
      </c>
      <c r="Z48" s="141">
        <f t="shared" si="18"/>
        <v>53550000</v>
      </c>
      <c r="AA48" s="141">
        <f t="shared" si="18"/>
        <v>21420000</v>
      </c>
      <c r="AB48" s="141">
        <f t="shared" si="18"/>
        <v>56700000</v>
      </c>
      <c r="AC48" s="141">
        <f t="shared" si="18"/>
        <v>50400000</v>
      </c>
      <c r="AD48" s="141">
        <f t="shared" si="18"/>
        <v>59850000</v>
      </c>
      <c r="AE48" s="141">
        <f t="shared" si="18"/>
        <v>56227500</v>
      </c>
      <c r="AF48" s="141">
        <f t="shared" si="18"/>
        <v>53550000</v>
      </c>
      <c r="AG48" s="141">
        <f t="shared" si="18"/>
        <v>59850000</v>
      </c>
      <c r="AH48" s="141">
        <f t="shared" si="18"/>
        <v>50400000</v>
      </c>
      <c r="AI48" s="141">
        <f t="shared" si="18"/>
        <v>56700000</v>
      </c>
      <c r="AJ48" s="141">
        <f t="shared" si="18"/>
        <v>56700000</v>
      </c>
      <c r="AK48" s="141">
        <f t="shared" si="18"/>
        <v>60480000</v>
      </c>
      <c r="AL48" s="141">
        <f t="shared" si="18"/>
        <v>59850000</v>
      </c>
      <c r="AM48" s="141">
        <f t="shared" si="18"/>
        <v>20160000</v>
      </c>
      <c r="AN48" s="141">
        <f t="shared" si="18"/>
        <v>53550000</v>
      </c>
      <c r="AO48" s="141">
        <f t="shared" si="18"/>
        <v>53550000</v>
      </c>
      <c r="AP48" s="141">
        <f t="shared" si="18"/>
        <v>59850000</v>
      </c>
      <c r="AQ48" s="141">
        <f t="shared" si="18"/>
        <v>52920000</v>
      </c>
      <c r="AR48" s="141">
        <f t="shared" si="18"/>
        <v>56700000</v>
      </c>
      <c r="AS48" s="141">
        <f t="shared" si="18"/>
        <v>56700000</v>
      </c>
      <c r="AT48" s="141">
        <f t="shared" si="18"/>
        <v>50400000</v>
      </c>
      <c r="AU48" s="141">
        <f t="shared" si="18"/>
        <v>59850000</v>
      </c>
      <c r="AV48" s="141">
        <f t="shared" si="18"/>
        <v>53550000</v>
      </c>
      <c r="AW48" s="141">
        <f t="shared" si="18"/>
        <v>64260000</v>
      </c>
      <c r="AX48" s="141">
        <f t="shared" si="18"/>
        <v>59850000</v>
      </c>
      <c r="AY48" s="141">
        <f t="shared" si="18"/>
        <v>20160000</v>
      </c>
      <c r="AZ48" s="141">
        <f t="shared" si="18"/>
        <v>50400000</v>
      </c>
      <c r="BA48" s="141">
        <f t="shared" si="18"/>
        <v>56700000</v>
      </c>
      <c r="BB48" s="141">
        <f t="shared" si="18"/>
        <v>56700000</v>
      </c>
      <c r="BC48" s="141">
        <f t="shared" si="18"/>
        <v>52920000</v>
      </c>
      <c r="BD48" s="141">
        <f t="shared" si="18"/>
        <v>59850000</v>
      </c>
      <c r="BE48" s="141">
        <f t="shared" si="18"/>
        <v>53550000</v>
      </c>
      <c r="BF48" s="141">
        <f t="shared" si="18"/>
        <v>53550000</v>
      </c>
      <c r="BG48" s="141">
        <f t="shared" si="18"/>
        <v>59850000</v>
      </c>
      <c r="BH48" s="141">
        <f t="shared" si="18"/>
        <v>50400000</v>
      </c>
      <c r="BI48" s="141">
        <f t="shared" si="18"/>
        <v>68040000</v>
      </c>
      <c r="BJ48" s="141">
        <f t="shared" si="18"/>
        <v>56700000</v>
      </c>
      <c r="BK48" s="141">
        <f t="shared" si="18"/>
        <v>20160000</v>
      </c>
      <c r="BL48" s="141">
        <f t="shared" si="18"/>
        <v>53550000</v>
      </c>
      <c r="BM48" s="141">
        <f t="shared" si="18"/>
        <v>56700000</v>
      </c>
      <c r="BN48" s="141">
        <f t="shared" si="18"/>
        <v>53550000</v>
      </c>
      <c r="BO48" s="141"/>
    </row>
    <row r="49" ht="13.5" customHeight="1" outlineLevel="1">
      <c r="A49" s="147"/>
      <c r="B49" s="139"/>
      <c r="C49" s="147" t="s">
        <v>153</v>
      </c>
      <c r="D49" s="147"/>
      <c r="E49" s="148"/>
      <c r="F49" s="146"/>
      <c r="G49" s="146">
        <f t="shared" ref="G49:BN49" si="19">G45+G48</f>
        <v>1228500000</v>
      </c>
      <c r="H49" s="146">
        <f t="shared" si="19"/>
        <v>714420000</v>
      </c>
      <c r="I49" s="146">
        <f t="shared" si="19"/>
        <v>787185000</v>
      </c>
      <c r="J49" s="146">
        <f t="shared" si="19"/>
        <v>952560000</v>
      </c>
      <c r="K49" s="146">
        <f t="shared" si="19"/>
        <v>1012095000</v>
      </c>
      <c r="L49" s="146">
        <f t="shared" si="19"/>
        <v>1124550000</v>
      </c>
      <c r="M49" s="146">
        <f t="shared" si="19"/>
        <v>1508220000</v>
      </c>
      <c r="N49" s="146">
        <f t="shared" si="19"/>
        <v>1058400000</v>
      </c>
      <c r="O49" s="146">
        <f t="shared" si="19"/>
        <v>423360000</v>
      </c>
      <c r="P49" s="146">
        <f t="shared" si="19"/>
        <v>1256850000</v>
      </c>
      <c r="Q49" s="146">
        <f t="shared" si="19"/>
        <v>1124550000</v>
      </c>
      <c r="R49" s="146">
        <f t="shared" si="19"/>
        <v>1124550000</v>
      </c>
      <c r="S49" s="146">
        <f t="shared" si="19"/>
        <v>1250235000</v>
      </c>
      <c r="T49" s="146">
        <f t="shared" si="19"/>
        <v>1124550000</v>
      </c>
      <c r="U49" s="146">
        <f t="shared" si="19"/>
        <v>1190700000</v>
      </c>
      <c r="V49" s="146">
        <f t="shared" si="19"/>
        <v>1190700000</v>
      </c>
      <c r="W49" s="146">
        <f t="shared" si="19"/>
        <v>1058400000</v>
      </c>
      <c r="X49" s="146">
        <f t="shared" si="19"/>
        <v>1190700000</v>
      </c>
      <c r="Y49" s="146">
        <f t="shared" si="19"/>
        <v>1428840000</v>
      </c>
      <c r="Z49" s="146">
        <f t="shared" si="19"/>
        <v>1124550000</v>
      </c>
      <c r="AA49" s="146">
        <f t="shared" si="19"/>
        <v>449820000</v>
      </c>
      <c r="AB49" s="146">
        <f t="shared" si="19"/>
        <v>1190700000</v>
      </c>
      <c r="AC49" s="146">
        <f t="shared" si="19"/>
        <v>1058400000</v>
      </c>
      <c r="AD49" s="146">
        <f t="shared" si="19"/>
        <v>1256850000</v>
      </c>
      <c r="AE49" s="146">
        <f t="shared" si="19"/>
        <v>1180777500</v>
      </c>
      <c r="AF49" s="146">
        <f t="shared" si="19"/>
        <v>1124550000</v>
      </c>
      <c r="AG49" s="146">
        <f t="shared" si="19"/>
        <v>1256850000</v>
      </c>
      <c r="AH49" s="146">
        <f t="shared" si="19"/>
        <v>1058400000</v>
      </c>
      <c r="AI49" s="146">
        <f t="shared" si="19"/>
        <v>1190700000</v>
      </c>
      <c r="AJ49" s="146">
        <f t="shared" si="19"/>
        <v>1190700000</v>
      </c>
      <c r="AK49" s="146">
        <f t="shared" si="19"/>
        <v>1270080000</v>
      </c>
      <c r="AL49" s="146">
        <f t="shared" si="19"/>
        <v>1256850000</v>
      </c>
      <c r="AM49" s="146">
        <f t="shared" si="19"/>
        <v>423360000</v>
      </c>
      <c r="AN49" s="146">
        <f t="shared" si="19"/>
        <v>1124550000</v>
      </c>
      <c r="AO49" s="146">
        <f t="shared" si="19"/>
        <v>1124550000</v>
      </c>
      <c r="AP49" s="146">
        <f t="shared" si="19"/>
        <v>1256850000</v>
      </c>
      <c r="AQ49" s="146">
        <f t="shared" si="19"/>
        <v>1111320000</v>
      </c>
      <c r="AR49" s="146">
        <f t="shared" si="19"/>
        <v>1190700000</v>
      </c>
      <c r="AS49" s="146">
        <f t="shared" si="19"/>
        <v>1190700000</v>
      </c>
      <c r="AT49" s="146">
        <f t="shared" si="19"/>
        <v>1058400000</v>
      </c>
      <c r="AU49" s="146">
        <f t="shared" si="19"/>
        <v>1256850000</v>
      </c>
      <c r="AV49" s="146">
        <f t="shared" si="19"/>
        <v>1124550000</v>
      </c>
      <c r="AW49" s="146">
        <f t="shared" si="19"/>
        <v>1349460000</v>
      </c>
      <c r="AX49" s="146">
        <f t="shared" si="19"/>
        <v>1256850000</v>
      </c>
      <c r="AY49" s="146">
        <f t="shared" si="19"/>
        <v>423360000</v>
      </c>
      <c r="AZ49" s="146">
        <f t="shared" si="19"/>
        <v>1058400000</v>
      </c>
      <c r="BA49" s="146">
        <f t="shared" si="19"/>
        <v>1190700000</v>
      </c>
      <c r="BB49" s="146">
        <f t="shared" si="19"/>
        <v>1190700000</v>
      </c>
      <c r="BC49" s="146">
        <f t="shared" si="19"/>
        <v>1111320000</v>
      </c>
      <c r="BD49" s="146">
        <f t="shared" si="19"/>
        <v>1256850000</v>
      </c>
      <c r="BE49" s="146">
        <f t="shared" si="19"/>
        <v>1124550000</v>
      </c>
      <c r="BF49" s="146">
        <f t="shared" si="19"/>
        <v>1124550000</v>
      </c>
      <c r="BG49" s="146">
        <f t="shared" si="19"/>
        <v>1256850000</v>
      </c>
      <c r="BH49" s="146">
        <f t="shared" si="19"/>
        <v>1058400000</v>
      </c>
      <c r="BI49" s="146">
        <f t="shared" si="19"/>
        <v>1428840000</v>
      </c>
      <c r="BJ49" s="146">
        <f t="shared" si="19"/>
        <v>1190700000</v>
      </c>
      <c r="BK49" s="146">
        <f t="shared" si="19"/>
        <v>423360000</v>
      </c>
      <c r="BL49" s="146">
        <f t="shared" si="19"/>
        <v>1124550000</v>
      </c>
      <c r="BM49" s="146">
        <f t="shared" si="19"/>
        <v>1190700000</v>
      </c>
      <c r="BN49" s="146">
        <f t="shared" si="19"/>
        <v>1124550000</v>
      </c>
      <c r="BO49" s="146"/>
    </row>
    <row r="50" ht="13.5" customHeight="1" outlineLevel="1">
      <c r="A50" s="138"/>
      <c r="B50" s="139"/>
      <c r="C50" s="138" t="s">
        <v>94</v>
      </c>
      <c r="D50" s="138"/>
      <c r="E50" s="140"/>
      <c r="F50" s="141"/>
      <c r="G50" s="141">
        <f>G46*Assumption!$G$28+Model!G47*Assumption!$G$29</f>
        <v>19890000</v>
      </c>
      <c r="H50" s="141">
        <f>H46*Assumption!$G$28+Model!H47*Assumption!$G$29</f>
        <v>11566800</v>
      </c>
      <c r="I50" s="141">
        <f>I46*Assumption!$G$28+Model!I47*Assumption!$G$29</f>
        <v>12744900</v>
      </c>
      <c r="J50" s="141">
        <f>J46*Assumption!$G$28+Model!J47*Assumption!$G$29</f>
        <v>15422400</v>
      </c>
      <c r="K50" s="141">
        <f>K46*Assumption!$G$28+Model!K47*Assumption!$G$29</f>
        <v>16386300</v>
      </c>
      <c r="L50" s="141">
        <f>L46*Assumption!$G$28+Model!L47*Assumption!$G$29</f>
        <v>18207000</v>
      </c>
      <c r="M50" s="141">
        <f>M46*Assumption!$G$28+Model!M47*Assumption!$G$29</f>
        <v>24418800</v>
      </c>
      <c r="N50" s="141">
        <f>N46*Assumption!$G$28+Model!N47*Assumption!$G$29</f>
        <v>17136000</v>
      </c>
      <c r="O50" s="141">
        <f>O46*Assumption!$G$28+Model!O47*Assumption!$G$29</f>
        <v>6854400</v>
      </c>
      <c r="P50" s="141">
        <f>P46*Assumption!$G$28+Model!P47*Assumption!$G$29</f>
        <v>20349000</v>
      </c>
      <c r="Q50" s="141">
        <f>Q46*Assumption!$G$28+Model!Q47*Assumption!$G$29</f>
        <v>18207000</v>
      </c>
      <c r="R50" s="141">
        <f>R46*Assumption!$G$28+Model!R47*Assumption!$G$29</f>
        <v>18207000</v>
      </c>
      <c r="S50" s="141">
        <f>S46*Assumption!$G$28+Model!S47*Assumption!$G$29</f>
        <v>20241900</v>
      </c>
      <c r="T50" s="141">
        <f>T46*Assumption!$G$28+Model!T47*Assumption!$G$29</f>
        <v>18207000</v>
      </c>
      <c r="U50" s="141">
        <f>U46*Assumption!$G$28+Model!U47*Assumption!$G$29</f>
        <v>19278000</v>
      </c>
      <c r="V50" s="141">
        <f>V46*Assumption!$G$28+Model!V47*Assumption!$G$29</f>
        <v>19278000</v>
      </c>
      <c r="W50" s="141">
        <f>W46*Assumption!$G$28+Model!W47*Assumption!$G$29</f>
        <v>17136000</v>
      </c>
      <c r="X50" s="141">
        <f>X46*Assumption!$G$28+Model!X47*Assumption!$G$29</f>
        <v>19278000</v>
      </c>
      <c r="Y50" s="141">
        <f>Y46*Assumption!$G$28+Model!Y47*Assumption!$G$29</f>
        <v>23133600</v>
      </c>
      <c r="Z50" s="141">
        <f>Z46*Assumption!$G$28+Model!Z47*Assumption!$G$29</f>
        <v>18207000</v>
      </c>
      <c r="AA50" s="141">
        <f>AA46*Assumption!$G$28+Model!AA47*Assumption!$G$29</f>
        <v>7282800</v>
      </c>
      <c r="AB50" s="141">
        <f>AB46*Assumption!$G$28+Model!AB47*Assumption!$G$29</f>
        <v>19278000</v>
      </c>
      <c r="AC50" s="141">
        <f>AC46*Assumption!$G$28+Model!AC47*Assumption!$G$29</f>
        <v>17136000</v>
      </c>
      <c r="AD50" s="141">
        <f>AD46*Assumption!$G$28+Model!AD47*Assumption!$G$29</f>
        <v>20349000</v>
      </c>
      <c r="AE50" s="141">
        <f>AE46*Assumption!$G$28+Model!AE47*Assumption!$G$29</f>
        <v>19117350</v>
      </c>
      <c r="AF50" s="141">
        <f>AF46*Assumption!$G$28+Model!AF47*Assumption!$G$29</f>
        <v>18207000</v>
      </c>
      <c r="AG50" s="141">
        <f>AG46*Assumption!$G$28+Model!AG47*Assumption!$G$29</f>
        <v>20349000</v>
      </c>
      <c r="AH50" s="141">
        <f>AH46*Assumption!$G$28+Model!AH47*Assumption!$G$29</f>
        <v>17136000</v>
      </c>
      <c r="AI50" s="141">
        <f>AI46*Assumption!$G$28+Model!AI47*Assumption!$G$29</f>
        <v>19278000</v>
      </c>
      <c r="AJ50" s="141">
        <f>AJ46*Assumption!$G$28+Model!AJ47*Assumption!$G$29</f>
        <v>19278000</v>
      </c>
      <c r="AK50" s="141">
        <f>AK46*Assumption!$G$28+Model!AK47*Assumption!$G$29</f>
        <v>20563200</v>
      </c>
      <c r="AL50" s="141">
        <f>AL46*Assumption!$G$28+Model!AL47*Assumption!$G$29</f>
        <v>20349000</v>
      </c>
      <c r="AM50" s="141">
        <f>AM46*Assumption!$G$28+Model!AM47*Assumption!$G$29</f>
        <v>6854400</v>
      </c>
      <c r="AN50" s="141">
        <f>AN46*Assumption!$G$28+Model!AN47*Assumption!$G$29</f>
        <v>18207000</v>
      </c>
      <c r="AO50" s="141">
        <f>AO46*Assumption!$G$28+Model!AO47*Assumption!$G$29</f>
        <v>18207000</v>
      </c>
      <c r="AP50" s="141">
        <f>AP46*Assumption!$G$28+Model!AP47*Assumption!$G$29</f>
        <v>20349000</v>
      </c>
      <c r="AQ50" s="141">
        <f>AQ46*Assumption!$G$28+Model!AQ47*Assumption!$G$29</f>
        <v>17992800</v>
      </c>
      <c r="AR50" s="141">
        <f>AR46*Assumption!$G$28+Model!AR47*Assumption!$G$29</f>
        <v>19278000</v>
      </c>
      <c r="AS50" s="141">
        <f>AS46*Assumption!$G$28+Model!AS47*Assumption!$G$29</f>
        <v>19278000</v>
      </c>
      <c r="AT50" s="141">
        <f>AT46*Assumption!$G$28+Model!AT47*Assumption!$G$29</f>
        <v>17136000</v>
      </c>
      <c r="AU50" s="141">
        <f>AU46*Assumption!$G$28+Model!AU47*Assumption!$G$29</f>
        <v>20349000</v>
      </c>
      <c r="AV50" s="141">
        <f>AV46*Assumption!$G$28+Model!AV47*Assumption!$G$29</f>
        <v>18207000</v>
      </c>
      <c r="AW50" s="141">
        <f>AW46*Assumption!$G$28+Model!AW47*Assumption!$G$29</f>
        <v>21848400</v>
      </c>
      <c r="AX50" s="141">
        <f>AX46*Assumption!$G$28+Model!AX47*Assumption!$G$29</f>
        <v>20349000</v>
      </c>
      <c r="AY50" s="141">
        <f>AY46*Assumption!$G$28+Model!AY47*Assumption!$G$29</f>
        <v>6854400</v>
      </c>
      <c r="AZ50" s="141">
        <f>AZ46*Assumption!$G$28+Model!AZ47*Assumption!$G$29</f>
        <v>17136000</v>
      </c>
      <c r="BA50" s="141">
        <f>BA46*Assumption!$G$28+Model!BA47*Assumption!$G$29</f>
        <v>19278000</v>
      </c>
      <c r="BB50" s="141">
        <f>BB46*Assumption!$G$28+Model!BB47*Assumption!$G$29</f>
        <v>19278000</v>
      </c>
      <c r="BC50" s="141">
        <f>BC46*Assumption!$G$28+Model!BC47*Assumption!$G$29</f>
        <v>17992800</v>
      </c>
      <c r="BD50" s="141">
        <f>BD46*Assumption!$G$28+Model!BD47*Assumption!$G$29</f>
        <v>20349000</v>
      </c>
      <c r="BE50" s="141">
        <f>BE46*Assumption!$G$28+Model!BE47*Assumption!$G$29</f>
        <v>18207000</v>
      </c>
      <c r="BF50" s="141">
        <f>BF46*Assumption!$G$28+Model!BF47*Assumption!$G$29</f>
        <v>18207000</v>
      </c>
      <c r="BG50" s="141">
        <f>BG46*Assumption!$G$28+Model!BG47*Assumption!$G$29</f>
        <v>20349000</v>
      </c>
      <c r="BH50" s="141">
        <f>BH46*Assumption!$G$28+Model!BH47*Assumption!$G$29</f>
        <v>17136000</v>
      </c>
      <c r="BI50" s="141">
        <f>BI46*Assumption!$G$28+Model!BI47*Assumption!$G$29</f>
        <v>23133600</v>
      </c>
      <c r="BJ50" s="141">
        <f>BJ46*Assumption!$G$28+Model!BJ47*Assumption!$G$29</f>
        <v>19278000</v>
      </c>
      <c r="BK50" s="141">
        <f>BK46*Assumption!$G$28+Model!BK47*Assumption!$G$29</f>
        <v>6854400</v>
      </c>
      <c r="BL50" s="141">
        <f>BL46*Assumption!$G$28+Model!BL47*Assumption!$G$29</f>
        <v>18207000</v>
      </c>
      <c r="BM50" s="141">
        <f>BM46*Assumption!$G$28+Model!BM47*Assumption!$G$29</f>
        <v>19278000</v>
      </c>
      <c r="BN50" s="141">
        <f>BN46*Assumption!$G$28+Model!BN47*Assumption!$G$29</f>
        <v>18207000</v>
      </c>
      <c r="BO50" s="141"/>
    </row>
    <row r="51" ht="13.5" customHeight="1">
      <c r="A51" s="138"/>
      <c r="B51" s="139"/>
      <c r="C51" s="138"/>
      <c r="D51" s="138"/>
      <c r="E51" s="140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</row>
    <row r="52" ht="13.5" customHeight="1">
      <c r="A52" s="138"/>
      <c r="B52" s="142" t="s">
        <v>41</v>
      </c>
      <c r="C52" s="143" t="s">
        <v>154</v>
      </c>
      <c r="D52" s="143"/>
      <c r="E52" s="144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6"/>
    </row>
    <row r="53" ht="13.5" customHeight="1">
      <c r="A53" s="138"/>
      <c r="B53" s="139"/>
      <c r="C53" s="138"/>
      <c r="D53" s="138"/>
      <c r="E53" s="140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</row>
    <row r="54" ht="13.5" customHeight="1" outlineLevel="1">
      <c r="A54" s="138"/>
      <c r="B54" s="139">
        <v>1.0</v>
      </c>
      <c r="C54" s="147" t="s">
        <v>98</v>
      </c>
      <c r="D54" s="138"/>
      <c r="E54" s="140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</row>
    <row r="55" ht="13.5" customHeight="1" outlineLevel="1">
      <c r="A55" s="138"/>
      <c r="B55" s="139"/>
      <c r="C55" s="138" t="s">
        <v>155</v>
      </c>
      <c r="D55" s="138"/>
      <c r="E55" s="140"/>
      <c r="F55" s="141"/>
      <c r="G55" s="141">
        <f>G46*Assumption!$G31</f>
        <v>122850000</v>
      </c>
      <c r="H55" s="141">
        <f>H46*Assumption!$G31</f>
        <v>71442000</v>
      </c>
      <c r="I55" s="141">
        <f>I46*Assumption!$G31</f>
        <v>78718500</v>
      </c>
      <c r="J55" s="141">
        <f>J46*Assumption!$G31</f>
        <v>95256000</v>
      </c>
      <c r="K55" s="141">
        <f>K46*Assumption!$G31</f>
        <v>101209500</v>
      </c>
      <c r="L55" s="141">
        <f>L46*Assumption!$G31</f>
        <v>112455000</v>
      </c>
      <c r="M55" s="141">
        <f>M46*Assumption!$G31</f>
        <v>150822000</v>
      </c>
      <c r="N55" s="141">
        <f>N46*Assumption!$G31</f>
        <v>105840000</v>
      </c>
      <c r="O55" s="141">
        <f>O46*Assumption!$G31</f>
        <v>42336000</v>
      </c>
      <c r="P55" s="141">
        <f>P46*Assumption!$G31</f>
        <v>125685000</v>
      </c>
      <c r="Q55" s="141">
        <f>Q46*Assumption!$G31</f>
        <v>112455000</v>
      </c>
      <c r="R55" s="141">
        <f>R46*Assumption!$G31</f>
        <v>112455000</v>
      </c>
      <c r="S55" s="141">
        <f>S46*Assumption!$G31</f>
        <v>125023500</v>
      </c>
      <c r="T55" s="141">
        <f>T46*Assumption!$G31</f>
        <v>112455000</v>
      </c>
      <c r="U55" s="141">
        <f>U46*Assumption!$G31</f>
        <v>119070000</v>
      </c>
      <c r="V55" s="141">
        <f>V46*Assumption!$G31</f>
        <v>119070000</v>
      </c>
      <c r="W55" s="141">
        <f>W46*Assumption!$G31</f>
        <v>105840000</v>
      </c>
      <c r="X55" s="141">
        <f>X46*Assumption!$G31</f>
        <v>119070000</v>
      </c>
      <c r="Y55" s="141">
        <f>Y46*Assumption!$G31</f>
        <v>142884000</v>
      </c>
      <c r="Z55" s="141">
        <f>Z46*Assumption!$G31</f>
        <v>112455000</v>
      </c>
      <c r="AA55" s="141">
        <f>AA46*Assumption!$G31</f>
        <v>44982000</v>
      </c>
      <c r="AB55" s="141">
        <f>AB46*Assumption!$G31</f>
        <v>119070000</v>
      </c>
      <c r="AC55" s="141">
        <f>AC46*Assumption!$G31</f>
        <v>105840000</v>
      </c>
      <c r="AD55" s="141">
        <f>AD46*Assumption!$G31</f>
        <v>125685000</v>
      </c>
      <c r="AE55" s="141">
        <f>AE46*Assumption!$G31</f>
        <v>118077750</v>
      </c>
      <c r="AF55" s="141">
        <f>AF46*Assumption!$G31</f>
        <v>112455000</v>
      </c>
      <c r="AG55" s="141">
        <f>AG46*Assumption!$G31</f>
        <v>125685000</v>
      </c>
      <c r="AH55" s="141">
        <f>AH46*Assumption!$G31</f>
        <v>105840000</v>
      </c>
      <c r="AI55" s="141">
        <f>AI46*Assumption!$G31</f>
        <v>119070000</v>
      </c>
      <c r="AJ55" s="141">
        <f>AJ46*Assumption!$G31</f>
        <v>119070000</v>
      </c>
      <c r="AK55" s="141">
        <f>AK46*Assumption!$G31</f>
        <v>127008000</v>
      </c>
      <c r="AL55" s="141">
        <f>AL46*Assumption!$G31</f>
        <v>125685000</v>
      </c>
      <c r="AM55" s="141">
        <f>AM46*Assumption!$G31</f>
        <v>42336000</v>
      </c>
      <c r="AN55" s="141">
        <f>AN46*Assumption!$G31</f>
        <v>112455000</v>
      </c>
      <c r="AO55" s="141">
        <f>AO46*Assumption!$G31</f>
        <v>112455000</v>
      </c>
      <c r="AP55" s="141">
        <f>AP46*Assumption!$G31</f>
        <v>125685000</v>
      </c>
      <c r="AQ55" s="141">
        <f>AQ46*Assumption!$G31</f>
        <v>111132000</v>
      </c>
      <c r="AR55" s="141">
        <f>AR46*Assumption!$G31</f>
        <v>119070000</v>
      </c>
      <c r="AS55" s="141">
        <f>AS46*Assumption!$G31</f>
        <v>119070000</v>
      </c>
      <c r="AT55" s="141">
        <f>AT46*Assumption!$G31</f>
        <v>105840000</v>
      </c>
      <c r="AU55" s="141">
        <f>AU46*Assumption!$G31</f>
        <v>125685000</v>
      </c>
      <c r="AV55" s="141">
        <f>AV46*Assumption!$G31</f>
        <v>112455000</v>
      </c>
      <c r="AW55" s="141">
        <f>AW46*Assumption!$G31</f>
        <v>134946000</v>
      </c>
      <c r="AX55" s="141">
        <f>AX46*Assumption!$G31</f>
        <v>125685000</v>
      </c>
      <c r="AY55" s="141">
        <f>AY46*Assumption!$G31</f>
        <v>42336000</v>
      </c>
      <c r="AZ55" s="141">
        <f>AZ46*Assumption!$G31</f>
        <v>105840000</v>
      </c>
      <c r="BA55" s="141">
        <f>BA46*Assumption!$G31</f>
        <v>119070000</v>
      </c>
      <c r="BB55" s="141">
        <f>BB46*Assumption!$G31</f>
        <v>119070000</v>
      </c>
      <c r="BC55" s="141">
        <f>BC46*Assumption!$G31</f>
        <v>111132000</v>
      </c>
      <c r="BD55" s="141">
        <f>BD46*Assumption!$G31</f>
        <v>125685000</v>
      </c>
      <c r="BE55" s="141">
        <f>BE46*Assumption!$G31</f>
        <v>112455000</v>
      </c>
      <c r="BF55" s="141">
        <f>BF46*Assumption!$G31</f>
        <v>112455000</v>
      </c>
      <c r="BG55" s="141">
        <f>BG46*Assumption!$G31</f>
        <v>125685000</v>
      </c>
      <c r="BH55" s="141">
        <f>BH46*Assumption!$G31</f>
        <v>105840000</v>
      </c>
      <c r="BI55" s="141">
        <f>BI46*Assumption!$G31</f>
        <v>142884000</v>
      </c>
      <c r="BJ55" s="141">
        <f>BJ46*Assumption!$G31</f>
        <v>119070000</v>
      </c>
      <c r="BK55" s="141">
        <f>BK46*Assumption!$G31</f>
        <v>42336000</v>
      </c>
      <c r="BL55" s="141">
        <f>BL46*Assumption!$G31</f>
        <v>112455000</v>
      </c>
      <c r="BM55" s="141">
        <f>BM46*Assumption!$G31</f>
        <v>119070000</v>
      </c>
      <c r="BN55" s="141">
        <f>BN46*Assumption!$G31</f>
        <v>112455000</v>
      </c>
      <c r="BO55" s="141"/>
    </row>
    <row r="56" ht="13.5" customHeight="1" outlineLevel="1">
      <c r="A56" s="138"/>
      <c r="B56" s="139"/>
      <c r="C56" s="138" t="s">
        <v>156</v>
      </c>
      <c r="D56" s="138"/>
      <c r="E56" s="140"/>
      <c r="F56" s="141"/>
      <c r="G56" s="141">
        <f>G47*Assumption!$G32</f>
        <v>212940000</v>
      </c>
      <c r="H56" s="141">
        <f>H47*Assumption!$G32</f>
        <v>123832800</v>
      </c>
      <c r="I56" s="141">
        <f>I47*Assumption!$G32</f>
        <v>136445400</v>
      </c>
      <c r="J56" s="141">
        <f>J47*Assumption!$G32</f>
        <v>165110400</v>
      </c>
      <c r="K56" s="141">
        <f>K47*Assumption!$G32</f>
        <v>175429800</v>
      </c>
      <c r="L56" s="141">
        <f>L47*Assumption!$G32</f>
        <v>194922000</v>
      </c>
      <c r="M56" s="141">
        <f>M47*Assumption!$G32</f>
        <v>261424800</v>
      </c>
      <c r="N56" s="141">
        <f>N47*Assumption!$G32</f>
        <v>183456000</v>
      </c>
      <c r="O56" s="141">
        <f>O47*Assumption!$G32</f>
        <v>73382400</v>
      </c>
      <c r="P56" s="141">
        <f>P47*Assumption!$G32</f>
        <v>217854000</v>
      </c>
      <c r="Q56" s="141">
        <f>Q47*Assumption!$G32</f>
        <v>194922000</v>
      </c>
      <c r="R56" s="141">
        <f>R47*Assumption!$G32</f>
        <v>194922000</v>
      </c>
      <c r="S56" s="141">
        <f>S47*Assumption!$G32</f>
        <v>216707400</v>
      </c>
      <c r="T56" s="141">
        <f>T47*Assumption!$G32</f>
        <v>194922000</v>
      </c>
      <c r="U56" s="141">
        <f>U47*Assumption!$G32</f>
        <v>206388000</v>
      </c>
      <c r="V56" s="141">
        <f>V47*Assumption!$G32</f>
        <v>206388000</v>
      </c>
      <c r="W56" s="141">
        <f>W47*Assumption!$G32</f>
        <v>183456000</v>
      </c>
      <c r="X56" s="141">
        <f>X47*Assumption!$G32</f>
        <v>206388000</v>
      </c>
      <c r="Y56" s="141">
        <f>Y47*Assumption!$G32</f>
        <v>247665600</v>
      </c>
      <c r="Z56" s="141">
        <f>Z47*Assumption!$G32</f>
        <v>194922000</v>
      </c>
      <c r="AA56" s="141">
        <f>AA47*Assumption!$G32</f>
        <v>77968800</v>
      </c>
      <c r="AB56" s="141">
        <f>AB47*Assumption!$G32</f>
        <v>206388000</v>
      </c>
      <c r="AC56" s="141">
        <f>AC47*Assumption!$G32</f>
        <v>183456000</v>
      </c>
      <c r="AD56" s="141">
        <f>AD47*Assumption!$G32</f>
        <v>217854000</v>
      </c>
      <c r="AE56" s="141">
        <f>AE47*Assumption!$G32</f>
        <v>204668100</v>
      </c>
      <c r="AF56" s="141">
        <f>AF47*Assumption!$G32</f>
        <v>194922000</v>
      </c>
      <c r="AG56" s="141">
        <f>AG47*Assumption!$G32</f>
        <v>217854000</v>
      </c>
      <c r="AH56" s="141">
        <f>AH47*Assumption!$G32</f>
        <v>183456000</v>
      </c>
      <c r="AI56" s="141">
        <f>AI47*Assumption!$G32</f>
        <v>206388000</v>
      </c>
      <c r="AJ56" s="141">
        <f>AJ47*Assumption!$G32</f>
        <v>206388000</v>
      </c>
      <c r="AK56" s="141">
        <f>AK47*Assumption!$G32</f>
        <v>220147200</v>
      </c>
      <c r="AL56" s="141">
        <f>AL47*Assumption!$G32</f>
        <v>217854000</v>
      </c>
      <c r="AM56" s="141">
        <f>AM47*Assumption!$G32</f>
        <v>73382400</v>
      </c>
      <c r="AN56" s="141">
        <f>AN47*Assumption!$G32</f>
        <v>194922000</v>
      </c>
      <c r="AO56" s="141">
        <f>AO47*Assumption!$G32</f>
        <v>194922000</v>
      </c>
      <c r="AP56" s="141">
        <f>AP47*Assumption!$G32</f>
        <v>217854000</v>
      </c>
      <c r="AQ56" s="141">
        <f>AQ47*Assumption!$G32</f>
        <v>192628800</v>
      </c>
      <c r="AR56" s="141">
        <f>AR47*Assumption!$G32</f>
        <v>206388000</v>
      </c>
      <c r="AS56" s="141">
        <f>AS47*Assumption!$G32</f>
        <v>206388000</v>
      </c>
      <c r="AT56" s="141">
        <f>AT47*Assumption!$G32</f>
        <v>183456000</v>
      </c>
      <c r="AU56" s="141">
        <f>AU47*Assumption!$G32</f>
        <v>217854000</v>
      </c>
      <c r="AV56" s="141">
        <f>AV47*Assumption!$G32</f>
        <v>194922000</v>
      </c>
      <c r="AW56" s="141">
        <f>AW47*Assumption!$G32</f>
        <v>233906400</v>
      </c>
      <c r="AX56" s="141">
        <f>AX47*Assumption!$G32</f>
        <v>217854000</v>
      </c>
      <c r="AY56" s="141">
        <f>AY47*Assumption!$G32</f>
        <v>73382400</v>
      </c>
      <c r="AZ56" s="141">
        <f>AZ47*Assumption!$G32</f>
        <v>183456000</v>
      </c>
      <c r="BA56" s="141">
        <f>BA47*Assumption!$G32</f>
        <v>206388000</v>
      </c>
      <c r="BB56" s="141">
        <f>BB47*Assumption!$G32</f>
        <v>206388000</v>
      </c>
      <c r="BC56" s="141">
        <f>BC47*Assumption!$G32</f>
        <v>192628800</v>
      </c>
      <c r="BD56" s="141">
        <f>BD47*Assumption!$G32</f>
        <v>217854000</v>
      </c>
      <c r="BE56" s="141">
        <f>BE47*Assumption!$G32</f>
        <v>194922000</v>
      </c>
      <c r="BF56" s="141">
        <f>BF47*Assumption!$G32</f>
        <v>194922000</v>
      </c>
      <c r="BG56" s="141">
        <f>BG47*Assumption!$G32</f>
        <v>217854000</v>
      </c>
      <c r="BH56" s="141">
        <f>BH47*Assumption!$G32</f>
        <v>183456000</v>
      </c>
      <c r="BI56" s="141">
        <f>BI47*Assumption!$G32</f>
        <v>247665600</v>
      </c>
      <c r="BJ56" s="141">
        <f>BJ47*Assumption!$G32</f>
        <v>206388000</v>
      </c>
      <c r="BK56" s="141">
        <f>BK47*Assumption!$G32</f>
        <v>73382400</v>
      </c>
      <c r="BL56" s="141">
        <f>BL47*Assumption!$G32</f>
        <v>194922000</v>
      </c>
      <c r="BM56" s="141">
        <f>BM47*Assumption!$G32</f>
        <v>206388000</v>
      </c>
      <c r="BN56" s="141">
        <f>BN47*Assumption!$G32</f>
        <v>194922000</v>
      </c>
      <c r="BO56" s="141"/>
    </row>
    <row r="57" ht="13.5" customHeight="1" outlineLevel="1">
      <c r="A57" s="147"/>
      <c r="B57" s="139"/>
      <c r="C57" s="147" t="s">
        <v>46</v>
      </c>
      <c r="D57" s="147"/>
      <c r="E57" s="148"/>
      <c r="F57" s="146"/>
      <c r="G57" s="146">
        <f t="shared" ref="G57:BN57" si="20">SUM(G55:G56)</f>
        <v>335790000</v>
      </c>
      <c r="H57" s="146">
        <f t="shared" si="20"/>
        <v>195274800</v>
      </c>
      <c r="I57" s="146">
        <f t="shared" si="20"/>
        <v>215163900</v>
      </c>
      <c r="J57" s="146">
        <f t="shared" si="20"/>
        <v>260366400</v>
      </c>
      <c r="K57" s="146">
        <f t="shared" si="20"/>
        <v>276639300</v>
      </c>
      <c r="L57" s="146">
        <f t="shared" si="20"/>
        <v>307377000</v>
      </c>
      <c r="M57" s="146">
        <f t="shared" si="20"/>
        <v>412246800</v>
      </c>
      <c r="N57" s="146">
        <f t="shared" si="20"/>
        <v>289296000</v>
      </c>
      <c r="O57" s="146">
        <f t="shared" si="20"/>
        <v>115718400</v>
      </c>
      <c r="P57" s="146">
        <f t="shared" si="20"/>
        <v>343539000</v>
      </c>
      <c r="Q57" s="146">
        <f t="shared" si="20"/>
        <v>307377000</v>
      </c>
      <c r="R57" s="146">
        <f t="shared" si="20"/>
        <v>307377000</v>
      </c>
      <c r="S57" s="146">
        <f t="shared" si="20"/>
        <v>341730900</v>
      </c>
      <c r="T57" s="146">
        <f t="shared" si="20"/>
        <v>307377000</v>
      </c>
      <c r="U57" s="146">
        <f t="shared" si="20"/>
        <v>325458000</v>
      </c>
      <c r="V57" s="146">
        <f t="shared" si="20"/>
        <v>325458000</v>
      </c>
      <c r="W57" s="146">
        <f t="shared" si="20"/>
        <v>289296000</v>
      </c>
      <c r="X57" s="146">
        <f t="shared" si="20"/>
        <v>325458000</v>
      </c>
      <c r="Y57" s="146">
        <f t="shared" si="20"/>
        <v>390549600</v>
      </c>
      <c r="Z57" s="146">
        <f t="shared" si="20"/>
        <v>307377000</v>
      </c>
      <c r="AA57" s="146">
        <f t="shared" si="20"/>
        <v>122950800</v>
      </c>
      <c r="AB57" s="146">
        <f t="shared" si="20"/>
        <v>325458000</v>
      </c>
      <c r="AC57" s="146">
        <f t="shared" si="20"/>
        <v>289296000</v>
      </c>
      <c r="AD57" s="146">
        <f t="shared" si="20"/>
        <v>343539000</v>
      </c>
      <c r="AE57" s="146">
        <f t="shared" si="20"/>
        <v>322745850</v>
      </c>
      <c r="AF57" s="146">
        <f t="shared" si="20"/>
        <v>307377000</v>
      </c>
      <c r="AG57" s="146">
        <f t="shared" si="20"/>
        <v>343539000</v>
      </c>
      <c r="AH57" s="146">
        <f t="shared" si="20"/>
        <v>289296000</v>
      </c>
      <c r="AI57" s="146">
        <f t="shared" si="20"/>
        <v>325458000</v>
      </c>
      <c r="AJ57" s="146">
        <f t="shared" si="20"/>
        <v>325458000</v>
      </c>
      <c r="AK57" s="146">
        <f t="shared" si="20"/>
        <v>347155200</v>
      </c>
      <c r="AL57" s="146">
        <f t="shared" si="20"/>
        <v>343539000</v>
      </c>
      <c r="AM57" s="146">
        <f t="shared" si="20"/>
        <v>115718400</v>
      </c>
      <c r="AN57" s="146">
        <f t="shared" si="20"/>
        <v>307377000</v>
      </c>
      <c r="AO57" s="146">
        <f t="shared" si="20"/>
        <v>307377000</v>
      </c>
      <c r="AP57" s="146">
        <f t="shared" si="20"/>
        <v>343539000</v>
      </c>
      <c r="AQ57" s="146">
        <f t="shared" si="20"/>
        <v>303760800</v>
      </c>
      <c r="AR57" s="146">
        <f t="shared" si="20"/>
        <v>325458000</v>
      </c>
      <c r="AS57" s="146">
        <f t="shared" si="20"/>
        <v>325458000</v>
      </c>
      <c r="AT57" s="146">
        <f t="shared" si="20"/>
        <v>289296000</v>
      </c>
      <c r="AU57" s="146">
        <f t="shared" si="20"/>
        <v>343539000</v>
      </c>
      <c r="AV57" s="146">
        <f t="shared" si="20"/>
        <v>307377000</v>
      </c>
      <c r="AW57" s="146">
        <f t="shared" si="20"/>
        <v>368852400</v>
      </c>
      <c r="AX57" s="146">
        <f t="shared" si="20"/>
        <v>343539000</v>
      </c>
      <c r="AY57" s="146">
        <f t="shared" si="20"/>
        <v>115718400</v>
      </c>
      <c r="AZ57" s="146">
        <f t="shared" si="20"/>
        <v>289296000</v>
      </c>
      <c r="BA57" s="146">
        <f t="shared" si="20"/>
        <v>325458000</v>
      </c>
      <c r="BB57" s="146">
        <f t="shared" si="20"/>
        <v>325458000</v>
      </c>
      <c r="BC57" s="146">
        <f t="shared" si="20"/>
        <v>303760800</v>
      </c>
      <c r="BD57" s="146">
        <f t="shared" si="20"/>
        <v>343539000</v>
      </c>
      <c r="BE57" s="146">
        <f t="shared" si="20"/>
        <v>307377000</v>
      </c>
      <c r="BF57" s="146">
        <f t="shared" si="20"/>
        <v>307377000</v>
      </c>
      <c r="BG57" s="146">
        <f t="shared" si="20"/>
        <v>343539000</v>
      </c>
      <c r="BH57" s="146">
        <f t="shared" si="20"/>
        <v>289296000</v>
      </c>
      <c r="BI57" s="146">
        <f t="shared" si="20"/>
        <v>390549600</v>
      </c>
      <c r="BJ57" s="146">
        <f t="shared" si="20"/>
        <v>325458000</v>
      </c>
      <c r="BK57" s="146">
        <f t="shared" si="20"/>
        <v>115718400</v>
      </c>
      <c r="BL57" s="146">
        <f t="shared" si="20"/>
        <v>307377000</v>
      </c>
      <c r="BM57" s="146">
        <f t="shared" si="20"/>
        <v>325458000</v>
      </c>
      <c r="BN57" s="146">
        <f t="shared" si="20"/>
        <v>307377000</v>
      </c>
      <c r="BO57" s="146"/>
    </row>
    <row r="58" ht="13.5" customHeight="1" outlineLevel="1">
      <c r="A58" s="138"/>
      <c r="B58" s="139"/>
      <c r="C58" s="138"/>
      <c r="D58" s="138"/>
      <c r="E58" s="140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</row>
    <row r="59" ht="13.5" customHeight="1" outlineLevel="1">
      <c r="A59" s="138"/>
      <c r="B59" s="139">
        <v>2.0</v>
      </c>
      <c r="C59" s="147" t="s">
        <v>157</v>
      </c>
      <c r="D59" s="138"/>
      <c r="E59" s="140"/>
      <c r="F59" s="141"/>
      <c r="BO59" s="141"/>
    </row>
    <row r="60" ht="13.5" customHeight="1" outlineLevel="1">
      <c r="A60" s="138"/>
      <c r="B60" s="139"/>
      <c r="C60" s="138" t="s">
        <v>158</v>
      </c>
      <c r="D60" s="138"/>
      <c r="E60" s="140"/>
      <c r="F60" s="141"/>
      <c r="G60" s="141">
        <f t="shared" ref="G60:BN60" si="21">$O$154</f>
        <v>317320851.3</v>
      </c>
      <c r="H60" s="141">
        <f t="shared" si="21"/>
        <v>317320851.3</v>
      </c>
      <c r="I60" s="141">
        <f t="shared" si="21"/>
        <v>317320851.3</v>
      </c>
      <c r="J60" s="141">
        <f t="shared" si="21"/>
        <v>317320851.3</v>
      </c>
      <c r="K60" s="141">
        <f t="shared" si="21"/>
        <v>317320851.3</v>
      </c>
      <c r="L60" s="141">
        <f t="shared" si="21"/>
        <v>317320851.3</v>
      </c>
      <c r="M60" s="141">
        <f t="shared" si="21"/>
        <v>317320851.3</v>
      </c>
      <c r="N60" s="141">
        <f t="shared" si="21"/>
        <v>317320851.3</v>
      </c>
      <c r="O60" s="141">
        <f t="shared" si="21"/>
        <v>317320851.3</v>
      </c>
      <c r="P60" s="141">
        <f t="shared" si="21"/>
        <v>317320851.3</v>
      </c>
      <c r="Q60" s="141">
        <f t="shared" si="21"/>
        <v>317320851.3</v>
      </c>
      <c r="R60" s="141">
        <f t="shared" si="21"/>
        <v>317320851.3</v>
      </c>
      <c r="S60" s="141">
        <f t="shared" si="21"/>
        <v>317320851.3</v>
      </c>
      <c r="T60" s="141">
        <f t="shared" si="21"/>
        <v>317320851.3</v>
      </c>
      <c r="U60" s="141">
        <f t="shared" si="21"/>
        <v>317320851.3</v>
      </c>
      <c r="V60" s="141">
        <f t="shared" si="21"/>
        <v>317320851.3</v>
      </c>
      <c r="W60" s="141">
        <f t="shared" si="21"/>
        <v>317320851.3</v>
      </c>
      <c r="X60" s="141">
        <f t="shared" si="21"/>
        <v>317320851.3</v>
      </c>
      <c r="Y60" s="141">
        <f t="shared" si="21"/>
        <v>317320851.3</v>
      </c>
      <c r="Z60" s="141">
        <f t="shared" si="21"/>
        <v>317320851.3</v>
      </c>
      <c r="AA60" s="141">
        <f t="shared" si="21"/>
        <v>317320851.3</v>
      </c>
      <c r="AB60" s="141">
        <f t="shared" si="21"/>
        <v>317320851.3</v>
      </c>
      <c r="AC60" s="141">
        <f t="shared" si="21"/>
        <v>317320851.3</v>
      </c>
      <c r="AD60" s="141">
        <f t="shared" si="21"/>
        <v>317320851.3</v>
      </c>
      <c r="AE60" s="141">
        <f t="shared" si="21"/>
        <v>317320851.3</v>
      </c>
      <c r="AF60" s="141">
        <f t="shared" si="21"/>
        <v>317320851.3</v>
      </c>
      <c r="AG60" s="141">
        <f t="shared" si="21"/>
        <v>317320851.3</v>
      </c>
      <c r="AH60" s="141">
        <f t="shared" si="21"/>
        <v>317320851.3</v>
      </c>
      <c r="AI60" s="141">
        <f t="shared" si="21"/>
        <v>317320851.3</v>
      </c>
      <c r="AJ60" s="141">
        <f t="shared" si="21"/>
        <v>317320851.3</v>
      </c>
      <c r="AK60" s="141">
        <f t="shared" si="21"/>
        <v>317320851.3</v>
      </c>
      <c r="AL60" s="141">
        <f t="shared" si="21"/>
        <v>317320851.3</v>
      </c>
      <c r="AM60" s="141">
        <f t="shared" si="21"/>
        <v>317320851.3</v>
      </c>
      <c r="AN60" s="141">
        <f t="shared" si="21"/>
        <v>317320851.3</v>
      </c>
      <c r="AO60" s="141">
        <f t="shared" si="21"/>
        <v>317320851.3</v>
      </c>
      <c r="AP60" s="141">
        <f t="shared" si="21"/>
        <v>317320851.3</v>
      </c>
      <c r="AQ60" s="141">
        <f t="shared" si="21"/>
        <v>317320851.3</v>
      </c>
      <c r="AR60" s="141">
        <f t="shared" si="21"/>
        <v>317320851.3</v>
      </c>
      <c r="AS60" s="141">
        <f t="shared" si="21"/>
        <v>317320851.3</v>
      </c>
      <c r="AT60" s="141">
        <f t="shared" si="21"/>
        <v>317320851.3</v>
      </c>
      <c r="AU60" s="141">
        <f t="shared" si="21"/>
        <v>317320851.3</v>
      </c>
      <c r="AV60" s="141">
        <f t="shared" si="21"/>
        <v>317320851.3</v>
      </c>
      <c r="AW60" s="141">
        <f t="shared" si="21"/>
        <v>317320851.3</v>
      </c>
      <c r="AX60" s="141">
        <f t="shared" si="21"/>
        <v>317320851.3</v>
      </c>
      <c r="AY60" s="141">
        <f t="shared" si="21"/>
        <v>317320851.3</v>
      </c>
      <c r="AZ60" s="141">
        <f t="shared" si="21"/>
        <v>317320851.3</v>
      </c>
      <c r="BA60" s="141">
        <f t="shared" si="21"/>
        <v>317320851.3</v>
      </c>
      <c r="BB60" s="141">
        <f t="shared" si="21"/>
        <v>317320851.3</v>
      </c>
      <c r="BC60" s="141">
        <f t="shared" si="21"/>
        <v>317320851.3</v>
      </c>
      <c r="BD60" s="141">
        <f t="shared" si="21"/>
        <v>317320851.3</v>
      </c>
      <c r="BE60" s="141">
        <f t="shared" si="21"/>
        <v>317320851.3</v>
      </c>
      <c r="BF60" s="141">
        <f t="shared" si="21"/>
        <v>317320851.3</v>
      </c>
      <c r="BG60" s="141">
        <f t="shared" si="21"/>
        <v>317320851.3</v>
      </c>
      <c r="BH60" s="141">
        <f t="shared" si="21"/>
        <v>317320851.3</v>
      </c>
      <c r="BI60" s="141">
        <f t="shared" si="21"/>
        <v>317320851.3</v>
      </c>
      <c r="BJ60" s="141">
        <f t="shared" si="21"/>
        <v>317320851.3</v>
      </c>
      <c r="BK60" s="141">
        <f t="shared" si="21"/>
        <v>317320851.3</v>
      </c>
      <c r="BL60" s="141">
        <f t="shared" si="21"/>
        <v>317320851.3</v>
      </c>
      <c r="BM60" s="141">
        <f t="shared" si="21"/>
        <v>317320851.3</v>
      </c>
      <c r="BN60" s="141">
        <f t="shared" si="21"/>
        <v>317320851.3</v>
      </c>
    </row>
    <row r="61" ht="13.5" customHeight="1" outlineLevel="1">
      <c r="A61" s="138"/>
      <c r="B61" s="139"/>
      <c r="C61" s="138" t="s">
        <v>159</v>
      </c>
      <c r="D61" s="138"/>
      <c r="E61" s="140"/>
      <c r="F61" s="141"/>
      <c r="G61" s="141">
        <f>Assumption!G34</f>
        <v>75000000</v>
      </c>
      <c r="H61" s="141">
        <f>IF(MOD(H2-1,2)=0,Assumption!$G$34*(1+Assumption!$G$35)^((Model!H2-1)/2),Model!G61)</f>
        <v>75000000</v>
      </c>
      <c r="I61" s="141">
        <f>IF(MOD(I2-1,2)=0,Assumption!$G$34*(1+Assumption!$G$35)^((Model!I2-1)/2),Model!H61)</f>
        <v>75000000</v>
      </c>
      <c r="J61" s="141">
        <f>IF(MOD(J2-1,2)=0,Assumption!$G$34*(1+Assumption!$G$35)^((Model!J2-1)/2),Model!I61)</f>
        <v>75000000</v>
      </c>
      <c r="K61" s="141">
        <f>IF(MOD(K2-1,2)=0,Assumption!$G$34*(1+Assumption!$G$35)^((Model!K2-1)/2),Model!J61)</f>
        <v>75000000</v>
      </c>
      <c r="L61" s="141">
        <f>IF(MOD(L2-1,2)=0,Assumption!$G$34*(1+Assumption!$G$35)^((Model!L2-1)/2),Model!K61)</f>
        <v>75000000</v>
      </c>
      <c r="M61" s="141">
        <f>IF(MOD(M2-1,2)=0,Assumption!$G$34*(1+Assumption!$G$35)^((Model!M2-1)/2),Model!L61)</f>
        <v>75000000</v>
      </c>
      <c r="N61" s="141">
        <f>IF(MOD(N2-1,2)=0,Assumption!$G$34*(1+Assumption!$G$35)^((Model!N2-1)/2),Model!M61)</f>
        <v>75000000</v>
      </c>
      <c r="O61" s="141">
        <f>IF(MOD(O2-1,2)=0,Assumption!$G$34*(1+Assumption!$G$35)^((Model!O2-1)/2),Model!N61)</f>
        <v>75000000</v>
      </c>
      <c r="P61" s="141">
        <f>IF(MOD(P2-1,2)=0,Assumption!$G$34*(1+Assumption!$G$35)^((Model!P2-1)/2),Model!O61)</f>
        <v>75000000</v>
      </c>
      <c r="Q61" s="141">
        <f>IF(MOD(Q2-1,2)=0,Assumption!$G$34*(1+Assumption!$G$35)^((Model!Q2-1)/2),Model!P61)</f>
        <v>75000000</v>
      </c>
      <c r="R61" s="141">
        <f>IF(MOD(R2-1,2)=0,Assumption!$G$34*(1+Assumption!$G$35)^((Model!R2-1)/2),Model!Q61)</f>
        <v>75000000</v>
      </c>
      <c r="S61" s="141">
        <f>IF(MOD(S2-1,2)=0,Assumption!$G$34*(1+Assumption!$G$35)^((Model!S2-1)/2),Model!R61)</f>
        <v>75000000</v>
      </c>
      <c r="T61" s="141">
        <f>IF(MOD(T2-1,2)=0,Assumption!$G$34*(1+Assumption!$G$35)^((Model!T2-1)/2),Model!S61)</f>
        <v>75000000</v>
      </c>
      <c r="U61" s="141">
        <f>IF(MOD(U2-1,2)=0,Assumption!$G$34*(1+Assumption!$G$35)^((Model!U2-1)/2),Model!T61)</f>
        <v>75000000</v>
      </c>
      <c r="V61" s="141">
        <f>IF(MOD(V2-1,2)=0,Assumption!$G$34*(1+Assumption!$G$35)^((Model!V2-1)/2),Model!U61)</f>
        <v>75000000</v>
      </c>
      <c r="W61" s="141">
        <f>IF(MOD(W2-1,2)=0,Assumption!$G$34*(1+Assumption!$G$35)^((Model!W2-1)/2),Model!V61)</f>
        <v>75000000</v>
      </c>
      <c r="X61" s="141">
        <f>IF(MOD(X2-1,2)=0,Assumption!$G$34*(1+Assumption!$G$35)^((Model!X2-1)/2),Model!W61)</f>
        <v>75000000</v>
      </c>
      <c r="Y61" s="141">
        <f>IF(MOD(Y2-1,2)=0,Assumption!$G$34*(1+Assumption!$G$35)^((Model!Y2-1)/2),Model!X61)</f>
        <v>75000000</v>
      </c>
      <c r="Z61" s="141">
        <f>IF(MOD(Z2-1,2)=0,Assumption!$G$34*(1+Assumption!$G$35)^((Model!Z2-1)/2),Model!Y61)</f>
        <v>75000000</v>
      </c>
      <c r="AA61" s="141">
        <f>IF(MOD(AA2-1,2)=0,Assumption!$G$34*(1+Assumption!$G$35)^((Model!AA2-1)/2),Model!Z61)</f>
        <v>75000000</v>
      </c>
      <c r="AB61" s="141">
        <f>IF(MOD(AB2-1,2)=0,Assumption!$G$34*(1+Assumption!$G$35)^((Model!AB2-1)/2),Model!AA61)</f>
        <v>75000000</v>
      </c>
      <c r="AC61" s="141">
        <f>IF(MOD(AC2-1,2)=0,Assumption!$G$34*(1+Assumption!$G$35)^((Model!AC2-1)/2),Model!AB61)</f>
        <v>75000000</v>
      </c>
      <c r="AD61" s="141">
        <f>IF(MOD(AD2-1,2)=0,Assumption!$G$34*(1+Assumption!$G$35)^((Model!AD2-1)/2),Model!AC61)</f>
        <v>75000000</v>
      </c>
      <c r="AE61" s="141">
        <f>IF(MOD(AE2-1,2)=0,Assumption!$G$34*(1+Assumption!$G$35)^((Model!AE2-1)/2),Model!AD61)</f>
        <v>81000000</v>
      </c>
      <c r="AF61" s="141">
        <f>IF(MOD(AF2-1,2)=0,Assumption!$G$34*(1+Assumption!$G$35)^((Model!AF2-1)/2),Model!AE61)</f>
        <v>81000000</v>
      </c>
      <c r="AG61" s="141">
        <f>IF(MOD(AG2-1,2)=0,Assumption!$G$34*(1+Assumption!$G$35)^((Model!AG2-1)/2),Model!AF61)</f>
        <v>81000000</v>
      </c>
      <c r="AH61" s="141">
        <f>IF(MOD(AH2-1,2)=0,Assumption!$G$34*(1+Assumption!$G$35)^((Model!AH2-1)/2),Model!AG61)</f>
        <v>81000000</v>
      </c>
      <c r="AI61" s="141">
        <f>IF(MOD(AI2-1,2)=0,Assumption!$G$34*(1+Assumption!$G$35)^((Model!AI2-1)/2),Model!AH61)</f>
        <v>81000000</v>
      </c>
      <c r="AJ61" s="141">
        <f>IF(MOD(AJ2-1,2)=0,Assumption!$G$34*(1+Assumption!$G$35)^((Model!AJ2-1)/2),Model!AI61)</f>
        <v>81000000</v>
      </c>
      <c r="AK61" s="141">
        <f>IF(MOD(AK2-1,2)=0,Assumption!$G$34*(1+Assumption!$G$35)^((Model!AK2-1)/2),Model!AJ61)</f>
        <v>81000000</v>
      </c>
      <c r="AL61" s="141">
        <f>IF(MOD(AL2-1,2)=0,Assumption!$G$34*(1+Assumption!$G$35)^((Model!AL2-1)/2),Model!AK61)</f>
        <v>81000000</v>
      </c>
      <c r="AM61" s="141">
        <f>IF(MOD(AM2-1,2)=0,Assumption!$G$34*(1+Assumption!$G$35)^((Model!AM2-1)/2),Model!AL61)</f>
        <v>81000000</v>
      </c>
      <c r="AN61" s="141">
        <f>IF(MOD(AN2-1,2)=0,Assumption!$G$34*(1+Assumption!$G$35)^((Model!AN2-1)/2),Model!AM61)</f>
        <v>81000000</v>
      </c>
      <c r="AO61" s="141">
        <f>IF(MOD(AO2-1,2)=0,Assumption!$G$34*(1+Assumption!$G$35)^((Model!AO2-1)/2),Model!AN61)</f>
        <v>81000000</v>
      </c>
      <c r="AP61" s="141">
        <f>IF(MOD(AP2-1,2)=0,Assumption!$G$34*(1+Assumption!$G$35)^((Model!AP2-1)/2),Model!AO61)</f>
        <v>81000000</v>
      </c>
      <c r="AQ61" s="141">
        <f>IF(MOD(AQ2-1,2)=0,Assumption!$G$34*(1+Assumption!$G$35)^((Model!AQ2-1)/2),Model!AP61)</f>
        <v>81000000</v>
      </c>
      <c r="AR61" s="141">
        <f>IF(MOD(AR2-1,2)=0,Assumption!$G$34*(1+Assumption!$G$35)^((Model!AR2-1)/2),Model!AQ61)</f>
        <v>81000000</v>
      </c>
      <c r="AS61" s="141">
        <f>IF(MOD(AS2-1,2)=0,Assumption!$G$34*(1+Assumption!$G$35)^((Model!AS2-1)/2),Model!AR61)</f>
        <v>81000000</v>
      </c>
      <c r="AT61" s="141">
        <f>IF(MOD(AT2-1,2)=0,Assumption!$G$34*(1+Assumption!$G$35)^((Model!AT2-1)/2),Model!AS61)</f>
        <v>81000000</v>
      </c>
      <c r="AU61" s="141">
        <f>IF(MOD(AU2-1,2)=0,Assumption!$G$34*(1+Assumption!$G$35)^((Model!AU2-1)/2),Model!AT61)</f>
        <v>81000000</v>
      </c>
      <c r="AV61" s="141">
        <f>IF(MOD(AV2-1,2)=0,Assumption!$G$34*(1+Assumption!$G$35)^((Model!AV2-1)/2),Model!AU61)</f>
        <v>81000000</v>
      </c>
      <c r="AW61" s="141">
        <f>IF(MOD(AW2-1,2)=0,Assumption!$G$34*(1+Assumption!$G$35)^((Model!AW2-1)/2),Model!AV61)</f>
        <v>81000000</v>
      </c>
      <c r="AX61" s="141">
        <f>IF(MOD(AX2-1,2)=0,Assumption!$G$34*(1+Assumption!$G$35)^((Model!AX2-1)/2),Model!AW61)</f>
        <v>81000000</v>
      </c>
      <c r="AY61" s="141">
        <f>IF(MOD(AY2-1,2)=0,Assumption!$G$34*(1+Assumption!$G$35)^((Model!AY2-1)/2),Model!AX61)</f>
        <v>81000000</v>
      </c>
      <c r="AZ61" s="141">
        <f>IF(MOD(AZ2-1,2)=0,Assumption!$G$34*(1+Assumption!$G$35)^((Model!AZ2-1)/2),Model!AY61)</f>
        <v>81000000</v>
      </c>
      <c r="BA61" s="141">
        <f>IF(MOD(BA2-1,2)=0,Assumption!$G$34*(1+Assumption!$G$35)^((Model!BA2-1)/2),Model!AZ61)</f>
        <v>81000000</v>
      </c>
      <c r="BB61" s="141">
        <f>IF(MOD(BB2-1,2)=0,Assumption!$G$34*(1+Assumption!$G$35)^((Model!BB2-1)/2),Model!BA61)</f>
        <v>81000000</v>
      </c>
      <c r="BC61" s="141">
        <f>IF(MOD(BC2-1,2)=0,Assumption!$G$34*(1+Assumption!$G$35)^((Model!BC2-1)/2),Model!BB61)</f>
        <v>87480000</v>
      </c>
      <c r="BD61" s="141">
        <f>IF(MOD(BD2-1,2)=0,Assumption!$G$34*(1+Assumption!$G$35)^((Model!BD2-1)/2),Model!BC61)</f>
        <v>87480000</v>
      </c>
      <c r="BE61" s="141">
        <f>IF(MOD(BE2-1,2)=0,Assumption!$G$34*(1+Assumption!$G$35)^((Model!BE2-1)/2),Model!BD61)</f>
        <v>87480000</v>
      </c>
      <c r="BF61" s="141">
        <f>IF(MOD(BF2-1,2)=0,Assumption!$G$34*(1+Assumption!$G$35)^((Model!BF2-1)/2),Model!BE61)</f>
        <v>87480000</v>
      </c>
      <c r="BG61" s="141">
        <f>IF(MOD(BG2-1,2)=0,Assumption!$G$34*(1+Assumption!$G$35)^((Model!BG2-1)/2),Model!BF61)</f>
        <v>87480000</v>
      </c>
      <c r="BH61" s="141">
        <f>IF(MOD(BH2-1,2)=0,Assumption!$G$34*(1+Assumption!$G$35)^((Model!BH2-1)/2),Model!BG61)</f>
        <v>87480000</v>
      </c>
      <c r="BI61" s="141">
        <f>IF(MOD(BI2-1,2)=0,Assumption!$G$34*(1+Assumption!$G$35)^((Model!BI2-1)/2),Model!BH61)</f>
        <v>87480000</v>
      </c>
      <c r="BJ61" s="141">
        <f>IF(MOD(BJ2-1,2)=0,Assumption!$G$34*(1+Assumption!$G$35)^((Model!BJ2-1)/2),Model!BI61)</f>
        <v>87480000</v>
      </c>
      <c r="BK61" s="141">
        <f>IF(MOD(BK2-1,2)=0,Assumption!$G$34*(1+Assumption!$G$35)^((Model!BK2-1)/2),Model!BJ61)</f>
        <v>87480000</v>
      </c>
      <c r="BL61" s="141">
        <f>IF(MOD(BL2-1,2)=0,Assumption!$G$34*(1+Assumption!$G$35)^((Model!BL2-1)/2),Model!BK61)</f>
        <v>87480000</v>
      </c>
      <c r="BM61" s="141">
        <f>IF(MOD(BM2-1,2)=0,Assumption!$G$34*(1+Assumption!$G$35)^((Model!BM2-1)/2),Model!BL61)</f>
        <v>87480000</v>
      </c>
      <c r="BN61" s="141">
        <f>IF(MOD(BN2-1,2)=0,Assumption!$G$34*(1+Assumption!$G$35)^((Model!BN2-1)/2),Model!BM61)</f>
        <v>87480000</v>
      </c>
      <c r="BO61" s="141"/>
    </row>
    <row r="62" ht="13.5" customHeight="1" outlineLevel="1">
      <c r="A62" s="138"/>
      <c r="B62" s="139"/>
      <c r="C62" s="12" t="s">
        <v>106</v>
      </c>
      <c r="D62" s="138"/>
      <c r="E62" s="140"/>
      <c r="F62" s="141"/>
      <c r="G62" s="141">
        <f>Assumption!$G$37</f>
        <v>1000000</v>
      </c>
      <c r="H62" s="141">
        <f>Assumption!$G$37</f>
        <v>1000000</v>
      </c>
      <c r="I62" s="141">
        <f>Assumption!$G$37</f>
        <v>1000000</v>
      </c>
      <c r="J62" s="141">
        <f>Assumption!$G$37</f>
        <v>1000000</v>
      </c>
      <c r="K62" s="141">
        <f>Assumption!$G$37</f>
        <v>1000000</v>
      </c>
      <c r="L62" s="141">
        <f>Assumption!$G$37</f>
        <v>1000000</v>
      </c>
      <c r="M62" s="141">
        <f>Assumption!$G$37</f>
        <v>1000000</v>
      </c>
      <c r="N62" s="141">
        <f>Assumption!$G$37</f>
        <v>1000000</v>
      </c>
      <c r="O62" s="141">
        <f>Assumption!$G$37</f>
        <v>1000000</v>
      </c>
      <c r="P62" s="141">
        <f>Assumption!$G$37</f>
        <v>1000000</v>
      </c>
      <c r="Q62" s="141">
        <f>Assumption!$G$37</f>
        <v>1000000</v>
      </c>
      <c r="R62" s="141">
        <f>Assumption!$G$37</f>
        <v>1000000</v>
      </c>
      <c r="S62" s="141">
        <f>Assumption!$G$37</f>
        <v>1000000</v>
      </c>
      <c r="T62" s="141">
        <f>Assumption!$G$37</f>
        <v>1000000</v>
      </c>
      <c r="U62" s="141">
        <f>Assumption!$G$37</f>
        <v>1000000</v>
      </c>
      <c r="V62" s="141">
        <f>Assumption!$G$37</f>
        <v>1000000</v>
      </c>
      <c r="W62" s="141">
        <f>Assumption!$G$37</f>
        <v>1000000</v>
      </c>
      <c r="X62" s="141">
        <f>Assumption!$G$37</f>
        <v>1000000</v>
      </c>
      <c r="Y62" s="141">
        <f>Assumption!$G$37</f>
        <v>1000000</v>
      </c>
      <c r="Z62" s="141">
        <f>Assumption!$G$37</f>
        <v>1000000</v>
      </c>
      <c r="AA62" s="141">
        <f>Assumption!$G$37</f>
        <v>1000000</v>
      </c>
      <c r="AB62" s="141">
        <f>Assumption!$G$37</f>
        <v>1000000</v>
      </c>
      <c r="AC62" s="141">
        <f>Assumption!$G$37</f>
        <v>1000000</v>
      </c>
      <c r="AD62" s="141">
        <f>Assumption!$G$37</f>
        <v>1000000</v>
      </c>
      <c r="AE62" s="141">
        <f>Assumption!$G$37</f>
        <v>1000000</v>
      </c>
      <c r="AF62" s="141">
        <f>Assumption!$G$37</f>
        <v>1000000</v>
      </c>
      <c r="AG62" s="141">
        <f>Assumption!$G$37</f>
        <v>1000000</v>
      </c>
      <c r="AH62" s="141">
        <f>Assumption!$G$37</f>
        <v>1000000</v>
      </c>
      <c r="AI62" s="141">
        <f>Assumption!$G$37</f>
        <v>1000000</v>
      </c>
      <c r="AJ62" s="141">
        <f>Assumption!$G$37</f>
        <v>1000000</v>
      </c>
      <c r="AK62" s="141">
        <f>Assumption!$G$37</f>
        <v>1000000</v>
      </c>
      <c r="AL62" s="141">
        <f>Assumption!$G$37</f>
        <v>1000000</v>
      </c>
      <c r="AM62" s="141">
        <f>Assumption!$G$37</f>
        <v>1000000</v>
      </c>
      <c r="AN62" s="141">
        <f>Assumption!$G$37</f>
        <v>1000000</v>
      </c>
      <c r="AO62" s="141">
        <f>Assumption!$G$37</f>
        <v>1000000</v>
      </c>
      <c r="AP62" s="141">
        <f>Assumption!$G$37</f>
        <v>1000000</v>
      </c>
      <c r="AQ62" s="141">
        <f>Assumption!$G$37</f>
        <v>1000000</v>
      </c>
      <c r="AR62" s="141">
        <f>Assumption!$G$37</f>
        <v>1000000</v>
      </c>
      <c r="AS62" s="141">
        <f>Assumption!$G$37</f>
        <v>1000000</v>
      </c>
      <c r="AT62" s="141">
        <f>Assumption!$G$37</f>
        <v>1000000</v>
      </c>
      <c r="AU62" s="141">
        <f>Assumption!$G$37</f>
        <v>1000000</v>
      </c>
      <c r="AV62" s="141">
        <f>Assumption!$G$37</f>
        <v>1000000</v>
      </c>
      <c r="AW62" s="141">
        <f>Assumption!$G$37</f>
        <v>1000000</v>
      </c>
      <c r="AX62" s="141">
        <f>Assumption!$G$37</f>
        <v>1000000</v>
      </c>
      <c r="AY62" s="141">
        <f>Assumption!$G$37</f>
        <v>1000000</v>
      </c>
      <c r="AZ62" s="141">
        <f>Assumption!$G$37</f>
        <v>1000000</v>
      </c>
      <c r="BA62" s="141">
        <f>Assumption!$G$37</f>
        <v>1000000</v>
      </c>
      <c r="BB62" s="141">
        <f>Assumption!$G$37</f>
        <v>1000000</v>
      </c>
      <c r="BC62" s="141">
        <f>Assumption!$G$37</f>
        <v>1000000</v>
      </c>
      <c r="BD62" s="141">
        <f>Assumption!$G$37</f>
        <v>1000000</v>
      </c>
      <c r="BE62" s="141">
        <f>Assumption!$G$37</f>
        <v>1000000</v>
      </c>
      <c r="BF62" s="141">
        <f>Assumption!$G$37</f>
        <v>1000000</v>
      </c>
      <c r="BG62" s="141">
        <f>Assumption!$G$37</f>
        <v>1000000</v>
      </c>
      <c r="BH62" s="141">
        <f>Assumption!$G$37</f>
        <v>1000000</v>
      </c>
      <c r="BI62" s="141">
        <f>Assumption!$G$37</f>
        <v>1000000</v>
      </c>
      <c r="BJ62" s="141">
        <f>Assumption!$G$37</f>
        <v>1000000</v>
      </c>
      <c r="BK62" s="141">
        <f>Assumption!$G$37</f>
        <v>1000000</v>
      </c>
      <c r="BL62" s="141">
        <f>Assumption!$G$37</f>
        <v>1000000</v>
      </c>
      <c r="BM62" s="141">
        <f>Assumption!$G$37</f>
        <v>1000000</v>
      </c>
      <c r="BN62" s="141">
        <f>Assumption!$G$37</f>
        <v>1000000</v>
      </c>
      <c r="BO62" s="141"/>
    </row>
    <row r="63" ht="13.5" customHeight="1" outlineLevel="1">
      <c r="A63" s="147"/>
      <c r="B63" s="139"/>
      <c r="C63" s="147" t="s">
        <v>46</v>
      </c>
      <c r="D63" s="147"/>
      <c r="E63" s="148"/>
      <c r="F63" s="146"/>
      <c r="G63" s="146">
        <f t="shared" ref="G63:BN63" si="22">SUM(G60:G62)</f>
        <v>393320851.3</v>
      </c>
      <c r="H63" s="146">
        <f t="shared" si="22"/>
        <v>393320851.3</v>
      </c>
      <c r="I63" s="146">
        <f t="shared" si="22"/>
        <v>393320851.3</v>
      </c>
      <c r="J63" s="146">
        <f t="shared" si="22"/>
        <v>393320851.3</v>
      </c>
      <c r="K63" s="146">
        <f t="shared" si="22"/>
        <v>393320851.3</v>
      </c>
      <c r="L63" s="146">
        <f t="shared" si="22"/>
        <v>393320851.3</v>
      </c>
      <c r="M63" s="146">
        <f t="shared" si="22"/>
        <v>393320851.3</v>
      </c>
      <c r="N63" s="146">
        <f t="shared" si="22"/>
        <v>393320851.3</v>
      </c>
      <c r="O63" s="146">
        <f t="shared" si="22"/>
        <v>393320851.3</v>
      </c>
      <c r="P63" s="146">
        <f t="shared" si="22"/>
        <v>393320851.3</v>
      </c>
      <c r="Q63" s="146">
        <f t="shared" si="22"/>
        <v>393320851.3</v>
      </c>
      <c r="R63" s="146">
        <f t="shared" si="22"/>
        <v>393320851.3</v>
      </c>
      <c r="S63" s="146">
        <f t="shared" si="22"/>
        <v>393320851.3</v>
      </c>
      <c r="T63" s="146">
        <f t="shared" si="22"/>
        <v>393320851.3</v>
      </c>
      <c r="U63" s="146">
        <f t="shared" si="22"/>
        <v>393320851.3</v>
      </c>
      <c r="V63" s="146">
        <f t="shared" si="22"/>
        <v>393320851.3</v>
      </c>
      <c r="W63" s="146">
        <f t="shared" si="22"/>
        <v>393320851.3</v>
      </c>
      <c r="X63" s="146">
        <f t="shared" si="22"/>
        <v>393320851.3</v>
      </c>
      <c r="Y63" s="146">
        <f t="shared" si="22"/>
        <v>393320851.3</v>
      </c>
      <c r="Z63" s="146">
        <f t="shared" si="22"/>
        <v>393320851.3</v>
      </c>
      <c r="AA63" s="146">
        <f t="shared" si="22"/>
        <v>393320851.3</v>
      </c>
      <c r="AB63" s="146">
        <f t="shared" si="22"/>
        <v>393320851.3</v>
      </c>
      <c r="AC63" s="146">
        <f t="shared" si="22"/>
        <v>393320851.3</v>
      </c>
      <c r="AD63" s="146">
        <f t="shared" si="22"/>
        <v>393320851.3</v>
      </c>
      <c r="AE63" s="146">
        <f t="shared" si="22"/>
        <v>399320851.3</v>
      </c>
      <c r="AF63" s="146">
        <f t="shared" si="22"/>
        <v>399320851.3</v>
      </c>
      <c r="AG63" s="146">
        <f t="shared" si="22"/>
        <v>399320851.3</v>
      </c>
      <c r="AH63" s="146">
        <f t="shared" si="22"/>
        <v>399320851.3</v>
      </c>
      <c r="AI63" s="146">
        <f t="shared" si="22"/>
        <v>399320851.3</v>
      </c>
      <c r="AJ63" s="146">
        <f t="shared" si="22"/>
        <v>399320851.3</v>
      </c>
      <c r="AK63" s="146">
        <f t="shared" si="22"/>
        <v>399320851.3</v>
      </c>
      <c r="AL63" s="146">
        <f t="shared" si="22"/>
        <v>399320851.3</v>
      </c>
      <c r="AM63" s="146">
        <f t="shared" si="22"/>
        <v>399320851.3</v>
      </c>
      <c r="AN63" s="146">
        <f t="shared" si="22"/>
        <v>399320851.3</v>
      </c>
      <c r="AO63" s="146">
        <f t="shared" si="22"/>
        <v>399320851.3</v>
      </c>
      <c r="AP63" s="146">
        <f t="shared" si="22"/>
        <v>399320851.3</v>
      </c>
      <c r="AQ63" s="146">
        <f t="shared" si="22"/>
        <v>399320851.3</v>
      </c>
      <c r="AR63" s="146">
        <f t="shared" si="22"/>
        <v>399320851.3</v>
      </c>
      <c r="AS63" s="146">
        <f t="shared" si="22"/>
        <v>399320851.3</v>
      </c>
      <c r="AT63" s="146">
        <f t="shared" si="22"/>
        <v>399320851.3</v>
      </c>
      <c r="AU63" s="146">
        <f t="shared" si="22"/>
        <v>399320851.3</v>
      </c>
      <c r="AV63" s="146">
        <f t="shared" si="22"/>
        <v>399320851.3</v>
      </c>
      <c r="AW63" s="146">
        <f t="shared" si="22"/>
        <v>399320851.3</v>
      </c>
      <c r="AX63" s="146">
        <f t="shared" si="22"/>
        <v>399320851.3</v>
      </c>
      <c r="AY63" s="146">
        <f t="shared" si="22"/>
        <v>399320851.3</v>
      </c>
      <c r="AZ63" s="146">
        <f t="shared" si="22"/>
        <v>399320851.3</v>
      </c>
      <c r="BA63" s="146">
        <f t="shared" si="22"/>
        <v>399320851.3</v>
      </c>
      <c r="BB63" s="146">
        <f t="shared" si="22"/>
        <v>399320851.3</v>
      </c>
      <c r="BC63" s="146">
        <f t="shared" si="22"/>
        <v>405800851.3</v>
      </c>
      <c r="BD63" s="146">
        <f t="shared" si="22"/>
        <v>405800851.3</v>
      </c>
      <c r="BE63" s="146">
        <f t="shared" si="22"/>
        <v>405800851.3</v>
      </c>
      <c r="BF63" s="146">
        <f t="shared" si="22"/>
        <v>405800851.3</v>
      </c>
      <c r="BG63" s="146">
        <f t="shared" si="22"/>
        <v>405800851.3</v>
      </c>
      <c r="BH63" s="146">
        <f t="shared" si="22"/>
        <v>405800851.3</v>
      </c>
      <c r="BI63" s="146">
        <f t="shared" si="22"/>
        <v>405800851.3</v>
      </c>
      <c r="BJ63" s="146">
        <f t="shared" si="22"/>
        <v>405800851.3</v>
      </c>
      <c r="BK63" s="146">
        <f t="shared" si="22"/>
        <v>405800851.3</v>
      </c>
      <c r="BL63" s="146">
        <f t="shared" si="22"/>
        <v>405800851.3</v>
      </c>
      <c r="BM63" s="146">
        <f t="shared" si="22"/>
        <v>405800851.3</v>
      </c>
      <c r="BN63" s="146">
        <f t="shared" si="22"/>
        <v>405800851.3</v>
      </c>
      <c r="BO63" s="146"/>
    </row>
    <row r="64" ht="13.5" customHeight="1" outlineLevel="1">
      <c r="A64" s="138"/>
      <c r="B64" s="139"/>
      <c r="C64" s="138"/>
      <c r="D64" s="138"/>
      <c r="E64" s="140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</row>
    <row r="65" ht="13.5" customHeight="1" outlineLevel="1">
      <c r="A65" s="138"/>
      <c r="B65" s="139">
        <v>3.0</v>
      </c>
      <c r="C65" s="147" t="s">
        <v>107</v>
      </c>
      <c r="D65" s="138"/>
      <c r="E65" s="140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</row>
    <row r="66" ht="13.5" customHeight="1" outlineLevel="1">
      <c r="A66" s="138"/>
      <c r="B66" s="139"/>
      <c r="C66" s="12" t="s">
        <v>108</v>
      </c>
      <c r="D66" s="138"/>
      <c r="E66" s="140"/>
      <c r="F66" s="141"/>
      <c r="G66" s="141">
        <f>Assumption!G39</f>
        <v>10000000</v>
      </c>
      <c r="H66" s="141">
        <f>G66*(1+Assumption!$G$46*(Model!H$2-Model!G$2))</f>
        <v>10000000</v>
      </c>
      <c r="I66" s="141">
        <f>H66*(1+Assumption!$G$46*(Model!I$2-Model!H$2))</f>
        <v>10000000</v>
      </c>
      <c r="J66" s="141">
        <f>I66*(1+Assumption!$G$46*(Model!J$2-Model!I$2))</f>
        <v>10000000</v>
      </c>
      <c r="K66" s="141">
        <f>J66*(1+Assumption!$G$46*(Model!K$2-Model!J$2))</f>
        <v>10000000</v>
      </c>
      <c r="L66" s="141">
        <f>K66*(1+Assumption!$G$46*(Model!L$2-Model!K$2))</f>
        <v>10000000</v>
      </c>
      <c r="M66" s="141">
        <f>L66*(1+Assumption!$G$46*(Model!M$2-Model!L$2))</f>
        <v>10000000</v>
      </c>
      <c r="N66" s="141">
        <f>M66*(1+Assumption!$G$46*(Model!N$2-Model!M$2))</f>
        <v>10000000</v>
      </c>
      <c r="O66" s="141">
        <f>N66*(1+Assumption!$G$46*(Model!O$2-Model!N$2))</f>
        <v>10000000</v>
      </c>
      <c r="P66" s="141">
        <f>O66*(1+Assumption!$G$46*(Model!P$2-Model!O$2))</f>
        <v>10000000</v>
      </c>
      <c r="Q66" s="141">
        <f>P66*(1+Assumption!$G$46*(Model!Q$2-Model!P$2))</f>
        <v>10000000</v>
      </c>
      <c r="R66" s="141">
        <f>Q66*(1+Assumption!$G$46*(Model!R$2-Model!Q$2))</f>
        <v>10000000</v>
      </c>
      <c r="S66" s="141">
        <f>R66*(1+Assumption!$G$46*(Model!S$2-Model!R$2))</f>
        <v>10400000</v>
      </c>
      <c r="T66" s="141">
        <f>S66*(1+Assumption!$G$46*(Model!T$2-Model!S$2))</f>
        <v>10400000</v>
      </c>
      <c r="U66" s="141">
        <f>T66*(1+Assumption!$G$46*(Model!U$2-Model!T$2))</f>
        <v>10400000</v>
      </c>
      <c r="V66" s="141">
        <f>U66*(1+Assumption!$G$46*(Model!V$2-Model!U$2))</f>
        <v>10400000</v>
      </c>
      <c r="W66" s="141">
        <f>V66*(1+Assumption!$G$46*(Model!W$2-Model!V$2))</f>
        <v>10400000</v>
      </c>
      <c r="X66" s="141">
        <f>W66*(1+Assumption!$G$46*(Model!X$2-Model!W$2))</f>
        <v>10400000</v>
      </c>
      <c r="Y66" s="141">
        <f>X66*(1+Assumption!$G$46*(Model!Y$2-Model!X$2))</f>
        <v>10400000</v>
      </c>
      <c r="Z66" s="141">
        <f>Y66*(1+Assumption!$G$46*(Model!Z$2-Model!Y$2))</f>
        <v>10400000</v>
      </c>
      <c r="AA66" s="141">
        <f>Z66*(1+Assumption!$G$46*(Model!AA$2-Model!Z$2))</f>
        <v>10400000</v>
      </c>
      <c r="AB66" s="141">
        <f>AA66*(1+Assumption!$G$46*(Model!AB$2-Model!AA$2))</f>
        <v>10400000</v>
      </c>
      <c r="AC66" s="141">
        <f>AB66*(1+Assumption!$G$46*(Model!AC$2-Model!AB$2))</f>
        <v>10400000</v>
      </c>
      <c r="AD66" s="141">
        <f>AC66*(1+Assumption!$G$46*(Model!AD$2-Model!AC$2))</f>
        <v>10400000</v>
      </c>
      <c r="AE66" s="141">
        <f>AD66*(1+Assumption!$G$46*(Model!AE$2-Model!AD$2))</f>
        <v>10816000</v>
      </c>
      <c r="AF66" s="141">
        <f>AE66*(1+Assumption!$G$46*(Model!AF$2-Model!AE$2))</f>
        <v>10816000</v>
      </c>
      <c r="AG66" s="141">
        <f>AF66*(1+Assumption!$G$46*(Model!AG$2-Model!AF$2))</f>
        <v>10816000</v>
      </c>
      <c r="AH66" s="141">
        <f>AG66*(1+Assumption!$G$46*(Model!AH$2-Model!AG$2))</f>
        <v>10816000</v>
      </c>
      <c r="AI66" s="141">
        <f>AH66*(1+Assumption!$G$46*(Model!AI$2-Model!AH$2))</f>
        <v>10816000</v>
      </c>
      <c r="AJ66" s="141">
        <f>AI66*(1+Assumption!$G$46*(Model!AJ$2-Model!AI$2))</f>
        <v>10816000</v>
      </c>
      <c r="AK66" s="141">
        <f>AJ66*(1+Assumption!$G$46*(Model!AK$2-Model!AJ$2))</f>
        <v>10816000</v>
      </c>
      <c r="AL66" s="141">
        <f>AK66*(1+Assumption!$G$46*(Model!AL$2-Model!AK$2))</f>
        <v>10816000</v>
      </c>
      <c r="AM66" s="141">
        <f>AL66*(1+Assumption!$G$46*(Model!AM$2-Model!AL$2))</f>
        <v>10816000</v>
      </c>
      <c r="AN66" s="141">
        <f>AM66*(1+Assumption!$G$46*(Model!AN$2-Model!AM$2))</f>
        <v>10816000</v>
      </c>
      <c r="AO66" s="141">
        <f>AN66*(1+Assumption!$G$46*(Model!AO$2-Model!AN$2))</f>
        <v>10816000</v>
      </c>
      <c r="AP66" s="141">
        <f>AO66*(1+Assumption!$G$46*(Model!AP$2-Model!AO$2))</f>
        <v>10816000</v>
      </c>
      <c r="AQ66" s="141">
        <f>AP66*(1+Assumption!$G$46*(Model!AQ$2-Model!AP$2))</f>
        <v>11248640</v>
      </c>
      <c r="AR66" s="141">
        <f>AQ66*(1+Assumption!$G$46*(Model!AR$2-Model!AQ$2))</f>
        <v>11248640</v>
      </c>
      <c r="AS66" s="141">
        <f>AR66*(1+Assumption!$G$46*(Model!AS$2-Model!AR$2))</f>
        <v>11248640</v>
      </c>
      <c r="AT66" s="141">
        <f>AS66*(1+Assumption!$G$46*(Model!AT$2-Model!AS$2))</f>
        <v>11248640</v>
      </c>
      <c r="AU66" s="141">
        <f>AT66*(1+Assumption!$G$46*(Model!AU$2-Model!AT$2))</f>
        <v>11248640</v>
      </c>
      <c r="AV66" s="141">
        <f>AU66*(1+Assumption!$G$46*(Model!AV$2-Model!AU$2))</f>
        <v>11248640</v>
      </c>
      <c r="AW66" s="141">
        <f>AV66*(1+Assumption!$G$46*(Model!AW$2-Model!AV$2))</f>
        <v>11248640</v>
      </c>
      <c r="AX66" s="141">
        <f>AW66*(1+Assumption!$G$46*(Model!AX$2-Model!AW$2))</f>
        <v>11248640</v>
      </c>
      <c r="AY66" s="141">
        <f>AX66*(1+Assumption!$G$46*(Model!AY$2-Model!AX$2))</f>
        <v>11248640</v>
      </c>
      <c r="AZ66" s="141">
        <f>AY66*(1+Assumption!$G$46*(Model!AZ$2-Model!AY$2))</f>
        <v>11248640</v>
      </c>
      <c r="BA66" s="141">
        <f>AZ66*(1+Assumption!$G$46*(Model!BA$2-Model!AZ$2))</f>
        <v>11248640</v>
      </c>
      <c r="BB66" s="141">
        <f>BA66*(1+Assumption!$G$46*(Model!BB$2-Model!BA$2))</f>
        <v>11248640</v>
      </c>
      <c r="BC66" s="141">
        <f>BB66*(1+Assumption!$G$46*(Model!BC$2-Model!BB$2))</f>
        <v>11698585.6</v>
      </c>
      <c r="BD66" s="141">
        <f>BC66*(1+Assumption!$G$46*(Model!BD$2-Model!BC$2))</f>
        <v>11698585.6</v>
      </c>
      <c r="BE66" s="141">
        <f>BD66*(1+Assumption!$G$46*(Model!BE$2-Model!BD$2))</f>
        <v>11698585.6</v>
      </c>
      <c r="BF66" s="141">
        <f>BE66*(1+Assumption!$G$46*(Model!BF$2-Model!BE$2))</f>
        <v>11698585.6</v>
      </c>
      <c r="BG66" s="141">
        <f>BF66*(1+Assumption!$G$46*(Model!BG$2-Model!BF$2))</f>
        <v>11698585.6</v>
      </c>
      <c r="BH66" s="141">
        <f>BG66*(1+Assumption!$G$46*(Model!BH$2-Model!BG$2))</f>
        <v>11698585.6</v>
      </c>
      <c r="BI66" s="141">
        <f>BH66*(1+Assumption!$G$46*(Model!BI$2-Model!BH$2))</f>
        <v>11698585.6</v>
      </c>
      <c r="BJ66" s="141">
        <f>BI66*(1+Assumption!$G$46*(Model!BJ$2-Model!BI$2))</f>
        <v>11698585.6</v>
      </c>
      <c r="BK66" s="141">
        <f>BJ66*(1+Assumption!$G$46*(Model!BK$2-Model!BJ$2))</f>
        <v>11698585.6</v>
      </c>
      <c r="BL66" s="141">
        <f>BK66*(1+Assumption!$G$46*(Model!BL$2-Model!BK$2))</f>
        <v>11698585.6</v>
      </c>
      <c r="BM66" s="141">
        <f>BL66*(1+Assumption!$G$46*(Model!BM$2-Model!BL$2))</f>
        <v>11698585.6</v>
      </c>
      <c r="BN66" s="141">
        <f>BM66*(1+Assumption!$G$46*(Model!BN$2-Model!BM$2))</f>
        <v>11698585.6</v>
      </c>
      <c r="BO66" s="141"/>
    </row>
    <row r="67" ht="13.5" customHeight="1" outlineLevel="1">
      <c r="A67" s="138"/>
      <c r="B67" s="139"/>
      <c r="C67" s="12" t="s">
        <v>160</v>
      </c>
      <c r="D67" s="138"/>
      <c r="E67" s="140"/>
      <c r="F67" s="141"/>
      <c r="G67" s="141">
        <f>Assumption!G40</f>
        <v>5000000</v>
      </c>
      <c r="H67" s="141">
        <f>G67*(1+Assumption!$G$46*(Model!H$2-Model!G$2))</f>
        <v>5000000</v>
      </c>
      <c r="I67" s="141">
        <f>H67*(1+Assumption!$G$46*(Model!I$2-Model!H$2))</f>
        <v>5000000</v>
      </c>
      <c r="J67" s="141">
        <f>I67*(1+Assumption!$G$46*(Model!J$2-Model!I$2))</f>
        <v>5000000</v>
      </c>
      <c r="K67" s="141">
        <f>J67*(1+Assumption!$G$46*(Model!K$2-Model!J$2))</f>
        <v>5000000</v>
      </c>
      <c r="L67" s="141">
        <f>K67*(1+Assumption!$G$46*(Model!L$2-Model!K$2))</f>
        <v>5000000</v>
      </c>
      <c r="M67" s="141">
        <f>L67*(1+Assumption!$G$46*(Model!M$2-Model!L$2))</f>
        <v>5000000</v>
      </c>
      <c r="N67" s="141">
        <f>M67*(1+Assumption!$G$46*(Model!N$2-Model!M$2))</f>
        <v>5000000</v>
      </c>
      <c r="O67" s="141">
        <f>N67*(1+Assumption!$G$46*(Model!O$2-Model!N$2))</f>
        <v>5000000</v>
      </c>
      <c r="P67" s="141">
        <f>O67*(1+Assumption!$G$46*(Model!P$2-Model!O$2))</f>
        <v>5000000</v>
      </c>
      <c r="Q67" s="141">
        <f>P67*(1+Assumption!$G$46*(Model!Q$2-Model!P$2))</f>
        <v>5000000</v>
      </c>
      <c r="R67" s="141">
        <f>Q67*(1+Assumption!$G$46*(Model!R$2-Model!Q$2))</f>
        <v>5000000</v>
      </c>
      <c r="S67" s="141">
        <f>R67*(1+Assumption!$G$46*(Model!S$2-Model!R$2))</f>
        <v>5200000</v>
      </c>
      <c r="T67" s="141">
        <f>S67*(1+Assumption!$G$46*(Model!T$2-Model!S$2))</f>
        <v>5200000</v>
      </c>
      <c r="U67" s="141">
        <f>T67*(1+Assumption!$G$46*(Model!U$2-Model!T$2))</f>
        <v>5200000</v>
      </c>
      <c r="V67" s="141">
        <f>U67*(1+Assumption!$G$46*(Model!V$2-Model!U$2))</f>
        <v>5200000</v>
      </c>
      <c r="W67" s="141">
        <f>V67*(1+Assumption!$G$46*(Model!W$2-Model!V$2))</f>
        <v>5200000</v>
      </c>
      <c r="X67" s="141">
        <f>W67*(1+Assumption!$G$46*(Model!X$2-Model!W$2))</f>
        <v>5200000</v>
      </c>
      <c r="Y67" s="141">
        <f>X67*(1+Assumption!$G$46*(Model!Y$2-Model!X$2))</f>
        <v>5200000</v>
      </c>
      <c r="Z67" s="141">
        <f>Y67*(1+Assumption!$G$46*(Model!Z$2-Model!Y$2))</f>
        <v>5200000</v>
      </c>
      <c r="AA67" s="141">
        <f>Z67*(1+Assumption!$G$46*(Model!AA$2-Model!Z$2))</f>
        <v>5200000</v>
      </c>
      <c r="AB67" s="141">
        <f>AA67*(1+Assumption!$G$46*(Model!AB$2-Model!AA$2))</f>
        <v>5200000</v>
      </c>
      <c r="AC67" s="141">
        <f>AB67*(1+Assumption!$G$46*(Model!AC$2-Model!AB$2))</f>
        <v>5200000</v>
      </c>
      <c r="AD67" s="141">
        <f>AC67*(1+Assumption!$G$46*(Model!AD$2-Model!AC$2))</f>
        <v>5200000</v>
      </c>
      <c r="AE67" s="141">
        <f>AD67*(1+Assumption!$G$46*(Model!AE$2-Model!AD$2))</f>
        <v>5408000</v>
      </c>
      <c r="AF67" s="141">
        <f>AE67*(1+Assumption!$G$46*(Model!AF$2-Model!AE$2))</f>
        <v>5408000</v>
      </c>
      <c r="AG67" s="141">
        <f>AF67*(1+Assumption!$G$46*(Model!AG$2-Model!AF$2))</f>
        <v>5408000</v>
      </c>
      <c r="AH67" s="141">
        <f>AG67*(1+Assumption!$G$46*(Model!AH$2-Model!AG$2))</f>
        <v>5408000</v>
      </c>
      <c r="AI67" s="141">
        <f>AH67*(1+Assumption!$G$46*(Model!AI$2-Model!AH$2))</f>
        <v>5408000</v>
      </c>
      <c r="AJ67" s="141">
        <f>AI67*(1+Assumption!$G$46*(Model!AJ$2-Model!AI$2))</f>
        <v>5408000</v>
      </c>
      <c r="AK67" s="141">
        <f>AJ67*(1+Assumption!$G$46*(Model!AK$2-Model!AJ$2))</f>
        <v>5408000</v>
      </c>
      <c r="AL67" s="141">
        <f>AK67*(1+Assumption!$G$46*(Model!AL$2-Model!AK$2))</f>
        <v>5408000</v>
      </c>
      <c r="AM67" s="141">
        <f>AL67*(1+Assumption!$G$46*(Model!AM$2-Model!AL$2))</f>
        <v>5408000</v>
      </c>
      <c r="AN67" s="141">
        <f>AM67*(1+Assumption!$G$46*(Model!AN$2-Model!AM$2))</f>
        <v>5408000</v>
      </c>
      <c r="AO67" s="141">
        <f>AN67*(1+Assumption!$G$46*(Model!AO$2-Model!AN$2))</f>
        <v>5408000</v>
      </c>
      <c r="AP67" s="141">
        <f>AO67*(1+Assumption!$G$46*(Model!AP$2-Model!AO$2))</f>
        <v>5408000</v>
      </c>
      <c r="AQ67" s="141">
        <f>AP67*(1+Assumption!$G$46*(Model!AQ$2-Model!AP$2))</f>
        <v>5624320</v>
      </c>
      <c r="AR67" s="141">
        <f>AQ67*(1+Assumption!$G$46*(Model!AR$2-Model!AQ$2))</f>
        <v>5624320</v>
      </c>
      <c r="AS67" s="141">
        <f>AR67*(1+Assumption!$G$46*(Model!AS$2-Model!AR$2))</f>
        <v>5624320</v>
      </c>
      <c r="AT67" s="141">
        <f>AS67*(1+Assumption!$G$46*(Model!AT$2-Model!AS$2))</f>
        <v>5624320</v>
      </c>
      <c r="AU67" s="141">
        <f>AT67*(1+Assumption!$G$46*(Model!AU$2-Model!AT$2))</f>
        <v>5624320</v>
      </c>
      <c r="AV67" s="141">
        <f>AU67*(1+Assumption!$G$46*(Model!AV$2-Model!AU$2))</f>
        <v>5624320</v>
      </c>
      <c r="AW67" s="141">
        <f>AV67*(1+Assumption!$G$46*(Model!AW$2-Model!AV$2))</f>
        <v>5624320</v>
      </c>
      <c r="AX67" s="141">
        <f>AW67*(1+Assumption!$G$46*(Model!AX$2-Model!AW$2))</f>
        <v>5624320</v>
      </c>
      <c r="AY67" s="141">
        <f>AX67*(1+Assumption!$G$46*(Model!AY$2-Model!AX$2))</f>
        <v>5624320</v>
      </c>
      <c r="AZ67" s="141">
        <f>AY67*(1+Assumption!$G$46*(Model!AZ$2-Model!AY$2))</f>
        <v>5624320</v>
      </c>
      <c r="BA67" s="141">
        <f>AZ67*(1+Assumption!$G$46*(Model!BA$2-Model!AZ$2))</f>
        <v>5624320</v>
      </c>
      <c r="BB67" s="141">
        <f>BA67*(1+Assumption!$G$46*(Model!BB$2-Model!BA$2))</f>
        <v>5624320</v>
      </c>
      <c r="BC67" s="141">
        <f>BB67*(1+Assumption!$G$46*(Model!BC$2-Model!BB$2))</f>
        <v>5849292.8</v>
      </c>
      <c r="BD67" s="141">
        <f>BC67*(1+Assumption!$G$46*(Model!BD$2-Model!BC$2))</f>
        <v>5849292.8</v>
      </c>
      <c r="BE67" s="141">
        <f>BD67*(1+Assumption!$G$46*(Model!BE$2-Model!BD$2))</f>
        <v>5849292.8</v>
      </c>
      <c r="BF67" s="141">
        <f>BE67*(1+Assumption!$G$46*(Model!BF$2-Model!BE$2))</f>
        <v>5849292.8</v>
      </c>
      <c r="BG67" s="141">
        <f>BF67*(1+Assumption!$G$46*(Model!BG$2-Model!BF$2))</f>
        <v>5849292.8</v>
      </c>
      <c r="BH67" s="141">
        <f>BG67*(1+Assumption!$G$46*(Model!BH$2-Model!BG$2))</f>
        <v>5849292.8</v>
      </c>
      <c r="BI67" s="141">
        <f>BH67*(1+Assumption!$G$46*(Model!BI$2-Model!BH$2))</f>
        <v>5849292.8</v>
      </c>
      <c r="BJ67" s="141">
        <f>BI67*(1+Assumption!$G$46*(Model!BJ$2-Model!BI$2))</f>
        <v>5849292.8</v>
      </c>
      <c r="BK67" s="141">
        <f>BJ67*(1+Assumption!$G$46*(Model!BK$2-Model!BJ$2))</f>
        <v>5849292.8</v>
      </c>
      <c r="BL67" s="141">
        <f>BK67*(1+Assumption!$G$46*(Model!BL$2-Model!BK$2))</f>
        <v>5849292.8</v>
      </c>
      <c r="BM67" s="141">
        <f>BL67*(1+Assumption!$G$46*(Model!BM$2-Model!BL$2))</f>
        <v>5849292.8</v>
      </c>
      <c r="BN67" s="141">
        <f>BM67*(1+Assumption!$G$46*(Model!BN$2-Model!BM$2))</f>
        <v>5849292.8</v>
      </c>
      <c r="BO67" s="141"/>
    </row>
    <row r="68" ht="13.5" customHeight="1" outlineLevel="1">
      <c r="A68" s="138"/>
      <c r="B68" s="139"/>
      <c r="C68" s="12" t="s">
        <v>35</v>
      </c>
      <c r="D68" s="138"/>
      <c r="E68" s="140"/>
      <c r="F68" s="141"/>
      <c r="G68" s="141">
        <f>Assumption!G41</f>
        <v>30000000</v>
      </c>
      <c r="H68" s="141">
        <f>G68*(1+Assumption!$G$46*(Model!H$2-Model!G$2))</f>
        <v>30000000</v>
      </c>
      <c r="I68" s="141">
        <f>H68*(1+Assumption!$G$46*(Model!I$2-Model!H$2))</f>
        <v>30000000</v>
      </c>
      <c r="J68" s="141">
        <f>I68*(1+Assumption!$G$46*(Model!J$2-Model!I$2))</f>
        <v>30000000</v>
      </c>
      <c r="K68" s="141">
        <f>J68*(1+Assumption!$G$46*(Model!K$2-Model!J$2))</f>
        <v>30000000</v>
      </c>
      <c r="L68" s="141">
        <f>K68*(1+Assumption!$G$46*(Model!L$2-Model!K$2))</f>
        <v>30000000</v>
      </c>
      <c r="M68" s="141">
        <f>L68*(1+Assumption!$G$46*(Model!M$2-Model!L$2))</f>
        <v>30000000</v>
      </c>
      <c r="N68" s="141">
        <f>M68*(1+Assumption!$G$46*(Model!N$2-Model!M$2))</f>
        <v>30000000</v>
      </c>
      <c r="O68" s="141">
        <f>N68*(1+Assumption!$G$46*(Model!O$2-Model!N$2))</f>
        <v>30000000</v>
      </c>
      <c r="P68" s="141">
        <f>O68*(1+Assumption!$G$46*(Model!P$2-Model!O$2))</f>
        <v>30000000</v>
      </c>
      <c r="Q68" s="141">
        <f>P68*(1+Assumption!$G$46*(Model!Q$2-Model!P$2))</f>
        <v>30000000</v>
      </c>
      <c r="R68" s="141">
        <f>Q68*(1+Assumption!$G$46*(Model!R$2-Model!Q$2))</f>
        <v>30000000</v>
      </c>
      <c r="S68" s="141">
        <f>R68*(1+Assumption!$G$46*(Model!S$2-Model!R$2))</f>
        <v>31200000</v>
      </c>
      <c r="T68" s="141">
        <f>S68*(1+Assumption!$G$46*(Model!T$2-Model!S$2))</f>
        <v>31200000</v>
      </c>
      <c r="U68" s="141">
        <f>T68*(1+Assumption!$G$46*(Model!U$2-Model!T$2))</f>
        <v>31200000</v>
      </c>
      <c r="V68" s="141">
        <f>U68*(1+Assumption!$G$46*(Model!V$2-Model!U$2))</f>
        <v>31200000</v>
      </c>
      <c r="W68" s="141">
        <f>V68*(1+Assumption!$G$46*(Model!W$2-Model!V$2))</f>
        <v>31200000</v>
      </c>
      <c r="X68" s="141">
        <f>W68*(1+Assumption!$G$46*(Model!X$2-Model!W$2))</f>
        <v>31200000</v>
      </c>
      <c r="Y68" s="141">
        <f>X68*(1+Assumption!$G$46*(Model!Y$2-Model!X$2))</f>
        <v>31200000</v>
      </c>
      <c r="Z68" s="141">
        <f>Y68*(1+Assumption!$G$46*(Model!Z$2-Model!Y$2))</f>
        <v>31200000</v>
      </c>
      <c r="AA68" s="141">
        <f>Z68*(1+Assumption!$G$46*(Model!AA$2-Model!Z$2))</f>
        <v>31200000</v>
      </c>
      <c r="AB68" s="141">
        <f>AA68*(1+Assumption!$G$46*(Model!AB$2-Model!AA$2))</f>
        <v>31200000</v>
      </c>
      <c r="AC68" s="141">
        <f>AB68*(1+Assumption!$G$46*(Model!AC$2-Model!AB$2))</f>
        <v>31200000</v>
      </c>
      <c r="AD68" s="141">
        <f>AC68*(1+Assumption!$G$46*(Model!AD$2-Model!AC$2))</f>
        <v>31200000</v>
      </c>
      <c r="AE68" s="141">
        <f>AD68*(1+Assumption!$G$46*(Model!AE$2-Model!AD$2))</f>
        <v>32448000</v>
      </c>
      <c r="AF68" s="141">
        <f>AE68*(1+Assumption!$G$46*(Model!AF$2-Model!AE$2))</f>
        <v>32448000</v>
      </c>
      <c r="AG68" s="141">
        <f>AF68*(1+Assumption!$G$46*(Model!AG$2-Model!AF$2))</f>
        <v>32448000</v>
      </c>
      <c r="AH68" s="141">
        <f>AG68*(1+Assumption!$G$46*(Model!AH$2-Model!AG$2))</f>
        <v>32448000</v>
      </c>
      <c r="AI68" s="141">
        <f>AH68*(1+Assumption!$G$46*(Model!AI$2-Model!AH$2))</f>
        <v>32448000</v>
      </c>
      <c r="AJ68" s="141">
        <f>AI68*(1+Assumption!$G$46*(Model!AJ$2-Model!AI$2))</f>
        <v>32448000</v>
      </c>
      <c r="AK68" s="141">
        <f>AJ68*(1+Assumption!$G$46*(Model!AK$2-Model!AJ$2))</f>
        <v>32448000</v>
      </c>
      <c r="AL68" s="141">
        <f>AK68*(1+Assumption!$G$46*(Model!AL$2-Model!AK$2))</f>
        <v>32448000</v>
      </c>
      <c r="AM68" s="141">
        <f>AL68*(1+Assumption!$G$46*(Model!AM$2-Model!AL$2))</f>
        <v>32448000</v>
      </c>
      <c r="AN68" s="141">
        <f>AM68*(1+Assumption!$G$46*(Model!AN$2-Model!AM$2))</f>
        <v>32448000</v>
      </c>
      <c r="AO68" s="141">
        <f>AN68*(1+Assumption!$G$46*(Model!AO$2-Model!AN$2))</f>
        <v>32448000</v>
      </c>
      <c r="AP68" s="141">
        <f>AO68*(1+Assumption!$G$46*(Model!AP$2-Model!AO$2))</f>
        <v>32448000</v>
      </c>
      <c r="AQ68" s="141">
        <f>AP68*(1+Assumption!$G$46*(Model!AQ$2-Model!AP$2))</f>
        <v>33745920</v>
      </c>
      <c r="AR68" s="141">
        <f>AQ68*(1+Assumption!$G$46*(Model!AR$2-Model!AQ$2))</f>
        <v>33745920</v>
      </c>
      <c r="AS68" s="141">
        <f>AR68*(1+Assumption!$G$46*(Model!AS$2-Model!AR$2))</f>
        <v>33745920</v>
      </c>
      <c r="AT68" s="141">
        <f>AS68*(1+Assumption!$G$46*(Model!AT$2-Model!AS$2))</f>
        <v>33745920</v>
      </c>
      <c r="AU68" s="141">
        <f>AT68*(1+Assumption!$G$46*(Model!AU$2-Model!AT$2))</f>
        <v>33745920</v>
      </c>
      <c r="AV68" s="141">
        <f>AU68*(1+Assumption!$G$46*(Model!AV$2-Model!AU$2))</f>
        <v>33745920</v>
      </c>
      <c r="AW68" s="141">
        <f>AV68*(1+Assumption!$G$46*(Model!AW$2-Model!AV$2))</f>
        <v>33745920</v>
      </c>
      <c r="AX68" s="141">
        <f>AW68*(1+Assumption!$G$46*(Model!AX$2-Model!AW$2))</f>
        <v>33745920</v>
      </c>
      <c r="AY68" s="141">
        <f>AX68*(1+Assumption!$G$46*(Model!AY$2-Model!AX$2))</f>
        <v>33745920</v>
      </c>
      <c r="AZ68" s="141">
        <f>AY68*(1+Assumption!$G$46*(Model!AZ$2-Model!AY$2))</f>
        <v>33745920</v>
      </c>
      <c r="BA68" s="141">
        <f>AZ68*(1+Assumption!$G$46*(Model!BA$2-Model!AZ$2))</f>
        <v>33745920</v>
      </c>
      <c r="BB68" s="141">
        <f>BA68*(1+Assumption!$G$46*(Model!BB$2-Model!BA$2))</f>
        <v>33745920</v>
      </c>
      <c r="BC68" s="141">
        <f>BB68*(1+Assumption!$G$46*(Model!BC$2-Model!BB$2))</f>
        <v>35095756.8</v>
      </c>
      <c r="BD68" s="141">
        <f>BC68*(1+Assumption!$G$46*(Model!BD$2-Model!BC$2))</f>
        <v>35095756.8</v>
      </c>
      <c r="BE68" s="141">
        <f>BD68*(1+Assumption!$G$46*(Model!BE$2-Model!BD$2))</f>
        <v>35095756.8</v>
      </c>
      <c r="BF68" s="141">
        <f>BE68*(1+Assumption!$G$46*(Model!BF$2-Model!BE$2))</f>
        <v>35095756.8</v>
      </c>
      <c r="BG68" s="141">
        <f>BF68*(1+Assumption!$G$46*(Model!BG$2-Model!BF$2))</f>
        <v>35095756.8</v>
      </c>
      <c r="BH68" s="141">
        <f>BG68*(1+Assumption!$G$46*(Model!BH$2-Model!BG$2))</f>
        <v>35095756.8</v>
      </c>
      <c r="BI68" s="141">
        <f>BH68*(1+Assumption!$G$46*(Model!BI$2-Model!BH$2))</f>
        <v>35095756.8</v>
      </c>
      <c r="BJ68" s="141">
        <f>BI68*(1+Assumption!$G$46*(Model!BJ$2-Model!BI$2))</f>
        <v>35095756.8</v>
      </c>
      <c r="BK68" s="141">
        <f>BJ68*(1+Assumption!$G$46*(Model!BK$2-Model!BJ$2))</f>
        <v>35095756.8</v>
      </c>
      <c r="BL68" s="141">
        <f>BK68*(1+Assumption!$G$46*(Model!BL$2-Model!BK$2))</f>
        <v>35095756.8</v>
      </c>
      <c r="BM68" s="141">
        <f>BL68*(1+Assumption!$G$46*(Model!BM$2-Model!BL$2))</f>
        <v>35095756.8</v>
      </c>
      <c r="BN68" s="141">
        <f>BM68*(1+Assumption!$G$46*(Model!BN$2-Model!BM$2))</f>
        <v>35095756.8</v>
      </c>
      <c r="BO68" s="141"/>
    </row>
    <row r="69" ht="13.5" customHeight="1" outlineLevel="1">
      <c r="A69" s="138"/>
      <c r="B69" s="139"/>
      <c r="C69" s="12" t="s">
        <v>36</v>
      </c>
      <c r="D69" s="138"/>
      <c r="E69" s="140"/>
      <c r="F69" s="141"/>
      <c r="G69" s="141">
        <f>Assumption!G42</f>
        <v>5000000</v>
      </c>
      <c r="H69" s="141">
        <f>G69*(1+Assumption!$G$46*(Model!H$2-Model!G$2))</f>
        <v>5000000</v>
      </c>
      <c r="I69" s="141">
        <f>H69*(1+Assumption!$G$46*(Model!I$2-Model!H$2))</f>
        <v>5000000</v>
      </c>
      <c r="J69" s="141">
        <f>I69*(1+Assumption!$G$46*(Model!J$2-Model!I$2))</f>
        <v>5000000</v>
      </c>
      <c r="K69" s="141">
        <f>J69*(1+Assumption!$G$46*(Model!K$2-Model!J$2))</f>
        <v>5000000</v>
      </c>
      <c r="L69" s="141">
        <f>K69*(1+Assumption!$G$46*(Model!L$2-Model!K$2))</f>
        <v>5000000</v>
      </c>
      <c r="M69" s="141">
        <f>L69*(1+Assumption!$G$46*(Model!M$2-Model!L$2))</f>
        <v>5000000</v>
      </c>
      <c r="N69" s="141">
        <f>M69*(1+Assumption!$G$46*(Model!N$2-Model!M$2))</f>
        <v>5000000</v>
      </c>
      <c r="O69" s="141">
        <f>N69*(1+Assumption!$G$46*(Model!O$2-Model!N$2))</f>
        <v>5000000</v>
      </c>
      <c r="P69" s="141">
        <f>O69*(1+Assumption!$G$46*(Model!P$2-Model!O$2))</f>
        <v>5000000</v>
      </c>
      <c r="Q69" s="141">
        <f>P69*(1+Assumption!$G$46*(Model!Q$2-Model!P$2))</f>
        <v>5000000</v>
      </c>
      <c r="R69" s="141">
        <f>Q69*(1+Assumption!$G$46*(Model!R$2-Model!Q$2))</f>
        <v>5000000</v>
      </c>
      <c r="S69" s="141">
        <f>R69*(1+Assumption!$G$46*(Model!S$2-Model!R$2))</f>
        <v>5200000</v>
      </c>
      <c r="T69" s="141">
        <f>S69*(1+Assumption!$G$46*(Model!T$2-Model!S$2))</f>
        <v>5200000</v>
      </c>
      <c r="U69" s="141">
        <f>T69*(1+Assumption!$G$46*(Model!U$2-Model!T$2))</f>
        <v>5200000</v>
      </c>
      <c r="V69" s="141">
        <f>U69*(1+Assumption!$G$46*(Model!V$2-Model!U$2))</f>
        <v>5200000</v>
      </c>
      <c r="W69" s="141">
        <f>V69*(1+Assumption!$G$46*(Model!W$2-Model!V$2))</f>
        <v>5200000</v>
      </c>
      <c r="X69" s="141">
        <f>W69*(1+Assumption!$G$46*(Model!X$2-Model!W$2))</f>
        <v>5200000</v>
      </c>
      <c r="Y69" s="141">
        <f>X69*(1+Assumption!$G$46*(Model!Y$2-Model!X$2))</f>
        <v>5200000</v>
      </c>
      <c r="Z69" s="141">
        <f>Y69*(1+Assumption!$G$46*(Model!Z$2-Model!Y$2))</f>
        <v>5200000</v>
      </c>
      <c r="AA69" s="141">
        <f>Z69*(1+Assumption!$G$46*(Model!AA$2-Model!Z$2))</f>
        <v>5200000</v>
      </c>
      <c r="AB69" s="141">
        <f>AA69*(1+Assumption!$G$46*(Model!AB$2-Model!AA$2))</f>
        <v>5200000</v>
      </c>
      <c r="AC69" s="141">
        <f>AB69*(1+Assumption!$G$46*(Model!AC$2-Model!AB$2))</f>
        <v>5200000</v>
      </c>
      <c r="AD69" s="141">
        <f>AC69*(1+Assumption!$G$46*(Model!AD$2-Model!AC$2))</f>
        <v>5200000</v>
      </c>
      <c r="AE69" s="141">
        <f>AD69*(1+Assumption!$G$46*(Model!AE$2-Model!AD$2))</f>
        <v>5408000</v>
      </c>
      <c r="AF69" s="141">
        <f>AE69*(1+Assumption!$G$46*(Model!AF$2-Model!AE$2))</f>
        <v>5408000</v>
      </c>
      <c r="AG69" s="141">
        <f>AF69*(1+Assumption!$G$46*(Model!AG$2-Model!AF$2))</f>
        <v>5408000</v>
      </c>
      <c r="AH69" s="141">
        <f>AG69*(1+Assumption!$G$46*(Model!AH$2-Model!AG$2))</f>
        <v>5408000</v>
      </c>
      <c r="AI69" s="141">
        <f>AH69*(1+Assumption!$G$46*(Model!AI$2-Model!AH$2))</f>
        <v>5408000</v>
      </c>
      <c r="AJ69" s="141">
        <f>AI69*(1+Assumption!$G$46*(Model!AJ$2-Model!AI$2))</f>
        <v>5408000</v>
      </c>
      <c r="AK69" s="141">
        <f>AJ69*(1+Assumption!$G$46*(Model!AK$2-Model!AJ$2))</f>
        <v>5408000</v>
      </c>
      <c r="AL69" s="141">
        <f>AK69*(1+Assumption!$G$46*(Model!AL$2-Model!AK$2))</f>
        <v>5408000</v>
      </c>
      <c r="AM69" s="141">
        <f>AL69*(1+Assumption!$G$46*(Model!AM$2-Model!AL$2))</f>
        <v>5408000</v>
      </c>
      <c r="AN69" s="141">
        <f>AM69*(1+Assumption!$G$46*(Model!AN$2-Model!AM$2))</f>
        <v>5408000</v>
      </c>
      <c r="AO69" s="141">
        <f>AN69*(1+Assumption!$G$46*(Model!AO$2-Model!AN$2))</f>
        <v>5408000</v>
      </c>
      <c r="AP69" s="141">
        <f>AO69*(1+Assumption!$G$46*(Model!AP$2-Model!AO$2))</f>
        <v>5408000</v>
      </c>
      <c r="AQ69" s="141">
        <f>AP69*(1+Assumption!$G$46*(Model!AQ$2-Model!AP$2))</f>
        <v>5624320</v>
      </c>
      <c r="AR69" s="141">
        <f>AQ69*(1+Assumption!$G$46*(Model!AR$2-Model!AQ$2))</f>
        <v>5624320</v>
      </c>
      <c r="AS69" s="141">
        <f>AR69*(1+Assumption!$G$46*(Model!AS$2-Model!AR$2))</f>
        <v>5624320</v>
      </c>
      <c r="AT69" s="141">
        <f>AS69*(1+Assumption!$G$46*(Model!AT$2-Model!AS$2))</f>
        <v>5624320</v>
      </c>
      <c r="AU69" s="141">
        <f>AT69*(1+Assumption!$G$46*(Model!AU$2-Model!AT$2))</f>
        <v>5624320</v>
      </c>
      <c r="AV69" s="141">
        <f>AU69*(1+Assumption!$G$46*(Model!AV$2-Model!AU$2))</f>
        <v>5624320</v>
      </c>
      <c r="AW69" s="141">
        <f>AV69*(1+Assumption!$G$46*(Model!AW$2-Model!AV$2))</f>
        <v>5624320</v>
      </c>
      <c r="AX69" s="141">
        <f>AW69*(1+Assumption!$G$46*(Model!AX$2-Model!AW$2))</f>
        <v>5624320</v>
      </c>
      <c r="AY69" s="141">
        <f>AX69*(1+Assumption!$G$46*(Model!AY$2-Model!AX$2))</f>
        <v>5624320</v>
      </c>
      <c r="AZ69" s="141">
        <f>AY69*(1+Assumption!$G$46*(Model!AZ$2-Model!AY$2))</f>
        <v>5624320</v>
      </c>
      <c r="BA69" s="141">
        <f>AZ69*(1+Assumption!$G$46*(Model!BA$2-Model!AZ$2))</f>
        <v>5624320</v>
      </c>
      <c r="BB69" s="141">
        <f>BA69*(1+Assumption!$G$46*(Model!BB$2-Model!BA$2))</f>
        <v>5624320</v>
      </c>
      <c r="BC69" s="141">
        <f>BB69*(1+Assumption!$G$46*(Model!BC$2-Model!BB$2))</f>
        <v>5849292.8</v>
      </c>
      <c r="BD69" s="141">
        <f>BC69*(1+Assumption!$G$46*(Model!BD$2-Model!BC$2))</f>
        <v>5849292.8</v>
      </c>
      <c r="BE69" s="141">
        <f>BD69*(1+Assumption!$G$46*(Model!BE$2-Model!BD$2))</f>
        <v>5849292.8</v>
      </c>
      <c r="BF69" s="141">
        <f>BE69*(1+Assumption!$G$46*(Model!BF$2-Model!BE$2))</f>
        <v>5849292.8</v>
      </c>
      <c r="BG69" s="141">
        <f>BF69*(1+Assumption!$G$46*(Model!BG$2-Model!BF$2))</f>
        <v>5849292.8</v>
      </c>
      <c r="BH69" s="141">
        <f>BG69*(1+Assumption!$G$46*(Model!BH$2-Model!BG$2))</f>
        <v>5849292.8</v>
      </c>
      <c r="BI69" s="141">
        <f>BH69*(1+Assumption!$G$46*(Model!BI$2-Model!BH$2))</f>
        <v>5849292.8</v>
      </c>
      <c r="BJ69" s="141">
        <f>BI69*(1+Assumption!$G$46*(Model!BJ$2-Model!BI$2))</f>
        <v>5849292.8</v>
      </c>
      <c r="BK69" s="141">
        <f>BJ69*(1+Assumption!$G$46*(Model!BK$2-Model!BJ$2))</f>
        <v>5849292.8</v>
      </c>
      <c r="BL69" s="141">
        <f>BK69*(1+Assumption!$G$46*(Model!BL$2-Model!BK$2))</f>
        <v>5849292.8</v>
      </c>
      <c r="BM69" s="141">
        <f>BL69*(1+Assumption!$G$46*(Model!BM$2-Model!BL$2))</f>
        <v>5849292.8</v>
      </c>
      <c r="BN69" s="141">
        <f>BM69*(1+Assumption!$G$46*(Model!BN$2-Model!BM$2))</f>
        <v>5849292.8</v>
      </c>
      <c r="BO69" s="141"/>
    </row>
    <row r="70" ht="13.5" customHeight="1" outlineLevel="1">
      <c r="A70" s="138"/>
      <c r="B70" s="139"/>
      <c r="C70" s="12" t="s">
        <v>161</v>
      </c>
      <c r="D70" s="138"/>
      <c r="E70" s="140"/>
      <c r="F70" s="141"/>
      <c r="G70" s="141">
        <f>Assumption!G43</f>
        <v>10000000</v>
      </c>
      <c r="H70" s="141">
        <f>G70*(1+Assumption!$G$46*(Model!H$2-Model!G$2))</f>
        <v>10000000</v>
      </c>
      <c r="I70" s="141">
        <f>H70*(1+Assumption!$G$46*(Model!I$2-Model!H$2))</f>
        <v>10000000</v>
      </c>
      <c r="J70" s="141">
        <f>I70*(1+Assumption!$G$46*(Model!J$2-Model!I$2))</f>
        <v>10000000</v>
      </c>
      <c r="K70" s="141">
        <f>J70*(1+Assumption!$G$46*(Model!K$2-Model!J$2))</f>
        <v>10000000</v>
      </c>
      <c r="L70" s="141">
        <f>K70*(1+Assumption!$G$46*(Model!L$2-Model!K$2))</f>
        <v>10000000</v>
      </c>
      <c r="M70" s="141">
        <f>L70*(1+Assumption!$G$46*(Model!M$2-Model!L$2))</f>
        <v>10000000</v>
      </c>
      <c r="N70" s="141">
        <f>M70*(1+Assumption!$G$46*(Model!N$2-Model!M$2))</f>
        <v>10000000</v>
      </c>
      <c r="O70" s="141">
        <f>N70*(1+Assumption!$G$46*(Model!O$2-Model!N$2))</f>
        <v>10000000</v>
      </c>
      <c r="P70" s="141">
        <f>O70*(1+Assumption!$G$46*(Model!P$2-Model!O$2))</f>
        <v>10000000</v>
      </c>
      <c r="Q70" s="141">
        <f>P70*(1+Assumption!$G$46*(Model!Q$2-Model!P$2))</f>
        <v>10000000</v>
      </c>
      <c r="R70" s="141">
        <f>Q70*(1+Assumption!$G$46*(Model!R$2-Model!Q$2))</f>
        <v>10000000</v>
      </c>
      <c r="S70" s="141">
        <f>R70*(1+Assumption!$G$46*(Model!S$2-Model!R$2))</f>
        <v>10400000</v>
      </c>
      <c r="T70" s="141">
        <f>S70*(1+Assumption!$G$46*(Model!T$2-Model!S$2))</f>
        <v>10400000</v>
      </c>
      <c r="U70" s="141">
        <f>T70*(1+Assumption!$G$46*(Model!U$2-Model!T$2))</f>
        <v>10400000</v>
      </c>
      <c r="V70" s="141">
        <f>U70*(1+Assumption!$G$46*(Model!V$2-Model!U$2))</f>
        <v>10400000</v>
      </c>
      <c r="W70" s="141">
        <f>V70*(1+Assumption!$G$46*(Model!W$2-Model!V$2))</f>
        <v>10400000</v>
      </c>
      <c r="X70" s="141">
        <f>W70*(1+Assumption!$G$46*(Model!X$2-Model!W$2))</f>
        <v>10400000</v>
      </c>
      <c r="Y70" s="141">
        <f>X70*(1+Assumption!$G$46*(Model!Y$2-Model!X$2))</f>
        <v>10400000</v>
      </c>
      <c r="Z70" s="141">
        <f>Y70*(1+Assumption!$G$46*(Model!Z$2-Model!Y$2))</f>
        <v>10400000</v>
      </c>
      <c r="AA70" s="141">
        <f>Z70*(1+Assumption!$G$46*(Model!AA$2-Model!Z$2))</f>
        <v>10400000</v>
      </c>
      <c r="AB70" s="141">
        <f>AA70*(1+Assumption!$G$46*(Model!AB$2-Model!AA$2))</f>
        <v>10400000</v>
      </c>
      <c r="AC70" s="141">
        <f>AB70*(1+Assumption!$G$46*(Model!AC$2-Model!AB$2))</f>
        <v>10400000</v>
      </c>
      <c r="AD70" s="141">
        <f>AC70*(1+Assumption!$G$46*(Model!AD$2-Model!AC$2))</f>
        <v>10400000</v>
      </c>
      <c r="AE70" s="141">
        <f>AD70*(1+Assumption!$G$46*(Model!AE$2-Model!AD$2))</f>
        <v>10816000</v>
      </c>
      <c r="AF70" s="141">
        <f>AE70*(1+Assumption!$G$46*(Model!AF$2-Model!AE$2))</f>
        <v>10816000</v>
      </c>
      <c r="AG70" s="141">
        <f>AF70*(1+Assumption!$G$46*(Model!AG$2-Model!AF$2))</f>
        <v>10816000</v>
      </c>
      <c r="AH70" s="141">
        <f>AG70*(1+Assumption!$G$46*(Model!AH$2-Model!AG$2))</f>
        <v>10816000</v>
      </c>
      <c r="AI70" s="141">
        <f>AH70*(1+Assumption!$G$46*(Model!AI$2-Model!AH$2))</f>
        <v>10816000</v>
      </c>
      <c r="AJ70" s="141">
        <f>AI70*(1+Assumption!$G$46*(Model!AJ$2-Model!AI$2))</f>
        <v>10816000</v>
      </c>
      <c r="AK70" s="141">
        <f>AJ70*(1+Assumption!$G$46*(Model!AK$2-Model!AJ$2))</f>
        <v>10816000</v>
      </c>
      <c r="AL70" s="141">
        <f>AK70*(1+Assumption!$G$46*(Model!AL$2-Model!AK$2))</f>
        <v>10816000</v>
      </c>
      <c r="AM70" s="141">
        <f>AL70*(1+Assumption!$G$46*(Model!AM$2-Model!AL$2))</f>
        <v>10816000</v>
      </c>
      <c r="AN70" s="141">
        <f>AM70*(1+Assumption!$G$46*(Model!AN$2-Model!AM$2))</f>
        <v>10816000</v>
      </c>
      <c r="AO70" s="141">
        <f>AN70*(1+Assumption!$G$46*(Model!AO$2-Model!AN$2))</f>
        <v>10816000</v>
      </c>
      <c r="AP70" s="141">
        <f>AO70*(1+Assumption!$G$46*(Model!AP$2-Model!AO$2))</f>
        <v>10816000</v>
      </c>
      <c r="AQ70" s="141">
        <f>AP70*(1+Assumption!$G$46*(Model!AQ$2-Model!AP$2))</f>
        <v>11248640</v>
      </c>
      <c r="AR70" s="141">
        <f>AQ70*(1+Assumption!$G$46*(Model!AR$2-Model!AQ$2))</f>
        <v>11248640</v>
      </c>
      <c r="AS70" s="141">
        <f>AR70*(1+Assumption!$G$46*(Model!AS$2-Model!AR$2))</f>
        <v>11248640</v>
      </c>
      <c r="AT70" s="141">
        <f>AS70*(1+Assumption!$G$46*(Model!AT$2-Model!AS$2))</f>
        <v>11248640</v>
      </c>
      <c r="AU70" s="141">
        <f>AT70*(1+Assumption!$G$46*(Model!AU$2-Model!AT$2))</f>
        <v>11248640</v>
      </c>
      <c r="AV70" s="141">
        <f>AU70*(1+Assumption!$G$46*(Model!AV$2-Model!AU$2))</f>
        <v>11248640</v>
      </c>
      <c r="AW70" s="141">
        <f>AV70*(1+Assumption!$G$46*(Model!AW$2-Model!AV$2))</f>
        <v>11248640</v>
      </c>
      <c r="AX70" s="141">
        <f>AW70*(1+Assumption!$G$46*(Model!AX$2-Model!AW$2))</f>
        <v>11248640</v>
      </c>
      <c r="AY70" s="141">
        <f>AX70*(1+Assumption!$G$46*(Model!AY$2-Model!AX$2))</f>
        <v>11248640</v>
      </c>
      <c r="AZ70" s="141">
        <f>AY70*(1+Assumption!$G$46*(Model!AZ$2-Model!AY$2))</f>
        <v>11248640</v>
      </c>
      <c r="BA70" s="141">
        <f>AZ70*(1+Assumption!$G$46*(Model!BA$2-Model!AZ$2))</f>
        <v>11248640</v>
      </c>
      <c r="BB70" s="141">
        <f>BA70*(1+Assumption!$G$46*(Model!BB$2-Model!BA$2))</f>
        <v>11248640</v>
      </c>
      <c r="BC70" s="141">
        <f>BB70*(1+Assumption!$G$46*(Model!BC$2-Model!BB$2))</f>
        <v>11698585.6</v>
      </c>
      <c r="BD70" s="141">
        <f>BC70*(1+Assumption!$G$46*(Model!BD$2-Model!BC$2))</f>
        <v>11698585.6</v>
      </c>
      <c r="BE70" s="141">
        <f>BD70*(1+Assumption!$G$46*(Model!BE$2-Model!BD$2))</f>
        <v>11698585.6</v>
      </c>
      <c r="BF70" s="141">
        <f>BE70*(1+Assumption!$G$46*(Model!BF$2-Model!BE$2))</f>
        <v>11698585.6</v>
      </c>
      <c r="BG70" s="141">
        <f>BF70*(1+Assumption!$G$46*(Model!BG$2-Model!BF$2))</f>
        <v>11698585.6</v>
      </c>
      <c r="BH70" s="141">
        <f>BG70*(1+Assumption!$G$46*(Model!BH$2-Model!BG$2))</f>
        <v>11698585.6</v>
      </c>
      <c r="BI70" s="141">
        <f>BH70*(1+Assumption!$G$46*(Model!BI$2-Model!BH$2))</f>
        <v>11698585.6</v>
      </c>
      <c r="BJ70" s="141">
        <f>BI70*(1+Assumption!$G$46*(Model!BJ$2-Model!BI$2))</f>
        <v>11698585.6</v>
      </c>
      <c r="BK70" s="141">
        <f>BJ70*(1+Assumption!$G$46*(Model!BK$2-Model!BJ$2))</f>
        <v>11698585.6</v>
      </c>
      <c r="BL70" s="141">
        <f>BK70*(1+Assumption!$G$46*(Model!BL$2-Model!BK$2))</f>
        <v>11698585.6</v>
      </c>
      <c r="BM70" s="141">
        <f>BL70*(1+Assumption!$G$46*(Model!BM$2-Model!BL$2))</f>
        <v>11698585.6</v>
      </c>
      <c r="BN70" s="141">
        <f>BM70*(1+Assumption!$G$46*(Model!BN$2-Model!BM$2))</f>
        <v>11698585.6</v>
      </c>
      <c r="BO70" s="141"/>
    </row>
    <row r="71" ht="13.5" customHeight="1" outlineLevel="1">
      <c r="A71" s="138"/>
      <c r="B71" s="139"/>
      <c r="C71" s="12" t="s">
        <v>38</v>
      </c>
      <c r="D71" s="138"/>
      <c r="E71" s="140"/>
      <c r="F71" s="141"/>
      <c r="G71" s="141">
        <f>Assumption!G44</f>
        <v>5000000</v>
      </c>
      <c r="H71" s="141">
        <f>G71*(1+Assumption!$G$46*(Model!H$2-Model!G$2))</f>
        <v>5000000</v>
      </c>
      <c r="I71" s="141">
        <f>H71*(1+Assumption!$G$46*(Model!I$2-Model!H$2))</f>
        <v>5000000</v>
      </c>
      <c r="J71" s="141">
        <f>I71*(1+Assumption!$G$46*(Model!J$2-Model!I$2))</f>
        <v>5000000</v>
      </c>
      <c r="K71" s="141">
        <f>J71*(1+Assumption!$G$46*(Model!K$2-Model!J$2))</f>
        <v>5000000</v>
      </c>
      <c r="L71" s="141">
        <f>K71*(1+Assumption!$G$46*(Model!L$2-Model!K$2))</f>
        <v>5000000</v>
      </c>
      <c r="M71" s="141">
        <f>L71*(1+Assumption!$G$46*(Model!M$2-Model!L$2))</f>
        <v>5000000</v>
      </c>
      <c r="N71" s="141">
        <f>M71*(1+Assumption!$G$46*(Model!N$2-Model!M$2))</f>
        <v>5000000</v>
      </c>
      <c r="O71" s="141">
        <f>N71*(1+Assumption!$G$46*(Model!O$2-Model!N$2))</f>
        <v>5000000</v>
      </c>
      <c r="P71" s="141">
        <f>O71*(1+Assumption!$G$46*(Model!P$2-Model!O$2))</f>
        <v>5000000</v>
      </c>
      <c r="Q71" s="141">
        <f>P71*(1+Assumption!$G$46*(Model!Q$2-Model!P$2))</f>
        <v>5000000</v>
      </c>
      <c r="R71" s="141">
        <f>Q71*(1+Assumption!$G$46*(Model!R$2-Model!Q$2))</f>
        <v>5000000</v>
      </c>
      <c r="S71" s="141">
        <f>R71*(1+Assumption!$G$46*(Model!S$2-Model!R$2))</f>
        <v>5200000</v>
      </c>
      <c r="T71" s="141">
        <f>S71*(1+Assumption!$G$46*(Model!T$2-Model!S$2))</f>
        <v>5200000</v>
      </c>
      <c r="U71" s="141">
        <f>T71*(1+Assumption!$G$46*(Model!U$2-Model!T$2))</f>
        <v>5200000</v>
      </c>
      <c r="V71" s="141">
        <f>U71*(1+Assumption!$G$46*(Model!V$2-Model!U$2))</f>
        <v>5200000</v>
      </c>
      <c r="W71" s="141">
        <f>V71*(1+Assumption!$G$46*(Model!W$2-Model!V$2))</f>
        <v>5200000</v>
      </c>
      <c r="X71" s="141">
        <f>W71*(1+Assumption!$G$46*(Model!X$2-Model!W$2))</f>
        <v>5200000</v>
      </c>
      <c r="Y71" s="141">
        <f>X71*(1+Assumption!$G$46*(Model!Y$2-Model!X$2))</f>
        <v>5200000</v>
      </c>
      <c r="Z71" s="141">
        <f>Y71*(1+Assumption!$G$46*(Model!Z$2-Model!Y$2))</f>
        <v>5200000</v>
      </c>
      <c r="AA71" s="141">
        <f>Z71*(1+Assumption!$G$46*(Model!AA$2-Model!Z$2))</f>
        <v>5200000</v>
      </c>
      <c r="AB71" s="141">
        <f>AA71*(1+Assumption!$G$46*(Model!AB$2-Model!AA$2))</f>
        <v>5200000</v>
      </c>
      <c r="AC71" s="141">
        <f>AB71*(1+Assumption!$G$46*(Model!AC$2-Model!AB$2))</f>
        <v>5200000</v>
      </c>
      <c r="AD71" s="141">
        <f>AC71*(1+Assumption!$G$46*(Model!AD$2-Model!AC$2))</f>
        <v>5200000</v>
      </c>
      <c r="AE71" s="141">
        <f>AD71*(1+Assumption!$G$46*(Model!AE$2-Model!AD$2))</f>
        <v>5408000</v>
      </c>
      <c r="AF71" s="141">
        <f>AE71*(1+Assumption!$G$46*(Model!AF$2-Model!AE$2))</f>
        <v>5408000</v>
      </c>
      <c r="AG71" s="141">
        <f>AF71*(1+Assumption!$G$46*(Model!AG$2-Model!AF$2))</f>
        <v>5408000</v>
      </c>
      <c r="AH71" s="141">
        <f>AG71*(1+Assumption!$G$46*(Model!AH$2-Model!AG$2))</f>
        <v>5408000</v>
      </c>
      <c r="AI71" s="141">
        <f>AH71*(1+Assumption!$G$46*(Model!AI$2-Model!AH$2))</f>
        <v>5408000</v>
      </c>
      <c r="AJ71" s="141">
        <f>AI71*(1+Assumption!$G$46*(Model!AJ$2-Model!AI$2))</f>
        <v>5408000</v>
      </c>
      <c r="AK71" s="141">
        <f>AJ71*(1+Assumption!$G$46*(Model!AK$2-Model!AJ$2))</f>
        <v>5408000</v>
      </c>
      <c r="AL71" s="141">
        <f>AK71*(1+Assumption!$G$46*(Model!AL$2-Model!AK$2))</f>
        <v>5408000</v>
      </c>
      <c r="AM71" s="141">
        <f>AL71*(1+Assumption!$G$46*(Model!AM$2-Model!AL$2))</f>
        <v>5408000</v>
      </c>
      <c r="AN71" s="141">
        <f>AM71*(1+Assumption!$G$46*(Model!AN$2-Model!AM$2))</f>
        <v>5408000</v>
      </c>
      <c r="AO71" s="141">
        <f>AN71*(1+Assumption!$G$46*(Model!AO$2-Model!AN$2))</f>
        <v>5408000</v>
      </c>
      <c r="AP71" s="141">
        <f>AO71*(1+Assumption!$G$46*(Model!AP$2-Model!AO$2))</f>
        <v>5408000</v>
      </c>
      <c r="AQ71" s="141">
        <f>AP71*(1+Assumption!$G$46*(Model!AQ$2-Model!AP$2))</f>
        <v>5624320</v>
      </c>
      <c r="AR71" s="141">
        <f>AQ71*(1+Assumption!$G$46*(Model!AR$2-Model!AQ$2))</f>
        <v>5624320</v>
      </c>
      <c r="AS71" s="141">
        <f>AR71*(1+Assumption!$G$46*(Model!AS$2-Model!AR$2))</f>
        <v>5624320</v>
      </c>
      <c r="AT71" s="141">
        <f>AS71*(1+Assumption!$G$46*(Model!AT$2-Model!AS$2))</f>
        <v>5624320</v>
      </c>
      <c r="AU71" s="141">
        <f>AT71*(1+Assumption!$G$46*(Model!AU$2-Model!AT$2))</f>
        <v>5624320</v>
      </c>
      <c r="AV71" s="141">
        <f>AU71*(1+Assumption!$G$46*(Model!AV$2-Model!AU$2))</f>
        <v>5624320</v>
      </c>
      <c r="AW71" s="141">
        <f>AV71*(1+Assumption!$G$46*(Model!AW$2-Model!AV$2))</f>
        <v>5624320</v>
      </c>
      <c r="AX71" s="141">
        <f>AW71*(1+Assumption!$G$46*(Model!AX$2-Model!AW$2))</f>
        <v>5624320</v>
      </c>
      <c r="AY71" s="141">
        <f>AX71*(1+Assumption!$G$46*(Model!AY$2-Model!AX$2))</f>
        <v>5624320</v>
      </c>
      <c r="AZ71" s="141">
        <f>AY71*(1+Assumption!$G$46*(Model!AZ$2-Model!AY$2))</f>
        <v>5624320</v>
      </c>
      <c r="BA71" s="141">
        <f>AZ71*(1+Assumption!$G$46*(Model!BA$2-Model!AZ$2))</f>
        <v>5624320</v>
      </c>
      <c r="BB71" s="141">
        <f>BA71*(1+Assumption!$G$46*(Model!BB$2-Model!BA$2))</f>
        <v>5624320</v>
      </c>
      <c r="BC71" s="141">
        <f>BB71*(1+Assumption!$G$46*(Model!BC$2-Model!BB$2))</f>
        <v>5849292.8</v>
      </c>
      <c r="BD71" s="141">
        <f>BC71*(1+Assumption!$G$46*(Model!BD$2-Model!BC$2))</f>
        <v>5849292.8</v>
      </c>
      <c r="BE71" s="141">
        <f>BD71*(1+Assumption!$G$46*(Model!BE$2-Model!BD$2))</f>
        <v>5849292.8</v>
      </c>
      <c r="BF71" s="141">
        <f>BE71*(1+Assumption!$G$46*(Model!BF$2-Model!BE$2))</f>
        <v>5849292.8</v>
      </c>
      <c r="BG71" s="141">
        <f>BF71*(1+Assumption!$G$46*(Model!BG$2-Model!BF$2))</f>
        <v>5849292.8</v>
      </c>
      <c r="BH71" s="141">
        <f>BG71*(1+Assumption!$G$46*(Model!BH$2-Model!BG$2))</f>
        <v>5849292.8</v>
      </c>
      <c r="BI71" s="141">
        <f>BH71*(1+Assumption!$G$46*(Model!BI$2-Model!BH$2))</f>
        <v>5849292.8</v>
      </c>
      <c r="BJ71" s="141">
        <f>BI71*(1+Assumption!$G$46*(Model!BJ$2-Model!BI$2))</f>
        <v>5849292.8</v>
      </c>
      <c r="BK71" s="141">
        <f>BJ71*(1+Assumption!$G$46*(Model!BK$2-Model!BJ$2))</f>
        <v>5849292.8</v>
      </c>
      <c r="BL71" s="141">
        <f>BK71*(1+Assumption!$G$46*(Model!BL$2-Model!BK$2))</f>
        <v>5849292.8</v>
      </c>
      <c r="BM71" s="141">
        <f>BL71*(1+Assumption!$G$46*(Model!BM$2-Model!BL$2))</f>
        <v>5849292.8</v>
      </c>
      <c r="BN71" s="141">
        <f>BM71*(1+Assumption!$G$46*(Model!BN$2-Model!BM$2))</f>
        <v>5849292.8</v>
      </c>
      <c r="BO71" s="141"/>
    </row>
    <row r="72" ht="13.5" customHeight="1" outlineLevel="1">
      <c r="A72" s="138"/>
      <c r="B72" s="139"/>
      <c r="C72" s="12" t="s">
        <v>111</v>
      </c>
      <c r="D72" s="138"/>
      <c r="E72" s="140"/>
      <c r="F72" s="141"/>
      <c r="G72" s="141">
        <f>Assumption!G45</f>
        <v>10000000</v>
      </c>
      <c r="H72" s="141">
        <f>G72*(1+Assumption!$G$46*(Model!H$2-Model!G$2))</f>
        <v>10000000</v>
      </c>
      <c r="I72" s="141">
        <f>H72*(1+Assumption!$G$46*(Model!I$2-Model!H$2))</f>
        <v>10000000</v>
      </c>
      <c r="J72" s="141">
        <f>I72*(1+Assumption!$G$46*(Model!J$2-Model!I$2))</f>
        <v>10000000</v>
      </c>
      <c r="K72" s="141">
        <f>J72*(1+Assumption!$G$46*(Model!K$2-Model!J$2))</f>
        <v>10000000</v>
      </c>
      <c r="L72" s="141">
        <f>K72*(1+Assumption!$G$46*(Model!L$2-Model!K$2))</f>
        <v>10000000</v>
      </c>
      <c r="M72" s="141">
        <f>L72*(1+Assumption!$G$46*(Model!M$2-Model!L$2))</f>
        <v>10000000</v>
      </c>
      <c r="N72" s="141">
        <f>M72*(1+Assumption!$G$46*(Model!N$2-Model!M$2))</f>
        <v>10000000</v>
      </c>
      <c r="O72" s="141">
        <f>N72*(1+Assumption!$G$46*(Model!O$2-Model!N$2))</f>
        <v>10000000</v>
      </c>
      <c r="P72" s="141">
        <f>O72*(1+Assumption!$G$46*(Model!P$2-Model!O$2))</f>
        <v>10000000</v>
      </c>
      <c r="Q72" s="141">
        <f>P72*(1+Assumption!$G$46*(Model!Q$2-Model!P$2))</f>
        <v>10000000</v>
      </c>
      <c r="R72" s="141">
        <f>Q72*(1+Assumption!$G$46*(Model!R$2-Model!Q$2))</f>
        <v>10000000</v>
      </c>
      <c r="S72" s="141">
        <f>R72*(1+Assumption!$G$46*(Model!S$2-Model!R$2))</f>
        <v>10400000</v>
      </c>
      <c r="T72" s="141">
        <f>S72*(1+Assumption!$G$46*(Model!T$2-Model!S$2))</f>
        <v>10400000</v>
      </c>
      <c r="U72" s="141">
        <f>T72*(1+Assumption!$G$46*(Model!U$2-Model!T$2))</f>
        <v>10400000</v>
      </c>
      <c r="V72" s="141">
        <f>U72*(1+Assumption!$G$46*(Model!V$2-Model!U$2))</f>
        <v>10400000</v>
      </c>
      <c r="W72" s="141">
        <f>V72*(1+Assumption!$G$46*(Model!W$2-Model!V$2))</f>
        <v>10400000</v>
      </c>
      <c r="X72" s="141">
        <f>W72*(1+Assumption!$G$46*(Model!X$2-Model!W$2))</f>
        <v>10400000</v>
      </c>
      <c r="Y72" s="141">
        <f>X72*(1+Assumption!$G$46*(Model!Y$2-Model!X$2))</f>
        <v>10400000</v>
      </c>
      <c r="Z72" s="141">
        <f>Y72*(1+Assumption!$G$46*(Model!Z$2-Model!Y$2))</f>
        <v>10400000</v>
      </c>
      <c r="AA72" s="141">
        <f>Z72*(1+Assumption!$G$46*(Model!AA$2-Model!Z$2))</f>
        <v>10400000</v>
      </c>
      <c r="AB72" s="141">
        <f>AA72*(1+Assumption!$G$46*(Model!AB$2-Model!AA$2))</f>
        <v>10400000</v>
      </c>
      <c r="AC72" s="141">
        <f>AB72*(1+Assumption!$G$46*(Model!AC$2-Model!AB$2))</f>
        <v>10400000</v>
      </c>
      <c r="AD72" s="141">
        <f>AC72*(1+Assumption!$G$46*(Model!AD$2-Model!AC$2))</f>
        <v>10400000</v>
      </c>
      <c r="AE72" s="141">
        <f>AD72*(1+Assumption!$G$46*(Model!AE$2-Model!AD$2))</f>
        <v>10816000</v>
      </c>
      <c r="AF72" s="141">
        <f>AE72*(1+Assumption!$G$46*(Model!AF$2-Model!AE$2))</f>
        <v>10816000</v>
      </c>
      <c r="AG72" s="141">
        <f>AF72*(1+Assumption!$G$46*(Model!AG$2-Model!AF$2))</f>
        <v>10816000</v>
      </c>
      <c r="AH72" s="141">
        <f>AG72*(1+Assumption!$G$46*(Model!AH$2-Model!AG$2))</f>
        <v>10816000</v>
      </c>
      <c r="AI72" s="141">
        <f>AH72*(1+Assumption!$G$46*(Model!AI$2-Model!AH$2))</f>
        <v>10816000</v>
      </c>
      <c r="AJ72" s="141">
        <f>AI72*(1+Assumption!$G$46*(Model!AJ$2-Model!AI$2))</f>
        <v>10816000</v>
      </c>
      <c r="AK72" s="141">
        <f>AJ72*(1+Assumption!$G$46*(Model!AK$2-Model!AJ$2))</f>
        <v>10816000</v>
      </c>
      <c r="AL72" s="141">
        <f>AK72*(1+Assumption!$G$46*(Model!AL$2-Model!AK$2))</f>
        <v>10816000</v>
      </c>
      <c r="AM72" s="141">
        <f>AL72*(1+Assumption!$G$46*(Model!AM$2-Model!AL$2))</f>
        <v>10816000</v>
      </c>
      <c r="AN72" s="141">
        <f>AM72*(1+Assumption!$G$46*(Model!AN$2-Model!AM$2))</f>
        <v>10816000</v>
      </c>
      <c r="AO72" s="141">
        <f>AN72*(1+Assumption!$G$46*(Model!AO$2-Model!AN$2))</f>
        <v>10816000</v>
      </c>
      <c r="AP72" s="141">
        <f>AO72*(1+Assumption!$G$46*(Model!AP$2-Model!AO$2))</f>
        <v>10816000</v>
      </c>
      <c r="AQ72" s="141">
        <f>AP72*(1+Assumption!$G$46*(Model!AQ$2-Model!AP$2))</f>
        <v>11248640</v>
      </c>
      <c r="AR72" s="141">
        <f>AQ72*(1+Assumption!$G$46*(Model!AR$2-Model!AQ$2))</f>
        <v>11248640</v>
      </c>
      <c r="AS72" s="141">
        <f>AR72*(1+Assumption!$G$46*(Model!AS$2-Model!AR$2))</f>
        <v>11248640</v>
      </c>
      <c r="AT72" s="141">
        <f>AS72*(1+Assumption!$G$46*(Model!AT$2-Model!AS$2))</f>
        <v>11248640</v>
      </c>
      <c r="AU72" s="141">
        <f>AT72*(1+Assumption!$G$46*(Model!AU$2-Model!AT$2))</f>
        <v>11248640</v>
      </c>
      <c r="AV72" s="141">
        <f>AU72*(1+Assumption!$G$46*(Model!AV$2-Model!AU$2))</f>
        <v>11248640</v>
      </c>
      <c r="AW72" s="141">
        <f>AV72*(1+Assumption!$G$46*(Model!AW$2-Model!AV$2))</f>
        <v>11248640</v>
      </c>
      <c r="AX72" s="141">
        <f>AW72*(1+Assumption!$G$46*(Model!AX$2-Model!AW$2))</f>
        <v>11248640</v>
      </c>
      <c r="AY72" s="141">
        <f>AX72*(1+Assumption!$G$46*(Model!AY$2-Model!AX$2))</f>
        <v>11248640</v>
      </c>
      <c r="AZ72" s="141">
        <f>AY72*(1+Assumption!$G$46*(Model!AZ$2-Model!AY$2))</f>
        <v>11248640</v>
      </c>
      <c r="BA72" s="141">
        <f>AZ72*(1+Assumption!$G$46*(Model!BA$2-Model!AZ$2))</f>
        <v>11248640</v>
      </c>
      <c r="BB72" s="141">
        <f>BA72*(1+Assumption!$G$46*(Model!BB$2-Model!BA$2))</f>
        <v>11248640</v>
      </c>
      <c r="BC72" s="141">
        <f>BB72*(1+Assumption!$G$46*(Model!BC$2-Model!BB$2))</f>
        <v>11698585.6</v>
      </c>
      <c r="BD72" s="141">
        <f>BC72*(1+Assumption!$G$46*(Model!BD$2-Model!BC$2))</f>
        <v>11698585.6</v>
      </c>
      <c r="BE72" s="141">
        <f>BD72*(1+Assumption!$G$46*(Model!BE$2-Model!BD$2))</f>
        <v>11698585.6</v>
      </c>
      <c r="BF72" s="141">
        <f>BE72*(1+Assumption!$G$46*(Model!BF$2-Model!BE$2))</f>
        <v>11698585.6</v>
      </c>
      <c r="BG72" s="141">
        <f>BF72*(1+Assumption!$G$46*(Model!BG$2-Model!BF$2))</f>
        <v>11698585.6</v>
      </c>
      <c r="BH72" s="141">
        <f>BG72*(1+Assumption!$G$46*(Model!BH$2-Model!BG$2))</f>
        <v>11698585.6</v>
      </c>
      <c r="BI72" s="141">
        <f>BH72*(1+Assumption!$G$46*(Model!BI$2-Model!BH$2))</f>
        <v>11698585.6</v>
      </c>
      <c r="BJ72" s="141">
        <f>BI72*(1+Assumption!$G$46*(Model!BJ$2-Model!BI$2))</f>
        <v>11698585.6</v>
      </c>
      <c r="BK72" s="141">
        <f>BJ72*(1+Assumption!$G$46*(Model!BK$2-Model!BJ$2))</f>
        <v>11698585.6</v>
      </c>
      <c r="BL72" s="141">
        <f>BK72*(1+Assumption!$G$46*(Model!BL$2-Model!BK$2))</f>
        <v>11698585.6</v>
      </c>
      <c r="BM72" s="141">
        <f>BL72*(1+Assumption!$G$46*(Model!BM$2-Model!BL$2))</f>
        <v>11698585.6</v>
      </c>
      <c r="BN72" s="141">
        <f>BM72*(1+Assumption!$G$46*(Model!BN$2-Model!BM$2))</f>
        <v>11698585.6</v>
      </c>
      <c r="BO72" s="141"/>
    </row>
    <row r="73" ht="13.5" customHeight="1" outlineLevel="1">
      <c r="A73" s="138"/>
      <c r="B73" s="139"/>
      <c r="C73" s="147" t="s">
        <v>46</v>
      </c>
      <c r="D73" s="138"/>
      <c r="E73" s="140"/>
      <c r="F73" s="141"/>
      <c r="G73" s="146">
        <f t="shared" ref="G73:BN73" si="23">SUM(G66:G72)</f>
        <v>75000000</v>
      </c>
      <c r="H73" s="146">
        <f t="shared" si="23"/>
        <v>75000000</v>
      </c>
      <c r="I73" s="146">
        <f t="shared" si="23"/>
        <v>75000000</v>
      </c>
      <c r="J73" s="146">
        <f t="shared" si="23"/>
        <v>75000000</v>
      </c>
      <c r="K73" s="146">
        <f t="shared" si="23"/>
        <v>75000000</v>
      </c>
      <c r="L73" s="146">
        <f t="shared" si="23"/>
        <v>75000000</v>
      </c>
      <c r="M73" s="146">
        <f t="shared" si="23"/>
        <v>75000000</v>
      </c>
      <c r="N73" s="146">
        <f t="shared" si="23"/>
        <v>75000000</v>
      </c>
      <c r="O73" s="146">
        <f t="shared" si="23"/>
        <v>75000000</v>
      </c>
      <c r="P73" s="146">
        <f t="shared" si="23"/>
        <v>75000000</v>
      </c>
      <c r="Q73" s="146">
        <f t="shared" si="23"/>
        <v>75000000</v>
      </c>
      <c r="R73" s="146">
        <f t="shared" si="23"/>
        <v>75000000</v>
      </c>
      <c r="S73" s="146">
        <f t="shared" si="23"/>
        <v>78000000</v>
      </c>
      <c r="T73" s="146">
        <f t="shared" si="23"/>
        <v>78000000</v>
      </c>
      <c r="U73" s="146">
        <f t="shared" si="23"/>
        <v>78000000</v>
      </c>
      <c r="V73" s="146">
        <f t="shared" si="23"/>
        <v>78000000</v>
      </c>
      <c r="W73" s="146">
        <f t="shared" si="23"/>
        <v>78000000</v>
      </c>
      <c r="X73" s="146">
        <f t="shared" si="23"/>
        <v>78000000</v>
      </c>
      <c r="Y73" s="146">
        <f t="shared" si="23"/>
        <v>78000000</v>
      </c>
      <c r="Z73" s="146">
        <f t="shared" si="23"/>
        <v>78000000</v>
      </c>
      <c r="AA73" s="146">
        <f t="shared" si="23"/>
        <v>78000000</v>
      </c>
      <c r="AB73" s="146">
        <f t="shared" si="23"/>
        <v>78000000</v>
      </c>
      <c r="AC73" s="146">
        <f t="shared" si="23"/>
        <v>78000000</v>
      </c>
      <c r="AD73" s="146">
        <f t="shared" si="23"/>
        <v>78000000</v>
      </c>
      <c r="AE73" s="146">
        <f t="shared" si="23"/>
        <v>81120000</v>
      </c>
      <c r="AF73" s="146">
        <f t="shared" si="23"/>
        <v>81120000</v>
      </c>
      <c r="AG73" s="146">
        <f t="shared" si="23"/>
        <v>81120000</v>
      </c>
      <c r="AH73" s="146">
        <f t="shared" si="23"/>
        <v>81120000</v>
      </c>
      <c r="AI73" s="146">
        <f t="shared" si="23"/>
        <v>81120000</v>
      </c>
      <c r="AJ73" s="146">
        <f t="shared" si="23"/>
        <v>81120000</v>
      </c>
      <c r="AK73" s="146">
        <f t="shared" si="23"/>
        <v>81120000</v>
      </c>
      <c r="AL73" s="146">
        <f t="shared" si="23"/>
        <v>81120000</v>
      </c>
      <c r="AM73" s="146">
        <f t="shared" si="23"/>
        <v>81120000</v>
      </c>
      <c r="AN73" s="146">
        <f t="shared" si="23"/>
        <v>81120000</v>
      </c>
      <c r="AO73" s="146">
        <f t="shared" si="23"/>
        <v>81120000</v>
      </c>
      <c r="AP73" s="146">
        <f t="shared" si="23"/>
        <v>81120000</v>
      </c>
      <c r="AQ73" s="146">
        <f t="shared" si="23"/>
        <v>84364800</v>
      </c>
      <c r="AR73" s="146">
        <f t="shared" si="23"/>
        <v>84364800</v>
      </c>
      <c r="AS73" s="146">
        <f t="shared" si="23"/>
        <v>84364800</v>
      </c>
      <c r="AT73" s="146">
        <f t="shared" si="23"/>
        <v>84364800</v>
      </c>
      <c r="AU73" s="146">
        <f t="shared" si="23"/>
        <v>84364800</v>
      </c>
      <c r="AV73" s="146">
        <f t="shared" si="23"/>
        <v>84364800</v>
      </c>
      <c r="AW73" s="146">
        <f t="shared" si="23"/>
        <v>84364800</v>
      </c>
      <c r="AX73" s="146">
        <f t="shared" si="23"/>
        <v>84364800</v>
      </c>
      <c r="AY73" s="146">
        <f t="shared" si="23"/>
        <v>84364800</v>
      </c>
      <c r="AZ73" s="146">
        <f t="shared" si="23"/>
        <v>84364800</v>
      </c>
      <c r="BA73" s="146">
        <f t="shared" si="23"/>
        <v>84364800</v>
      </c>
      <c r="BB73" s="146">
        <f t="shared" si="23"/>
        <v>84364800</v>
      </c>
      <c r="BC73" s="146">
        <f t="shared" si="23"/>
        <v>87739392</v>
      </c>
      <c r="BD73" s="146">
        <f t="shared" si="23"/>
        <v>87739392</v>
      </c>
      <c r="BE73" s="146">
        <f t="shared" si="23"/>
        <v>87739392</v>
      </c>
      <c r="BF73" s="146">
        <f t="shared" si="23"/>
        <v>87739392</v>
      </c>
      <c r="BG73" s="146">
        <f t="shared" si="23"/>
        <v>87739392</v>
      </c>
      <c r="BH73" s="146">
        <f t="shared" si="23"/>
        <v>87739392</v>
      </c>
      <c r="BI73" s="146">
        <f t="shared" si="23"/>
        <v>87739392</v>
      </c>
      <c r="BJ73" s="146">
        <f t="shared" si="23"/>
        <v>87739392</v>
      </c>
      <c r="BK73" s="146">
        <f t="shared" si="23"/>
        <v>87739392</v>
      </c>
      <c r="BL73" s="146">
        <f t="shared" si="23"/>
        <v>87739392</v>
      </c>
      <c r="BM73" s="146">
        <f t="shared" si="23"/>
        <v>87739392</v>
      </c>
      <c r="BN73" s="146">
        <f t="shared" si="23"/>
        <v>87739392</v>
      </c>
      <c r="BO73" s="146"/>
    </row>
    <row r="74" ht="13.5" customHeight="1" outlineLevel="1">
      <c r="A74" s="138"/>
      <c r="B74" s="139"/>
      <c r="C74" s="147"/>
      <c r="D74" s="138"/>
      <c r="E74" s="140"/>
      <c r="F74" s="141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6"/>
      <c r="BN74" s="146"/>
      <c r="BO74" s="146"/>
    </row>
    <row r="75" ht="13.5" customHeight="1" outlineLevel="1">
      <c r="A75" s="138"/>
      <c r="B75" s="139">
        <v>4.0</v>
      </c>
      <c r="C75" s="147" t="s">
        <v>114</v>
      </c>
      <c r="D75" s="138"/>
      <c r="E75" s="140"/>
      <c r="F75" s="141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</row>
    <row r="76" ht="13.5" customHeight="1" outlineLevel="1">
      <c r="A76" s="138"/>
      <c r="B76" s="139"/>
      <c r="C76" s="138" t="s">
        <v>117</v>
      </c>
      <c r="D76" s="138"/>
      <c r="E76" s="140"/>
      <c r="F76" s="141"/>
      <c r="G76" s="141">
        <f>G$45*Assumption!$G50</f>
        <v>58500000</v>
      </c>
      <c r="H76" s="141">
        <f>H$45*Assumption!$G50</f>
        <v>34020000</v>
      </c>
      <c r="I76" s="141">
        <f>I$45*Assumption!$G50</f>
        <v>37485000</v>
      </c>
      <c r="J76" s="141">
        <f>J$45*Assumption!$G50</f>
        <v>45360000</v>
      </c>
      <c r="K76" s="141">
        <f>K$45*Assumption!$G50</f>
        <v>48195000</v>
      </c>
      <c r="L76" s="141">
        <f>L$45*Assumption!$G50</f>
        <v>53550000</v>
      </c>
      <c r="M76" s="141">
        <f>M$45*Assumption!$G50</f>
        <v>71820000</v>
      </c>
      <c r="N76" s="141">
        <f>N$45*Assumption!$G50</f>
        <v>50400000</v>
      </c>
      <c r="O76" s="141">
        <f>O$45*Assumption!$G50</f>
        <v>20160000</v>
      </c>
      <c r="P76" s="141">
        <f>P$45*Assumption!$G50</f>
        <v>59850000</v>
      </c>
      <c r="Q76" s="141">
        <f>Q$45*Assumption!$G50</f>
        <v>53550000</v>
      </c>
      <c r="R76" s="141">
        <f>R$45*Assumption!$G50</f>
        <v>53550000</v>
      </c>
      <c r="S76" s="141">
        <f>S$45*Assumption!$G50</f>
        <v>59535000</v>
      </c>
      <c r="T76" s="141">
        <f>T$45*Assumption!$G50</f>
        <v>53550000</v>
      </c>
      <c r="U76" s="141">
        <f>U$45*Assumption!$G50</f>
        <v>56700000</v>
      </c>
      <c r="V76" s="141">
        <f>V$45*Assumption!$G50</f>
        <v>56700000</v>
      </c>
      <c r="W76" s="141">
        <f>W$45*Assumption!$G50</f>
        <v>50400000</v>
      </c>
      <c r="X76" s="141">
        <f>X$45*Assumption!$G50</f>
        <v>56700000</v>
      </c>
      <c r="Y76" s="141">
        <f>Y$45*Assumption!$G50</f>
        <v>68040000</v>
      </c>
      <c r="Z76" s="141">
        <f>Z$45*Assumption!$G50</f>
        <v>53550000</v>
      </c>
      <c r="AA76" s="141">
        <f>AA$45*Assumption!$G50</f>
        <v>21420000</v>
      </c>
      <c r="AB76" s="141">
        <f>AB$45*Assumption!$G50</f>
        <v>56700000</v>
      </c>
      <c r="AC76" s="141">
        <f>AC$45*Assumption!$G50</f>
        <v>50400000</v>
      </c>
      <c r="AD76" s="141">
        <f>AD$45*Assumption!$G50</f>
        <v>59850000</v>
      </c>
      <c r="AE76" s="141">
        <f>AE$45*Assumption!$G50</f>
        <v>56227500</v>
      </c>
      <c r="AF76" s="141">
        <f>AF$45*Assumption!$G50</f>
        <v>53550000</v>
      </c>
      <c r="AG76" s="141">
        <f>AG$45*Assumption!$G50</f>
        <v>59850000</v>
      </c>
      <c r="AH76" s="141">
        <f>AH$45*Assumption!$G50</f>
        <v>50400000</v>
      </c>
      <c r="AI76" s="141">
        <f>AI$45*Assumption!$G50</f>
        <v>56700000</v>
      </c>
      <c r="AJ76" s="141">
        <f>AJ$45*Assumption!$G50</f>
        <v>56700000</v>
      </c>
      <c r="AK76" s="141">
        <f>AK$45*Assumption!$G50</f>
        <v>60480000</v>
      </c>
      <c r="AL76" s="141">
        <f>AL$45*Assumption!$G50</f>
        <v>59850000</v>
      </c>
      <c r="AM76" s="141">
        <f>AM$45*Assumption!$G50</f>
        <v>20160000</v>
      </c>
      <c r="AN76" s="141">
        <f>AN$45*Assumption!$G50</f>
        <v>53550000</v>
      </c>
      <c r="AO76" s="141">
        <f>AO$45*Assumption!$G50</f>
        <v>53550000</v>
      </c>
      <c r="AP76" s="141">
        <f>AP$45*Assumption!$G50</f>
        <v>59850000</v>
      </c>
      <c r="AQ76" s="141">
        <f>AQ$45*Assumption!$G50</f>
        <v>52920000</v>
      </c>
      <c r="AR76" s="141">
        <f>AR$45*Assumption!$G50</f>
        <v>56700000</v>
      </c>
      <c r="AS76" s="141">
        <f>AS$45*Assumption!$G50</f>
        <v>56700000</v>
      </c>
      <c r="AT76" s="141">
        <f>AT$45*Assumption!$G50</f>
        <v>50400000</v>
      </c>
      <c r="AU76" s="141">
        <f>AU$45*Assumption!$G50</f>
        <v>59850000</v>
      </c>
      <c r="AV76" s="141">
        <f>AV$45*Assumption!$G50</f>
        <v>53550000</v>
      </c>
      <c r="AW76" s="141">
        <f>AW$45*Assumption!$G50</f>
        <v>64260000</v>
      </c>
      <c r="AX76" s="141">
        <f>AX$45*Assumption!$G50</f>
        <v>59850000</v>
      </c>
      <c r="AY76" s="141">
        <f>AY$45*Assumption!$G50</f>
        <v>20160000</v>
      </c>
      <c r="AZ76" s="141">
        <f>AZ$45*Assumption!$G50</f>
        <v>50400000</v>
      </c>
      <c r="BA76" s="141">
        <f>BA$45*Assumption!$G50</f>
        <v>56700000</v>
      </c>
      <c r="BB76" s="141">
        <f>BB$45*Assumption!$G50</f>
        <v>56700000</v>
      </c>
      <c r="BC76" s="141">
        <f>BC$45*Assumption!$G50</f>
        <v>52920000</v>
      </c>
      <c r="BD76" s="141">
        <f>BD$45*Assumption!$G50</f>
        <v>59850000</v>
      </c>
      <c r="BE76" s="141">
        <f>BE$45*Assumption!$G50</f>
        <v>53550000</v>
      </c>
      <c r="BF76" s="141">
        <f>BF$45*Assumption!$G50</f>
        <v>53550000</v>
      </c>
      <c r="BG76" s="141">
        <f>BG$45*Assumption!$G50</f>
        <v>59850000</v>
      </c>
      <c r="BH76" s="141">
        <f>BH$45*Assumption!$G50</f>
        <v>50400000</v>
      </c>
      <c r="BI76" s="141">
        <f>BI$45*Assumption!$G50</f>
        <v>68040000</v>
      </c>
      <c r="BJ76" s="141">
        <f>BJ$45*Assumption!$G50</f>
        <v>56700000</v>
      </c>
      <c r="BK76" s="141">
        <f>BK$45*Assumption!$G50</f>
        <v>20160000</v>
      </c>
      <c r="BL76" s="141">
        <f>BL$45*Assumption!$G50</f>
        <v>53550000</v>
      </c>
      <c r="BM76" s="141">
        <f>BM$45*Assumption!$G50</f>
        <v>56700000</v>
      </c>
      <c r="BN76" s="141">
        <f>BN$45*Assumption!$G50</f>
        <v>53550000</v>
      </c>
      <c r="BO76" s="141"/>
    </row>
    <row r="77" ht="13.5" customHeight="1" outlineLevel="1">
      <c r="A77" s="138"/>
      <c r="B77" s="139"/>
      <c r="C77" s="138" t="s">
        <v>118</v>
      </c>
      <c r="D77" s="138"/>
      <c r="E77" s="140"/>
      <c r="F77" s="141"/>
      <c r="G77" s="141">
        <f>G$45*Assumption!$G51</f>
        <v>11700000</v>
      </c>
      <c r="H77" s="141">
        <f>H$45*Assumption!$G51</f>
        <v>6804000</v>
      </c>
      <c r="I77" s="141">
        <f>I$45*Assumption!$G51</f>
        <v>7497000</v>
      </c>
      <c r="J77" s="141">
        <f>J$45*Assumption!$G51</f>
        <v>9072000</v>
      </c>
      <c r="K77" s="141">
        <f>K$45*Assumption!$G51</f>
        <v>9639000</v>
      </c>
      <c r="L77" s="141">
        <f>L$45*Assumption!$G51</f>
        <v>10710000</v>
      </c>
      <c r="M77" s="141">
        <f>M$45*Assumption!$G51</f>
        <v>14364000</v>
      </c>
      <c r="N77" s="141">
        <f>N$45*Assumption!$G51</f>
        <v>10080000</v>
      </c>
      <c r="O77" s="141">
        <f>O$45*Assumption!$G51</f>
        <v>4032000</v>
      </c>
      <c r="P77" s="141">
        <f>P$45*Assumption!$G51</f>
        <v>11970000</v>
      </c>
      <c r="Q77" s="141">
        <f>Q$45*Assumption!$G51</f>
        <v>10710000</v>
      </c>
      <c r="R77" s="141">
        <f>R$45*Assumption!$G51</f>
        <v>10710000</v>
      </c>
      <c r="S77" s="141">
        <f>S$45*Assumption!$G51</f>
        <v>11907000</v>
      </c>
      <c r="T77" s="141">
        <f>T$45*Assumption!$G51</f>
        <v>10710000</v>
      </c>
      <c r="U77" s="141">
        <f>U$45*Assumption!$G51</f>
        <v>11340000</v>
      </c>
      <c r="V77" s="141">
        <f>V$45*Assumption!$G51</f>
        <v>11340000</v>
      </c>
      <c r="W77" s="141">
        <f>W$45*Assumption!$G51</f>
        <v>10080000</v>
      </c>
      <c r="X77" s="141">
        <f>X$45*Assumption!$G51</f>
        <v>11340000</v>
      </c>
      <c r="Y77" s="141">
        <f>Y$45*Assumption!$G51</f>
        <v>13608000</v>
      </c>
      <c r="Z77" s="141">
        <f>Z$45*Assumption!$G51</f>
        <v>10710000</v>
      </c>
      <c r="AA77" s="141">
        <f>AA$45*Assumption!$G51</f>
        <v>4284000</v>
      </c>
      <c r="AB77" s="141">
        <f>AB$45*Assumption!$G51</f>
        <v>11340000</v>
      </c>
      <c r="AC77" s="141">
        <f>AC$45*Assumption!$G51</f>
        <v>10080000</v>
      </c>
      <c r="AD77" s="141">
        <f>AD$45*Assumption!$G51</f>
        <v>11970000</v>
      </c>
      <c r="AE77" s="141">
        <f>AE$45*Assumption!$G51</f>
        <v>11245500</v>
      </c>
      <c r="AF77" s="141">
        <f>AF$45*Assumption!$G51</f>
        <v>10710000</v>
      </c>
      <c r="AG77" s="141">
        <f>AG$45*Assumption!$G51</f>
        <v>11970000</v>
      </c>
      <c r="AH77" s="141">
        <f>AH$45*Assumption!$G51</f>
        <v>10080000</v>
      </c>
      <c r="AI77" s="141">
        <f>AI$45*Assumption!$G51</f>
        <v>11340000</v>
      </c>
      <c r="AJ77" s="141">
        <f>AJ$45*Assumption!$G51</f>
        <v>11340000</v>
      </c>
      <c r="AK77" s="141">
        <f>AK$45*Assumption!$G51</f>
        <v>12096000</v>
      </c>
      <c r="AL77" s="141">
        <f>AL$45*Assumption!$G51</f>
        <v>11970000</v>
      </c>
      <c r="AM77" s="141">
        <f>AM$45*Assumption!$G51</f>
        <v>4032000</v>
      </c>
      <c r="AN77" s="141">
        <f>AN$45*Assumption!$G51</f>
        <v>10710000</v>
      </c>
      <c r="AO77" s="141">
        <f>AO$45*Assumption!$G51</f>
        <v>10710000</v>
      </c>
      <c r="AP77" s="141">
        <f>AP$45*Assumption!$G51</f>
        <v>11970000</v>
      </c>
      <c r="AQ77" s="141">
        <f>AQ$45*Assumption!$G51</f>
        <v>10584000</v>
      </c>
      <c r="AR77" s="141">
        <f>AR$45*Assumption!$G51</f>
        <v>11340000</v>
      </c>
      <c r="AS77" s="141">
        <f>AS$45*Assumption!$G51</f>
        <v>11340000</v>
      </c>
      <c r="AT77" s="141">
        <f>AT$45*Assumption!$G51</f>
        <v>10080000</v>
      </c>
      <c r="AU77" s="141">
        <f>AU$45*Assumption!$G51</f>
        <v>11970000</v>
      </c>
      <c r="AV77" s="141">
        <f>AV$45*Assumption!$G51</f>
        <v>10710000</v>
      </c>
      <c r="AW77" s="141">
        <f>AW$45*Assumption!$G51</f>
        <v>12852000</v>
      </c>
      <c r="AX77" s="141">
        <f>AX$45*Assumption!$G51</f>
        <v>11970000</v>
      </c>
      <c r="AY77" s="141">
        <f>AY$45*Assumption!$G51</f>
        <v>4032000</v>
      </c>
      <c r="AZ77" s="141">
        <f>AZ$45*Assumption!$G51</f>
        <v>10080000</v>
      </c>
      <c r="BA77" s="141">
        <f>BA$45*Assumption!$G51</f>
        <v>11340000</v>
      </c>
      <c r="BB77" s="141">
        <f>BB$45*Assumption!$G51</f>
        <v>11340000</v>
      </c>
      <c r="BC77" s="141">
        <f>BC$45*Assumption!$G51</f>
        <v>10584000</v>
      </c>
      <c r="BD77" s="141">
        <f>BD$45*Assumption!$G51</f>
        <v>11970000</v>
      </c>
      <c r="BE77" s="141">
        <f>BE$45*Assumption!$G51</f>
        <v>10710000</v>
      </c>
      <c r="BF77" s="141">
        <f>BF$45*Assumption!$G51</f>
        <v>10710000</v>
      </c>
      <c r="BG77" s="141">
        <f>BG$45*Assumption!$G51</f>
        <v>11970000</v>
      </c>
      <c r="BH77" s="141">
        <f>BH$45*Assumption!$G51</f>
        <v>10080000</v>
      </c>
      <c r="BI77" s="141">
        <f>BI$45*Assumption!$G51</f>
        <v>13608000</v>
      </c>
      <c r="BJ77" s="141">
        <f>BJ$45*Assumption!$G51</f>
        <v>11340000</v>
      </c>
      <c r="BK77" s="141">
        <f>BK$45*Assumption!$G51</f>
        <v>4032000</v>
      </c>
      <c r="BL77" s="141">
        <f>BL$45*Assumption!$G51</f>
        <v>10710000</v>
      </c>
      <c r="BM77" s="141">
        <f>BM$45*Assumption!$G51</f>
        <v>11340000</v>
      </c>
      <c r="BN77" s="141">
        <f>BN$45*Assumption!$G51</f>
        <v>10710000</v>
      </c>
      <c r="BO77" s="141"/>
    </row>
    <row r="78" ht="13.5" customHeight="1" outlineLevel="1">
      <c r="A78" s="147"/>
      <c r="B78" s="139"/>
      <c r="C78" s="147" t="s">
        <v>46</v>
      </c>
      <c r="D78" s="147"/>
      <c r="E78" s="148"/>
      <c r="F78" s="146"/>
      <c r="G78" s="146">
        <f t="shared" ref="G78:BN78" si="24">SUM(G76:G77)</f>
        <v>70200000</v>
      </c>
      <c r="H78" s="146">
        <f t="shared" si="24"/>
        <v>40824000</v>
      </c>
      <c r="I78" s="146">
        <f t="shared" si="24"/>
        <v>44982000</v>
      </c>
      <c r="J78" s="146">
        <f t="shared" si="24"/>
        <v>54432000</v>
      </c>
      <c r="K78" s="146">
        <f t="shared" si="24"/>
        <v>57834000</v>
      </c>
      <c r="L78" s="146">
        <f t="shared" si="24"/>
        <v>64260000</v>
      </c>
      <c r="M78" s="146">
        <f t="shared" si="24"/>
        <v>86184000</v>
      </c>
      <c r="N78" s="146">
        <f t="shared" si="24"/>
        <v>60480000</v>
      </c>
      <c r="O78" s="146">
        <f t="shared" si="24"/>
        <v>24192000</v>
      </c>
      <c r="P78" s="146">
        <f t="shared" si="24"/>
        <v>71820000</v>
      </c>
      <c r="Q78" s="146">
        <f t="shared" si="24"/>
        <v>64260000</v>
      </c>
      <c r="R78" s="146">
        <f t="shared" si="24"/>
        <v>64260000</v>
      </c>
      <c r="S78" s="146">
        <f t="shared" si="24"/>
        <v>71442000</v>
      </c>
      <c r="T78" s="146">
        <f t="shared" si="24"/>
        <v>64260000</v>
      </c>
      <c r="U78" s="146">
        <f t="shared" si="24"/>
        <v>68040000</v>
      </c>
      <c r="V78" s="146">
        <f t="shared" si="24"/>
        <v>68040000</v>
      </c>
      <c r="W78" s="146">
        <f t="shared" si="24"/>
        <v>60480000</v>
      </c>
      <c r="X78" s="146">
        <f t="shared" si="24"/>
        <v>68040000</v>
      </c>
      <c r="Y78" s="146">
        <f t="shared" si="24"/>
        <v>81648000</v>
      </c>
      <c r="Z78" s="146">
        <f t="shared" si="24"/>
        <v>64260000</v>
      </c>
      <c r="AA78" s="146">
        <f t="shared" si="24"/>
        <v>25704000</v>
      </c>
      <c r="AB78" s="146">
        <f t="shared" si="24"/>
        <v>68040000</v>
      </c>
      <c r="AC78" s="146">
        <f t="shared" si="24"/>
        <v>60480000</v>
      </c>
      <c r="AD78" s="146">
        <f t="shared" si="24"/>
        <v>71820000</v>
      </c>
      <c r="AE78" s="146">
        <f t="shared" si="24"/>
        <v>67473000</v>
      </c>
      <c r="AF78" s="146">
        <f t="shared" si="24"/>
        <v>64260000</v>
      </c>
      <c r="AG78" s="146">
        <f t="shared" si="24"/>
        <v>71820000</v>
      </c>
      <c r="AH78" s="146">
        <f t="shared" si="24"/>
        <v>60480000</v>
      </c>
      <c r="AI78" s="146">
        <f t="shared" si="24"/>
        <v>68040000</v>
      </c>
      <c r="AJ78" s="146">
        <f t="shared" si="24"/>
        <v>68040000</v>
      </c>
      <c r="AK78" s="146">
        <f t="shared" si="24"/>
        <v>72576000</v>
      </c>
      <c r="AL78" s="146">
        <f t="shared" si="24"/>
        <v>71820000</v>
      </c>
      <c r="AM78" s="146">
        <f t="shared" si="24"/>
        <v>24192000</v>
      </c>
      <c r="AN78" s="146">
        <f t="shared" si="24"/>
        <v>64260000</v>
      </c>
      <c r="AO78" s="146">
        <f t="shared" si="24"/>
        <v>64260000</v>
      </c>
      <c r="AP78" s="146">
        <f t="shared" si="24"/>
        <v>71820000</v>
      </c>
      <c r="AQ78" s="146">
        <f t="shared" si="24"/>
        <v>63504000</v>
      </c>
      <c r="AR78" s="146">
        <f t="shared" si="24"/>
        <v>68040000</v>
      </c>
      <c r="AS78" s="146">
        <f t="shared" si="24"/>
        <v>68040000</v>
      </c>
      <c r="AT78" s="146">
        <f t="shared" si="24"/>
        <v>60480000</v>
      </c>
      <c r="AU78" s="146">
        <f t="shared" si="24"/>
        <v>71820000</v>
      </c>
      <c r="AV78" s="146">
        <f t="shared" si="24"/>
        <v>64260000</v>
      </c>
      <c r="AW78" s="146">
        <f t="shared" si="24"/>
        <v>77112000</v>
      </c>
      <c r="AX78" s="146">
        <f t="shared" si="24"/>
        <v>71820000</v>
      </c>
      <c r="AY78" s="146">
        <f t="shared" si="24"/>
        <v>24192000</v>
      </c>
      <c r="AZ78" s="146">
        <f t="shared" si="24"/>
        <v>60480000</v>
      </c>
      <c r="BA78" s="146">
        <f t="shared" si="24"/>
        <v>68040000</v>
      </c>
      <c r="BB78" s="146">
        <f t="shared" si="24"/>
        <v>68040000</v>
      </c>
      <c r="BC78" s="146">
        <f t="shared" si="24"/>
        <v>63504000</v>
      </c>
      <c r="BD78" s="146">
        <f t="shared" si="24"/>
        <v>71820000</v>
      </c>
      <c r="BE78" s="146">
        <f t="shared" si="24"/>
        <v>64260000</v>
      </c>
      <c r="BF78" s="146">
        <f t="shared" si="24"/>
        <v>64260000</v>
      </c>
      <c r="BG78" s="146">
        <f t="shared" si="24"/>
        <v>71820000</v>
      </c>
      <c r="BH78" s="146">
        <f t="shared" si="24"/>
        <v>60480000</v>
      </c>
      <c r="BI78" s="146">
        <f t="shared" si="24"/>
        <v>81648000</v>
      </c>
      <c r="BJ78" s="146">
        <f t="shared" si="24"/>
        <v>68040000</v>
      </c>
      <c r="BK78" s="146">
        <f t="shared" si="24"/>
        <v>24192000</v>
      </c>
      <c r="BL78" s="146">
        <f t="shared" si="24"/>
        <v>64260000</v>
      </c>
      <c r="BM78" s="146">
        <f t="shared" si="24"/>
        <v>68040000</v>
      </c>
      <c r="BN78" s="146">
        <f t="shared" si="24"/>
        <v>64260000</v>
      </c>
      <c r="BO78" s="146"/>
    </row>
    <row r="79" ht="13.5" customHeight="1" outlineLevel="1">
      <c r="A79" s="138"/>
      <c r="B79" s="139"/>
      <c r="C79" s="147"/>
      <c r="D79" s="138"/>
      <c r="E79" s="140"/>
      <c r="F79" s="141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146"/>
      <c r="BN79" s="146"/>
      <c r="BO79" s="146"/>
    </row>
    <row r="80" ht="13.5" customHeight="1" outlineLevel="1">
      <c r="A80" s="138"/>
      <c r="B80" s="139">
        <v>5.0</v>
      </c>
      <c r="C80" s="147" t="s">
        <v>162</v>
      </c>
      <c r="D80" s="138"/>
      <c r="E80" s="140">
        <v>0.0</v>
      </c>
      <c r="F80" s="141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146"/>
      <c r="BN80" s="146"/>
      <c r="BO80" s="146"/>
    </row>
    <row r="81" ht="13.5" customHeight="1" outlineLevel="1">
      <c r="A81" s="138"/>
      <c r="B81" s="139"/>
      <c r="C81" s="147"/>
      <c r="D81" s="138"/>
      <c r="E81" s="140"/>
      <c r="F81" s="141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</row>
    <row r="82" ht="13.5" customHeight="1" outlineLevel="1">
      <c r="A82" s="138"/>
      <c r="B82" s="139">
        <v>6.0</v>
      </c>
      <c r="C82" s="147" t="s">
        <v>163</v>
      </c>
      <c r="D82" s="138"/>
      <c r="E82" s="140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41"/>
      <c r="AN82" s="141"/>
      <c r="AO82" s="141"/>
      <c r="AP82" s="141"/>
      <c r="AQ82" s="141"/>
      <c r="AR82" s="141"/>
      <c r="AS82" s="141"/>
      <c r="AT82" s="141"/>
      <c r="AU82" s="141"/>
      <c r="AV82" s="141"/>
      <c r="AW82" s="141"/>
      <c r="AX82" s="141"/>
      <c r="AY82" s="141"/>
      <c r="AZ82" s="141"/>
      <c r="BA82" s="141"/>
      <c r="BB82" s="141"/>
      <c r="BC82" s="141"/>
      <c r="BD82" s="141"/>
      <c r="BE82" s="141"/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</row>
    <row r="83" ht="13.5" customHeight="1" outlineLevel="1">
      <c r="A83" s="138"/>
      <c r="B83" s="139"/>
      <c r="C83" s="138" t="s">
        <v>164</v>
      </c>
      <c r="D83" s="138"/>
      <c r="E83" s="159">
        <f>Capex!E31</f>
        <v>4061841703</v>
      </c>
      <c r="F83" s="141"/>
      <c r="G83" s="141">
        <f>E83</f>
        <v>4061841703</v>
      </c>
      <c r="H83" s="141">
        <f t="shared" ref="H83:BN83" si="25">G85</f>
        <v>3994144341</v>
      </c>
      <c r="I83" s="141">
        <f t="shared" si="25"/>
        <v>3926446979</v>
      </c>
      <c r="J83" s="141">
        <f t="shared" si="25"/>
        <v>3858749617</v>
      </c>
      <c r="K83" s="141">
        <f t="shared" si="25"/>
        <v>3791052256</v>
      </c>
      <c r="L83" s="141">
        <f t="shared" si="25"/>
        <v>3723354894</v>
      </c>
      <c r="M83" s="141">
        <f t="shared" si="25"/>
        <v>3655657532</v>
      </c>
      <c r="N83" s="141">
        <f t="shared" si="25"/>
        <v>3587960171</v>
      </c>
      <c r="O83" s="141">
        <f t="shared" si="25"/>
        <v>3520262809</v>
      </c>
      <c r="P83" s="141">
        <f t="shared" si="25"/>
        <v>3452565447</v>
      </c>
      <c r="Q83" s="141">
        <f t="shared" si="25"/>
        <v>3384868085</v>
      </c>
      <c r="R83" s="141">
        <f t="shared" si="25"/>
        <v>3317170724</v>
      </c>
      <c r="S83" s="141">
        <f t="shared" si="25"/>
        <v>3249473362</v>
      </c>
      <c r="T83" s="141">
        <f t="shared" si="25"/>
        <v>3181776000</v>
      </c>
      <c r="U83" s="141">
        <f t="shared" si="25"/>
        <v>3114078639</v>
      </c>
      <c r="V83" s="141">
        <f t="shared" si="25"/>
        <v>3046381277</v>
      </c>
      <c r="W83" s="141">
        <f t="shared" si="25"/>
        <v>2978683915</v>
      </c>
      <c r="X83" s="141">
        <f t="shared" si="25"/>
        <v>2910986554</v>
      </c>
      <c r="Y83" s="141">
        <f t="shared" si="25"/>
        <v>2843289192</v>
      </c>
      <c r="Z83" s="141">
        <f t="shared" si="25"/>
        <v>2775591830</v>
      </c>
      <c r="AA83" s="141">
        <f t="shared" si="25"/>
        <v>2707894468</v>
      </c>
      <c r="AB83" s="141">
        <f t="shared" si="25"/>
        <v>2640197107</v>
      </c>
      <c r="AC83" s="141">
        <f t="shared" si="25"/>
        <v>2572499745</v>
      </c>
      <c r="AD83" s="141">
        <f t="shared" si="25"/>
        <v>2504802383</v>
      </c>
      <c r="AE83" s="141">
        <f t="shared" si="25"/>
        <v>2437105022</v>
      </c>
      <c r="AF83" s="141">
        <f t="shared" si="25"/>
        <v>2369407660</v>
      </c>
      <c r="AG83" s="141">
        <f t="shared" si="25"/>
        <v>2301710298</v>
      </c>
      <c r="AH83" s="141">
        <f t="shared" si="25"/>
        <v>2234012936</v>
      </c>
      <c r="AI83" s="141">
        <f t="shared" si="25"/>
        <v>2166315575</v>
      </c>
      <c r="AJ83" s="141">
        <f t="shared" si="25"/>
        <v>2098618213</v>
      </c>
      <c r="AK83" s="141">
        <f t="shared" si="25"/>
        <v>2030920851</v>
      </c>
      <c r="AL83" s="141">
        <f t="shared" si="25"/>
        <v>1963223490</v>
      </c>
      <c r="AM83" s="141">
        <f t="shared" si="25"/>
        <v>1895526128</v>
      </c>
      <c r="AN83" s="141">
        <f t="shared" si="25"/>
        <v>1827828766</v>
      </c>
      <c r="AO83" s="141">
        <f t="shared" si="25"/>
        <v>1760131404</v>
      </c>
      <c r="AP83" s="141">
        <f t="shared" si="25"/>
        <v>1692434043</v>
      </c>
      <c r="AQ83" s="141">
        <f t="shared" si="25"/>
        <v>1624736681</v>
      </c>
      <c r="AR83" s="141">
        <f t="shared" si="25"/>
        <v>1557039319</v>
      </c>
      <c r="AS83" s="141">
        <f t="shared" si="25"/>
        <v>1489341958</v>
      </c>
      <c r="AT83" s="141">
        <f t="shared" si="25"/>
        <v>1421644596</v>
      </c>
      <c r="AU83" s="141">
        <f t="shared" si="25"/>
        <v>1353947234</v>
      </c>
      <c r="AV83" s="141">
        <f t="shared" si="25"/>
        <v>1286249872</v>
      </c>
      <c r="AW83" s="141">
        <f t="shared" si="25"/>
        <v>1218552511</v>
      </c>
      <c r="AX83" s="141">
        <f t="shared" si="25"/>
        <v>1150855149</v>
      </c>
      <c r="AY83" s="141">
        <f t="shared" si="25"/>
        <v>1083157787</v>
      </c>
      <c r="AZ83" s="141">
        <f t="shared" si="25"/>
        <v>1015460426</v>
      </c>
      <c r="BA83" s="141">
        <f t="shared" si="25"/>
        <v>947763063.9</v>
      </c>
      <c r="BB83" s="141">
        <f t="shared" si="25"/>
        <v>880065702.2</v>
      </c>
      <c r="BC83" s="141">
        <f t="shared" si="25"/>
        <v>812368340.5</v>
      </c>
      <c r="BD83" s="141">
        <f t="shared" si="25"/>
        <v>744670978.8</v>
      </c>
      <c r="BE83" s="141">
        <f t="shared" si="25"/>
        <v>676973617.1</v>
      </c>
      <c r="BF83" s="141">
        <f t="shared" si="25"/>
        <v>609276255.4</v>
      </c>
      <c r="BG83" s="141">
        <f t="shared" si="25"/>
        <v>541578893.7</v>
      </c>
      <c r="BH83" s="141">
        <f t="shared" si="25"/>
        <v>473881532</v>
      </c>
      <c r="BI83" s="141">
        <f t="shared" si="25"/>
        <v>406184170.3</v>
      </c>
      <c r="BJ83" s="141">
        <f t="shared" si="25"/>
        <v>338486808.5</v>
      </c>
      <c r="BK83" s="141">
        <f t="shared" si="25"/>
        <v>270789446.8</v>
      </c>
      <c r="BL83" s="141">
        <f t="shared" si="25"/>
        <v>203092085.1</v>
      </c>
      <c r="BM83" s="141">
        <f t="shared" si="25"/>
        <v>135394723.4</v>
      </c>
      <c r="BN83" s="141">
        <f t="shared" si="25"/>
        <v>67697361.71</v>
      </c>
      <c r="BO83" s="141"/>
    </row>
    <row r="84" ht="13.5" customHeight="1" outlineLevel="1">
      <c r="A84" s="138"/>
      <c r="B84" s="139"/>
      <c r="C84" s="138" t="s">
        <v>165</v>
      </c>
      <c r="D84" s="138"/>
      <c r="E84" s="160">
        <v>5.0</v>
      </c>
      <c r="F84" s="141"/>
      <c r="G84" s="141">
        <f t="shared" ref="G84:BN84" si="26">MIN(G83,$E83/$E84/12)</f>
        <v>67697361.71</v>
      </c>
      <c r="H84" s="141">
        <f t="shared" si="26"/>
        <v>67697361.71</v>
      </c>
      <c r="I84" s="141">
        <f t="shared" si="26"/>
        <v>67697361.71</v>
      </c>
      <c r="J84" s="141">
        <f t="shared" si="26"/>
        <v>67697361.71</v>
      </c>
      <c r="K84" s="141">
        <f t="shared" si="26"/>
        <v>67697361.71</v>
      </c>
      <c r="L84" s="141">
        <f t="shared" si="26"/>
        <v>67697361.71</v>
      </c>
      <c r="M84" s="141">
        <f t="shared" si="26"/>
        <v>67697361.71</v>
      </c>
      <c r="N84" s="141">
        <f t="shared" si="26"/>
        <v>67697361.71</v>
      </c>
      <c r="O84" s="141">
        <f t="shared" si="26"/>
        <v>67697361.71</v>
      </c>
      <c r="P84" s="141">
        <f t="shared" si="26"/>
        <v>67697361.71</v>
      </c>
      <c r="Q84" s="141">
        <f t="shared" si="26"/>
        <v>67697361.71</v>
      </c>
      <c r="R84" s="141">
        <f t="shared" si="26"/>
        <v>67697361.71</v>
      </c>
      <c r="S84" s="141">
        <f t="shared" si="26"/>
        <v>67697361.71</v>
      </c>
      <c r="T84" s="141">
        <f t="shared" si="26"/>
        <v>67697361.71</v>
      </c>
      <c r="U84" s="141">
        <f t="shared" si="26"/>
        <v>67697361.71</v>
      </c>
      <c r="V84" s="141">
        <f t="shared" si="26"/>
        <v>67697361.71</v>
      </c>
      <c r="W84" s="141">
        <f t="shared" si="26"/>
        <v>67697361.71</v>
      </c>
      <c r="X84" s="141">
        <f t="shared" si="26"/>
        <v>67697361.71</v>
      </c>
      <c r="Y84" s="141">
        <f t="shared" si="26"/>
        <v>67697361.71</v>
      </c>
      <c r="Z84" s="141">
        <f t="shared" si="26"/>
        <v>67697361.71</v>
      </c>
      <c r="AA84" s="141">
        <f t="shared" si="26"/>
        <v>67697361.71</v>
      </c>
      <c r="AB84" s="141">
        <f t="shared" si="26"/>
        <v>67697361.71</v>
      </c>
      <c r="AC84" s="141">
        <f t="shared" si="26"/>
        <v>67697361.71</v>
      </c>
      <c r="AD84" s="141">
        <f t="shared" si="26"/>
        <v>67697361.71</v>
      </c>
      <c r="AE84" s="141">
        <f t="shared" si="26"/>
        <v>67697361.71</v>
      </c>
      <c r="AF84" s="141">
        <f t="shared" si="26"/>
        <v>67697361.71</v>
      </c>
      <c r="AG84" s="141">
        <f t="shared" si="26"/>
        <v>67697361.71</v>
      </c>
      <c r="AH84" s="141">
        <f t="shared" si="26"/>
        <v>67697361.71</v>
      </c>
      <c r="AI84" s="141">
        <f t="shared" si="26"/>
        <v>67697361.71</v>
      </c>
      <c r="AJ84" s="141">
        <f t="shared" si="26"/>
        <v>67697361.71</v>
      </c>
      <c r="AK84" s="141">
        <f t="shared" si="26"/>
        <v>67697361.71</v>
      </c>
      <c r="AL84" s="141">
        <f t="shared" si="26"/>
        <v>67697361.71</v>
      </c>
      <c r="AM84" s="141">
        <f t="shared" si="26"/>
        <v>67697361.71</v>
      </c>
      <c r="AN84" s="141">
        <f t="shared" si="26"/>
        <v>67697361.71</v>
      </c>
      <c r="AO84" s="141">
        <f t="shared" si="26"/>
        <v>67697361.71</v>
      </c>
      <c r="AP84" s="141">
        <f t="shared" si="26"/>
        <v>67697361.71</v>
      </c>
      <c r="AQ84" s="141">
        <f t="shared" si="26"/>
        <v>67697361.71</v>
      </c>
      <c r="AR84" s="141">
        <f t="shared" si="26"/>
        <v>67697361.71</v>
      </c>
      <c r="AS84" s="141">
        <f t="shared" si="26"/>
        <v>67697361.71</v>
      </c>
      <c r="AT84" s="141">
        <f t="shared" si="26"/>
        <v>67697361.71</v>
      </c>
      <c r="AU84" s="141">
        <f t="shared" si="26"/>
        <v>67697361.71</v>
      </c>
      <c r="AV84" s="141">
        <f t="shared" si="26"/>
        <v>67697361.71</v>
      </c>
      <c r="AW84" s="141">
        <f t="shared" si="26"/>
        <v>67697361.71</v>
      </c>
      <c r="AX84" s="141">
        <f t="shared" si="26"/>
        <v>67697361.71</v>
      </c>
      <c r="AY84" s="141">
        <f t="shared" si="26"/>
        <v>67697361.71</v>
      </c>
      <c r="AZ84" s="141">
        <f t="shared" si="26"/>
        <v>67697361.71</v>
      </c>
      <c r="BA84" s="141">
        <f t="shared" si="26"/>
        <v>67697361.71</v>
      </c>
      <c r="BB84" s="141">
        <f t="shared" si="26"/>
        <v>67697361.71</v>
      </c>
      <c r="BC84" s="141">
        <f t="shared" si="26"/>
        <v>67697361.71</v>
      </c>
      <c r="BD84" s="141">
        <f t="shared" si="26"/>
        <v>67697361.71</v>
      </c>
      <c r="BE84" s="141">
        <f t="shared" si="26"/>
        <v>67697361.71</v>
      </c>
      <c r="BF84" s="141">
        <f t="shared" si="26"/>
        <v>67697361.71</v>
      </c>
      <c r="BG84" s="141">
        <f t="shared" si="26"/>
        <v>67697361.71</v>
      </c>
      <c r="BH84" s="141">
        <f t="shared" si="26"/>
        <v>67697361.71</v>
      </c>
      <c r="BI84" s="141">
        <f t="shared" si="26"/>
        <v>67697361.71</v>
      </c>
      <c r="BJ84" s="141">
        <f t="shared" si="26"/>
        <v>67697361.71</v>
      </c>
      <c r="BK84" s="141">
        <f t="shared" si="26"/>
        <v>67697361.71</v>
      </c>
      <c r="BL84" s="141">
        <f t="shared" si="26"/>
        <v>67697361.71</v>
      </c>
      <c r="BM84" s="141">
        <f t="shared" si="26"/>
        <v>67697361.71</v>
      </c>
      <c r="BN84" s="141">
        <f t="shared" si="26"/>
        <v>67697361.71</v>
      </c>
      <c r="BO84" s="141"/>
    </row>
    <row r="85" ht="13.5" customHeight="1" outlineLevel="1">
      <c r="A85" s="138"/>
      <c r="B85" s="139"/>
      <c r="C85" s="138" t="s">
        <v>166</v>
      </c>
      <c r="D85" s="138"/>
      <c r="E85" s="140"/>
      <c r="F85" s="141"/>
      <c r="G85" s="141">
        <f t="shared" ref="G85:BN85" si="27">G83-G84</f>
        <v>3994144341</v>
      </c>
      <c r="H85" s="141">
        <f t="shared" si="27"/>
        <v>3926446979</v>
      </c>
      <c r="I85" s="141">
        <f t="shared" si="27"/>
        <v>3858749617</v>
      </c>
      <c r="J85" s="141">
        <f t="shared" si="27"/>
        <v>3791052256</v>
      </c>
      <c r="K85" s="141">
        <f t="shared" si="27"/>
        <v>3723354894</v>
      </c>
      <c r="L85" s="141">
        <f t="shared" si="27"/>
        <v>3655657532</v>
      </c>
      <c r="M85" s="141">
        <f t="shared" si="27"/>
        <v>3587960171</v>
      </c>
      <c r="N85" s="141">
        <f t="shared" si="27"/>
        <v>3520262809</v>
      </c>
      <c r="O85" s="141">
        <f t="shared" si="27"/>
        <v>3452565447</v>
      </c>
      <c r="P85" s="141">
        <f t="shared" si="27"/>
        <v>3384868085</v>
      </c>
      <c r="Q85" s="141">
        <f t="shared" si="27"/>
        <v>3317170724</v>
      </c>
      <c r="R85" s="141">
        <f t="shared" si="27"/>
        <v>3249473362</v>
      </c>
      <c r="S85" s="141">
        <f t="shared" si="27"/>
        <v>3181776000</v>
      </c>
      <c r="T85" s="141">
        <f t="shared" si="27"/>
        <v>3114078639</v>
      </c>
      <c r="U85" s="141">
        <f t="shared" si="27"/>
        <v>3046381277</v>
      </c>
      <c r="V85" s="141">
        <f t="shared" si="27"/>
        <v>2978683915</v>
      </c>
      <c r="W85" s="141">
        <f t="shared" si="27"/>
        <v>2910986554</v>
      </c>
      <c r="X85" s="141">
        <f t="shared" si="27"/>
        <v>2843289192</v>
      </c>
      <c r="Y85" s="141">
        <f t="shared" si="27"/>
        <v>2775591830</v>
      </c>
      <c r="Z85" s="141">
        <f t="shared" si="27"/>
        <v>2707894468</v>
      </c>
      <c r="AA85" s="141">
        <f t="shared" si="27"/>
        <v>2640197107</v>
      </c>
      <c r="AB85" s="141">
        <f t="shared" si="27"/>
        <v>2572499745</v>
      </c>
      <c r="AC85" s="141">
        <f t="shared" si="27"/>
        <v>2504802383</v>
      </c>
      <c r="AD85" s="141">
        <f t="shared" si="27"/>
        <v>2437105022</v>
      </c>
      <c r="AE85" s="141">
        <f t="shared" si="27"/>
        <v>2369407660</v>
      </c>
      <c r="AF85" s="141">
        <f t="shared" si="27"/>
        <v>2301710298</v>
      </c>
      <c r="AG85" s="141">
        <f t="shared" si="27"/>
        <v>2234012936</v>
      </c>
      <c r="AH85" s="141">
        <f t="shared" si="27"/>
        <v>2166315575</v>
      </c>
      <c r="AI85" s="141">
        <f t="shared" si="27"/>
        <v>2098618213</v>
      </c>
      <c r="AJ85" s="141">
        <f t="shared" si="27"/>
        <v>2030920851</v>
      </c>
      <c r="AK85" s="141">
        <f t="shared" si="27"/>
        <v>1963223490</v>
      </c>
      <c r="AL85" s="141">
        <f t="shared" si="27"/>
        <v>1895526128</v>
      </c>
      <c r="AM85" s="141">
        <f t="shared" si="27"/>
        <v>1827828766</v>
      </c>
      <c r="AN85" s="141">
        <f t="shared" si="27"/>
        <v>1760131404</v>
      </c>
      <c r="AO85" s="141">
        <f t="shared" si="27"/>
        <v>1692434043</v>
      </c>
      <c r="AP85" s="141">
        <f t="shared" si="27"/>
        <v>1624736681</v>
      </c>
      <c r="AQ85" s="141">
        <f t="shared" si="27"/>
        <v>1557039319</v>
      </c>
      <c r="AR85" s="141">
        <f t="shared" si="27"/>
        <v>1489341958</v>
      </c>
      <c r="AS85" s="141">
        <f t="shared" si="27"/>
        <v>1421644596</v>
      </c>
      <c r="AT85" s="141">
        <f t="shared" si="27"/>
        <v>1353947234</v>
      </c>
      <c r="AU85" s="141">
        <f t="shared" si="27"/>
        <v>1286249872</v>
      </c>
      <c r="AV85" s="141">
        <f t="shared" si="27"/>
        <v>1218552511</v>
      </c>
      <c r="AW85" s="141">
        <f t="shared" si="27"/>
        <v>1150855149</v>
      </c>
      <c r="AX85" s="141">
        <f t="shared" si="27"/>
        <v>1083157787</v>
      </c>
      <c r="AY85" s="141">
        <f t="shared" si="27"/>
        <v>1015460426</v>
      </c>
      <c r="AZ85" s="141">
        <f t="shared" si="27"/>
        <v>947763063.9</v>
      </c>
      <c r="BA85" s="141">
        <f t="shared" si="27"/>
        <v>880065702.2</v>
      </c>
      <c r="BB85" s="141">
        <f t="shared" si="27"/>
        <v>812368340.5</v>
      </c>
      <c r="BC85" s="141">
        <f t="shared" si="27"/>
        <v>744670978.8</v>
      </c>
      <c r="BD85" s="141">
        <f t="shared" si="27"/>
        <v>676973617.1</v>
      </c>
      <c r="BE85" s="141">
        <f t="shared" si="27"/>
        <v>609276255.4</v>
      </c>
      <c r="BF85" s="141">
        <f t="shared" si="27"/>
        <v>541578893.7</v>
      </c>
      <c r="BG85" s="141">
        <f t="shared" si="27"/>
        <v>473881532</v>
      </c>
      <c r="BH85" s="141">
        <f t="shared" si="27"/>
        <v>406184170.3</v>
      </c>
      <c r="BI85" s="141">
        <f t="shared" si="27"/>
        <v>338486808.5</v>
      </c>
      <c r="BJ85" s="141">
        <f t="shared" si="27"/>
        <v>270789446.8</v>
      </c>
      <c r="BK85" s="141">
        <f t="shared" si="27"/>
        <v>203092085.1</v>
      </c>
      <c r="BL85" s="141">
        <f t="shared" si="27"/>
        <v>135394723.4</v>
      </c>
      <c r="BM85" s="141">
        <f t="shared" si="27"/>
        <v>67697361.71</v>
      </c>
      <c r="BN85" s="141">
        <f t="shared" si="27"/>
        <v>0.000004321336746</v>
      </c>
      <c r="BO85" s="141"/>
    </row>
    <row r="86" ht="13.5" customHeight="1" outlineLevel="1">
      <c r="A86" s="138"/>
      <c r="B86" s="139"/>
      <c r="C86" s="147"/>
      <c r="D86" s="138"/>
      <c r="E86" s="140"/>
      <c r="F86" s="141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</row>
    <row r="87" ht="13.5" customHeight="1" outlineLevel="1">
      <c r="A87" s="138"/>
      <c r="B87" s="139">
        <v>7.0</v>
      </c>
      <c r="C87" s="147" t="s">
        <v>167</v>
      </c>
      <c r="D87" s="138"/>
      <c r="E87" s="140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141"/>
      <c r="AW87" s="141"/>
      <c r="AX87" s="141"/>
      <c r="AY87" s="141"/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</row>
    <row r="88" ht="13.5" customHeight="1" outlineLevel="1">
      <c r="A88" s="138"/>
      <c r="B88" s="139"/>
      <c r="C88" s="138" t="s">
        <v>164</v>
      </c>
      <c r="D88" s="138"/>
      <c r="E88" s="159">
        <f>Capex!E33</f>
        <v>0</v>
      </c>
      <c r="F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>
        <f>E88</f>
        <v>0</v>
      </c>
      <c r="T88" s="141">
        <f t="shared" ref="T88:BN88" si="28">S90</f>
        <v>0</v>
      </c>
      <c r="U88" s="141">
        <f t="shared" si="28"/>
        <v>0</v>
      </c>
      <c r="V88" s="141">
        <f t="shared" si="28"/>
        <v>0</v>
      </c>
      <c r="W88" s="141">
        <f t="shared" si="28"/>
        <v>0</v>
      </c>
      <c r="X88" s="141">
        <f t="shared" si="28"/>
        <v>0</v>
      </c>
      <c r="Y88" s="141">
        <f t="shared" si="28"/>
        <v>0</v>
      </c>
      <c r="Z88" s="141">
        <f t="shared" si="28"/>
        <v>0</v>
      </c>
      <c r="AA88" s="141">
        <f t="shared" si="28"/>
        <v>0</v>
      </c>
      <c r="AB88" s="141">
        <f t="shared" si="28"/>
        <v>0</v>
      </c>
      <c r="AC88" s="141">
        <f t="shared" si="28"/>
        <v>0</v>
      </c>
      <c r="AD88" s="141">
        <f t="shared" si="28"/>
        <v>0</v>
      </c>
      <c r="AE88" s="141">
        <f t="shared" si="28"/>
        <v>0</v>
      </c>
      <c r="AF88" s="141">
        <f t="shared" si="28"/>
        <v>0</v>
      </c>
      <c r="AG88" s="141">
        <f t="shared" si="28"/>
        <v>0</v>
      </c>
      <c r="AH88" s="141">
        <f t="shared" si="28"/>
        <v>0</v>
      </c>
      <c r="AI88" s="141">
        <f t="shared" si="28"/>
        <v>0</v>
      </c>
      <c r="AJ88" s="141">
        <f t="shared" si="28"/>
        <v>0</v>
      </c>
      <c r="AK88" s="141">
        <f t="shared" si="28"/>
        <v>0</v>
      </c>
      <c r="AL88" s="141">
        <f t="shared" si="28"/>
        <v>0</v>
      </c>
      <c r="AM88" s="141">
        <f t="shared" si="28"/>
        <v>0</v>
      </c>
      <c r="AN88" s="141">
        <f t="shared" si="28"/>
        <v>0</v>
      </c>
      <c r="AO88" s="141">
        <f t="shared" si="28"/>
        <v>0</v>
      </c>
      <c r="AP88" s="141">
        <f t="shared" si="28"/>
        <v>0</v>
      </c>
      <c r="AQ88" s="141">
        <f t="shared" si="28"/>
        <v>0</v>
      </c>
      <c r="AR88" s="141">
        <f t="shared" si="28"/>
        <v>0</v>
      </c>
      <c r="AS88" s="141">
        <f t="shared" si="28"/>
        <v>0</v>
      </c>
      <c r="AT88" s="141">
        <f t="shared" si="28"/>
        <v>0</v>
      </c>
      <c r="AU88" s="141">
        <f t="shared" si="28"/>
        <v>0</v>
      </c>
      <c r="AV88" s="141">
        <f t="shared" si="28"/>
        <v>0</v>
      </c>
      <c r="AW88" s="141">
        <f t="shared" si="28"/>
        <v>0</v>
      </c>
      <c r="AX88" s="141">
        <f t="shared" si="28"/>
        <v>0</v>
      </c>
      <c r="AY88" s="141">
        <f t="shared" si="28"/>
        <v>0</v>
      </c>
      <c r="AZ88" s="141">
        <f t="shared" si="28"/>
        <v>0</v>
      </c>
      <c r="BA88" s="141">
        <f t="shared" si="28"/>
        <v>0</v>
      </c>
      <c r="BB88" s="141">
        <f t="shared" si="28"/>
        <v>0</v>
      </c>
      <c r="BC88" s="141">
        <f t="shared" si="28"/>
        <v>0</v>
      </c>
      <c r="BD88" s="141">
        <f t="shared" si="28"/>
        <v>0</v>
      </c>
      <c r="BE88" s="141">
        <f t="shared" si="28"/>
        <v>0</v>
      </c>
      <c r="BF88" s="141">
        <f t="shared" si="28"/>
        <v>0</v>
      </c>
      <c r="BG88" s="141">
        <f t="shared" si="28"/>
        <v>0</v>
      </c>
      <c r="BH88" s="141">
        <f t="shared" si="28"/>
        <v>0</v>
      </c>
      <c r="BI88" s="141">
        <f t="shared" si="28"/>
        <v>0</v>
      </c>
      <c r="BJ88" s="141">
        <f t="shared" si="28"/>
        <v>0</v>
      </c>
      <c r="BK88" s="141">
        <f t="shared" si="28"/>
        <v>0</v>
      </c>
      <c r="BL88" s="141">
        <f t="shared" si="28"/>
        <v>0</v>
      </c>
      <c r="BM88" s="141">
        <f t="shared" si="28"/>
        <v>0</v>
      </c>
      <c r="BN88" s="141">
        <f t="shared" si="28"/>
        <v>0</v>
      </c>
      <c r="BO88" s="141"/>
    </row>
    <row r="89" ht="13.5" customHeight="1" outlineLevel="1">
      <c r="A89" s="138"/>
      <c r="B89" s="139"/>
      <c r="C89" s="138" t="s">
        <v>165</v>
      </c>
      <c r="D89" s="138"/>
      <c r="E89" s="161">
        <v>3.0</v>
      </c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>
        <f t="shared" ref="S89:BN89" si="29">MIN(S88,$E88/$E89/12)</f>
        <v>0</v>
      </c>
      <c r="T89" s="141">
        <f t="shared" si="29"/>
        <v>0</v>
      </c>
      <c r="U89" s="141">
        <f t="shared" si="29"/>
        <v>0</v>
      </c>
      <c r="V89" s="141">
        <f t="shared" si="29"/>
        <v>0</v>
      </c>
      <c r="W89" s="141">
        <f t="shared" si="29"/>
        <v>0</v>
      </c>
      <c r="X89" s="141">
        <f t="shared" si="29"/>
        <v>0</v>
      </c>
      <c r="Y89" s="141">
        <f t="shared" si="29"/>
        <v>0</v>
      </c>
      <c r="Z89" s="141">
        <f t="shared" si="29"/>
        <v>0</v>
      </c>
      <c r="AA89" s="141">
        <f t="shared" si="29"/>
        <v>0</v>
      </c>
      <c r="AB89" s="141">
        <f t="shared" si="29"/>
        <v>0</v>
      </c>
      <c r="AC89" s="141">
        <f t="shared" si="29"/>
        <v>0</v>
      </c>
      <c r="AD89" s="141">
        <f t="shared" si="29"/>
        <v>0</v>
      </c>
      <c r="AE89" s="141">
        <f t="shared" si="29"/>
        <v>0</v>
      </c>
      <c r="AF89" s="141">
        <f t="shared" si="29"/>
        <v>0</v>
      </c>
      <c r="AG89" s="141">
        <f t="shared" si="29"/>
        <v>0</v>
      </c>
      <c r="AH89" s="141">
        <f t="shared" si="29"/>
        <v>0</v>
      </c>
      <c r="AI89" s="141">
        <f t="shared" si="29"/>
        <v>0</v>
      </c>
      <c r="AJ89" s="141">
        <f t="shared" si="29"/>
        <v>0</v>
      </c>
      <c r="AK89" s="141">
        <f t="shared" si="29"/>
        <v>0</v>
      </c>
      <c r="AL89" s="141">
        <f t="shared" si="29"/>
        <v>0</v>
      </c>
      <c r="AM89" s="141">
        <f t="shared" si="29"/>
        <v>0</v>
      </c>
      <c r="AN89" s="141">
        <f t="shared" si="29"/>
        <v>0</v>
      </c>
      <c r="AO89" s="141">
        <f t="shared" si="29"/>
        <v>0</v>
      </c>
      <c r="AP89" s="141">
        <f t="shared" si="29"/>
        <v>0</v>
      </c>
      <c r="AQ89" s="141">
        <f t="shared" si="29"/>
        <v>0</v>
      </c>
      <c r="AR89" s="141">
        <f t="shared" si="29"/>
        <v>0</v>
      </c>
      <c r="AS89" s="141">
        <f t="shared" si="29"/>
        <v>0</v>
      </c>
      <c r="AT89" s="141">
        <f t="shared" si="29"/>
        <v>0</v>
      </c>
      <c r="AU89" s="141">
        <f t="shared" si="29"/>
        <v>0</v>
      </c>
      <c r="AV89" s="141">
        <f t="shared" si="29"/>
        <v>0</v>
      </c>
      <c r="AW89" s="141">
        <f t="shared" si="29"/>
        <v>0</v>
      </c>
      <c r="AX89" s="141">
        <f t="shared" si="29"/>
        <v>0</v>
      </c>
      <c r="AY89" s="141">
        <f t="shared" si="29"/>
        <v>0</v>
      </c>
      <c r="AZ89" s="141">
        <f t="shared" si="29"/>
        <v>0</v>
      </c>
      <c r="BA89" s="141">
        <f t="shared" si="29"/>
        <v>0</v>
      </c>
      <c r="BB89" s="141">
        <f t="shared" si="29"/>
        <v>0</v>
      </c>
      <c r="BC89" s="141">
        <f t="shared" si="29"/>
        <v>0</v>
      </c>
      <c r="BD89" s="141">
        <f t="shared" si="29"/>
        <v>0</v>
      </c>
      <c r="BE89" s="141">
        <f t="shared" si="29"/>
        <v>0</v>
      </c>
      <c r="BF89" s="141">
        <f t="shared" si="29"/>
        <v>0</v>
      </c>
      <c r="BG89" s="141">
        <f t="shared" si="29"/>
        <v>0</v>
      </c>
      <c r="BH89" s="141">
        <f t="shared" si="29"/>
        <v>0</v>
      </c>
      <c r="BI89" s="141">
        <f t="shared" si="29"/>
        <v>0</v>
      </c>
      <c r="BJ89" s="141">
        <f t="shared" si="29"/>
        <v>0</v>
      </c>
      <c r="BK89" s="141">
        <f t="shared" si="29"/>
        <v>0</v>
      </c>
      <c r="BL89" s="141">
        <f t="shared" si="29"/>
        <v>0</v>
      </c>
      <c r="BM89" s="141">
        <f t="shared" si="29"/>
        <v>0</v>
      </c>
      <c r="BN89" s="141">
        <f t="shared" si="29"/>
        <v>0</v>
      </c>
      <c r="BO89" s="141"/>
    </row>
    <row r="90" ht="13.5" customHeight="1" outlineLevel="1">
      <c r="A90" s="138"/>
      <c r="B90" s="139"/>
      <c r="C90" s="138" t="s">
        <v>166</v>
      </c>
      <c r="D90" s="138"/>
      <c r="E90" s="140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>
        <f t="shared" ref="S90:BN90" si="30">S88-S89</f>
        <v>0</v>
      </c>
      <c r="T90" s="141">
        <f t="shared" si="30"/>
        <v>0</v>
      </c>
      <c r="U90" s="141">
        <f t="shared" si="30"/>
        <v>0</v>
      </c>
      <c r="V90" s="141">
        <f t="shared" si="30"/>
        <v>0</v>
      </c>
      <c r="W90" s="141">
        <f t="shared" si="30"/>
        <v>0</v>
      </c>
      <c r="X90" s="141">
        <f t="shared" si="30"/>
        <v>0</v>
      </c>
      <c r="Y90" s="141">
        <f t="shared" si="30"/>
        <v>0</v>
      </c>
      <c r="Z90" s="141">
        <f t="shared" si="30"/>
        <v>0</v>
      </c>
      <c r="AA90" s="141">
        <f t="shared" si="30"/>
        <v>0</v>
      </c>
      <c r="AB90" s="141">
        <f t="shared" si="30"/>
        <v>0</v>
      </c>
      <c r="AC90" s="141">
        <f t="shared" si="30"/>
        <v>0</v>
      </c>
      <c r="AD90" s="141">
        <f t="shared" si="30"/>
        <v>0</v>
      </c>
      <c r="AE90" s="141">
        <f t="shared" si="30"/>
        <v>0</v>
      </c>
      <c r="AF90" s="141">
        <f t="shared" si="30"/>
        <v>0</v>
      </c>
      <c r="AG90" s="141">
        <f t="shared" si="30"/>
        <v>0</v>
      </c>
      <c r="AH90" s="141">
        <f t="shared" si="30"/>
        <v>0</v>
      </c>
      <c r="AI90" s="141">
        <f t="shared" si="30"/>
        <v>0</v>
      </c>
      <c r="AJ90" s="141">
        <f t="shared" si="30"/>
        <v>0</v>
      </c>
      <c r="AK90" s="141">
        <f t="shared" si="30"/>
        <v>0</v>
      </c>
      <c r="AL90" s="141">
        <f t="shared" si="30"/>
        <v>0</v>
      </c>
      <c r="AM90" s="141">
        <f t="shared" si="30"/>
        <v>0</v>
      </c>
      <c r="AN90" s="141">
        <f t="shared" si="30"/>
        <v>0</v>
      </c>
      <c r="AO90" s="141">
        <f t="shared" si="30"/>
        <v>0</v>
      </c>
      <c r="AP90" s="141">
        <f t="shared" si="30"/>
        <v>0</v>
      </c>
      <c r="AQ90" s="141">
        <f t="shared" si="30"/>
        <v>0</v>
      </c>
      <c r="AR90" s="141">
        <f t="shared" si="30"/>
        <v>0</v>
      </c>
      <c r="AS90" s="141">
        <f t="shared" si="30"/>
        <v>0</v>
      </c>
      <c r="AT90" s="141">
        <f t="shared" si="30"/>
        <v>0</v>
      </c>
      <c r="AU90" s="141">
        <f t="shared" si="30"/>
        <v>0</v>
      </c>
      <c r="AV90" s="141">
        <f t="shared" si="30"/>
        <v>0</v>
      </c>
      <c r="AW90" s="141">
        <f t="shared" si="30"/>
        <v>0</v>
      </c>
      <c r="AX90" s="141">
        <f t="shared" si="30"/>
        <v>0</v>
      </c>
      <c r="AY90" s="141">
        <f t="shared" si="30"/>
        <v>0</v>
      </c>
      <c r="AZ90" s="141">
        <f t="shared" si="30"/>
        <v>0</v>
      </c>
      <c r="BA90" s="141">
        <f t="shared" si="30"/>
        <v>0</v>
      </c>
      <c r="BB90" s="141">
        <f t="shared" si="30"/>
        <v>0</v>
      </c>
      <c r="BC90" s="141">
        <f t="shared" si="30"/>
        <v>0</v>
      </c>
      <c r="BD90" s="141">
        <f t="shared" si="30"/>
        <v>0</v>
      </c>
      <c r="BE90" s="141">
        <f t="shared" si="30"/>
        <v>0</v>
      </c>
      <c r="BF90" s="141">
        <f t="shared" si="30"/>
        <v>0</v>
      </c>
      <c r="BG90" s="141">
        <f t="shared" si="30"/>
        <v>0</v>
      </c>
      <c r="BH90" s="141">
        <f t="shared" si="30"/>
        <v>0</v>
      </c>
      <c r="BI90" s="141">
        <f t="shared" si="30"/>
        <v>0</v>
      </c>
      <c r="BJ90" s="141">
        <f t="shared" si="30"/>
        <v>0</v>
      </c>
      <c r="BK90" s="141">
        <f t="shared" si="30"/>
        <v>0</v>
      </c>
      <c r="BL90" s="141">
        <f t="shared" si="30"/>
        <v>0</v>
      </c>
      <c r="BM90" s="141">
        <f t="shared" si="30"/>
        <v>0</v>
      </c>
      <c r="BN90" s="141">
        <f t="shared" si="30"/>
        <v>0</v>
      </c>
      <c r="BO90" s="141"/>
    </row>
    <row r="91" ht="13.5" customHeight="1" outlineLevel="1">
      <c r="A91" s="138"/>
      <c r="B91" s="139"/>
      <c r="C91" s="147"/>
      <c r="D91" s="138"/>
      <c r="E91" s="140"/>
      <c r="F91" s="141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</row>
    <row r="92" ht="13.5" customHeight="1" outlineLevel="1">
      <c r="A92" s="138"/>
      <c r="B92" s="139">
        <v>8.0</v>
      </c>
      <c r="C92" s="147" t="s">
        <v>168</v>
      </c>
      <c r="D92" s="138"/>
      <c r="E92" s="140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</row>
    <row r="93" ht="13.5" customHeight="1" outlineLevel="1">
      <c r="A93" s="138"/>
      <c r="B93" s="139"/>
      <c r="C93" s="138" t="s">
        <v>164</v>
      </c>
      <c r="D93" s="138"/>
      <c r="E93" s="159" t="str">
        <f>Capex!E34</f>
        <v/>
      </c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 t="str">
        <f>E93</f>
        <v/>
      </c>
      <c r="AF93" s="141">
        <f t="shared" ref="AF93:BN93" si="31">AE95</f>
        <v>0</v>
      </c>
      <c r="AG93" s="141">
        <f t="shared" si="31"/>
        <v>0</v>
      </c>
      <c r="AH93" s="141">
        <f t="shared" si="31"/>
        <v>0</v>
      </c>
      <c r="AI93" s="141">
        <f t="shared" si="31"/>
        <v>0</v>
      </c>
      <c r="AJ93" s="141">
        <f t="shared" si="31"/>
        <v>0</v>
      </c>
      <c r="AK93" s="141">
        <f t="shared" si="31"/>
        <v>0</v>
      </c>
      <c r="AL93" s="141">
        <f t="shared" si="31"/>
        <v>0</v>
      </c>
      <c r="AM93" s="141">
        <f t="shared" si="31"/>
        <v>0</v>
      </c>
      <c r="AN93" s="141">
        <f t="shared" si="31"/>
        <v>0</v>
      </c>
      <c r="AO93" s="141">
        <f t="shared" si="31"/>
        <v>0</v>
      </c>
      <c r="AP93" s="141">
        <f t="shared" si="31"/>
        <v>0</v>
      </c>
      <c r="AQ93" s="141">
        <f t="shared" si="31"/>
        <v>0</v>
      </c>
      <c r="AR93" s="141">
        <f t="shared" si="31"/>
        <v>0</v>
      </c>
      <c r="AS93" s="141">
        <f t="shared" si="31"/>
        <v>0</v>
      </c>
      <c r="AT93" s="141">
        <f t="shared" si="31"/>
        <v>0</v>
      </c>
      <c r="AU93" s="141">
        <f t="shared" si="31"/>
        <v>0</v>
      </c>
      <c r="AV93" s="141">
        <f t="shared" si="31"/>
        <v>0</v>
      </c>
      <c r="AW93" s="141">
        <f t="shared" si="31"/>
        <v>0</v>
      </c>
      <c r="AX93" s="141">
        <f t="shared" si="31"/>
        <v>0</v>
      </c>
      <c r="AY93" s="141">
        <f t="shared" si="31"/>
        <v>0</v>
      </c>
      <c r="AZ93" s="141">
        <f t="shared" si="31"/>
        <v>0</v>
      </c>
      <c r="BA93" s="141">
        <f t="shared" si="31"/>
        <v>0</v>
      </c>
      <c r="BB93" s="141">
        <f t="shared" si="31"/>
        <v>0</v>
      </c>
      <c r="BC93" s="141">
        <f t="shared" si="31"/>
        <v>0</v>
      </c>
      <c r="BD93" s="141">
        <f t="shared" si="31"/>
        <v>0</v>
      </c>
      <c r="BE93" s="141">
        <f t="shared" si="31"/>
        <v>0</v>
      </c>
      <c r="BF93" s="141">
        <f t="shared" si="31"/>
        <v>0</v>
      </c>
      <c r="BG93" s="141">
        <f t="shared" si="31"/>
        <v>0</v>
      </c>
      <c r="BH93" s="141">
        <f t="shared" si="31"/>
        <v>0</v>
      </c>
      <c r="BI93" s="141">
        <f t="shared" si="31"/>
        <v>0</v>
      </c>
      <c r="BJ93" s="141">
        <f t="shared" si="31"/>
        <v>0</v>
      </c>
      <c r="BK93" s="141">
        <f t="shared" si="31"/>
        <v>0</v>
      </c>
      <c r="BL93" s="141">
        <f t="shared" si="31"/>
        <v>0</v>
      </c>
      <c r="BM93" s="141">
        <f t="shared" si="31"/>
        <v>0</v>
      </c>
      <c r="BN93" s="141">
        <f t="shared" si="31"/>
        <v>0</v>
      </c>
      <c r="BO93" s="141"/>
    </row>
    <row r="94" ht="13.5" customHeight="1" outlineLevel="1">
      <c r="A94" s="138"/>
      <c r="B94" s="139"/>
      <c r="C94" s="138" t="s">
        <v>165</v>
      </c>
      <c r="D94" s="138"/>
      <c r="E94" s="161">
        <v>3.0</v>
      </c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>
        <f t="shared" ref="AE94:BN94" si="32">MIN(AE93,$E93/$E94/12)</f>
        <v>0</v>
      </c>
      <c r="AF94" s="141">
        <f t="shared" si="32"/>
        <v>0</v>
      </c>
      <c r="AG94" s="141">
        <f t="shared" si="32"/>
        <v>0</v>
      </c>
      <c r="AH94" s="141">
        <f t="shared" si="32"/>
        <v>0</v>
      </c>
      <c r="AI94" s="141">
        <f t="shared" si="32"/>
        <v>0</v>
      </c>
      <c r="AJ94" s="141">
        <f t="shared" si="32"/>
        <v>0</v>
      </c>
      <c r="AK94" s="141">
        <f t="shared" si="32"/>
        <v>0</v>
      </c>
      <c r="AL94" s="141">
        <f t="shared" si="32"/>
        <v>0</v>
      </c>
      <c r="AM94" s="141">
        <f t="shared" si="32"/>
        <v>0</v>
      </c>
      <c r="AN94" s="141">
        <f t="shared" si="32"/>
        <v>0</v>
      </c>
      <c r="AO94" s="141">
        <f t="shared" si="32"/>
        <v>0</v>
      </c>
      <c r="AP94" s="141">
        <f t="shared" si="32"/>
        <v>0</v>
      </c>
      <c r="AQ94" s="141">
        <f t="shared" si="32"/>
        <v>0</v>
      </c>
      <c r="AR94" s="141">
        <f t="shared" si="32"/>
        <v>0</v>
      </c>
      <c r="AS94" s="141">
        <f t="shared" si="32"/>
        <v>0</v>
      </c>
      <c r="AT94" s="141">
        <f t="shared" si="32"/>
        <v>0</v>
      </c>
      <c r="AU94" s="141">
        <f t="shared" si="32"/>
        <v>0</v>
      </c>
      <c r="AV94" s="141">
        <f t="shared" si="32"/>
        <v>0</v>
      </c>
      <c r="AW94" s="141">
        <f t="shared" si="32"/>
        <v>0</v>
      </c>
      <c r="AX94" s="141">
        <f t="shared" si="32"/>
        <v>0</v>
      </c>
      <c r="AY94" s="141">
        <f t="shared" si="32"/>
        <v>0</v>
      </c>
      <c r="AZ94" s="141">
        <f t="shared" si="32"/>
        <v>0</v>
      </c>
      <c r="BA94" s="141">
        <f t="shared" si="32"/>
        <v>0</v>
      </c>
      <c r="BB94" s="141">
        <f t="shared" si="32"/>
        <v>0</v>
      </c>
      <c r="BC94" s="141">
        <f t="shared" si="32"/>
        <v>0</v>
      </c>
      <c r="BD94" s="141">
        <f t="shared" si="32"/>
        <v>0</v>
      </c>
      <c r="BE94" s="141">
        <f t="shared" si="32"/>
        <v>0</v>
      </c>
      <c r="BF94" s="141">
        <f t="shared" si="32"/>
        <v>0</v>
      </c>
      <c r="BG94" s="141">
        <f t="shared" si="32"/>
        <v>0</v>
      </c>
      <c r="BH94" s="141">
        <f t="shared" si="32"/>
        <v>0</v>
      </c>
      <c r="BI94" s="141">
        <f t="shared" si="32"/>
        <v>0</v>
      </c>
      <c r="BJ94" s="141">
        <f t="shared" si="32"/>
        <v>0</v>
      </c>
      <c r="BK94" s="141">
        <f t="shared" si="32"/>
        <v>0</v>
      </c>
      <c r="BL94" s="141">
        <f t="shared" si="32"/>
        <v>0</v>
      </c>
      <c r="BM94" s="141">
        <f t="shared" si="32"/>
        <v>0</v>
      </c>
      <c r="BN94" s="141">
        <f t="shared" si="32"/>
        <v>0</v>
      </c>
      <c r="BO94" s="141"/>
    </row>
    <row r="95" ht="13.5" customHeight="1" outlineLevel="1">
      <c r="A95" s="138"/>
      <c r="B95" s="139"/>
      <c r="C95" s="138" t="s">
        <v>166</v>
      </c>
      <c r="D95" s="138"/>
      <c r="E95" s="140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>
        <f t="shared" ref="AE95:BN95" si="33">AE93-AE94</f>
        <v>0</v>
      </c>
      <c r="AF95" s="141">
        <f t="shared" si="33"/>
        <v>0</v>
      </c>
      <c r="AG95" s="141">
        <f t="shared" si="33"/>
        <v>0</v>
      </c>
      <c r="AH95" s="141">
        <f t="shared" si="33"/>
        <v>0</v>
      </c>
      <c r="AI95" s="141">
        <f t="shared" si="33"/>
        <v>0</v>
      </c>
      <c r="AJ95" s="141">
        <f t="shared" si="33"/>
        <v>0</v>
      </c>
      <c r="AK95" s="141">
        <f t="shared" si="33"/>
        <v>0</v>
      </c>
      <c r="AL95" s="141">
        <f t="shared" si="33"/>
        <v>0</v>
      </c>
      <c r="AM95" s="141">
        <f t="shared" si="33"/>
        <v>0</v>
      </c>
      <c r="AN95" s="141">
        <f t="shared" si="33"/>
        <v>0</v>
      </c>
      <c r="AO95" s="141">
        <f t="shared" si="33"/>
        <v>0</v>
      </c>
      <c r="AP95" s="141">
        <f t="shared" si="33"/>
        <v>0</v>
      </c>
      <c r="AQ95" s="141">
        <f t="shared" si="33"/>
        <v>0</v>
      </c>
      <c r="AR95" s="141">
        <f t="shared" si="33"/>
        <v>0</v>
      </c>
      <c r="AS95" s="141">
        <f t="shared" si="33"/>
        <v>0</v>
      </c>
      <c r="AT95" s="141">
        <f t="shared" si="33"/>
        <v>0</v>
      </c>
      <c r="AU95" s="141">
        <f t="shared" si="33"/>
        <v>0</v>
      </c>
      <c r="AV95" s="141">
        <f t="shared" si="33"/>
        <v>0</v>
      </c>
      <c r="AW95" s="141">
        <f t="shared" si="33"/>
        <v>0</v>
      </c>
      <c r="AX95" s="141">
        <f t="shared" si="33"/>
        <v>0</v>
      </c>
      <c r="AY95" s="141">
        <f t="shared" si="33"/>
        <v>0</v>
      </c>
      <c r="AZ95" s="141">
        <f t="shared" si="33"/>
        <v>0</v>
      </c>
      <c r="BA95" s="141">
        <f t="shared" si="33"/>
        <v>0</v>
      </c>
      <c r="BB95" s="141">
        <f t="shared" si="33"/>
        <v>0</v>
      </c>
      <c r="BC95" s="141">
        <f t="shared" si="33"/>
        <v>0</v>
      </c>
      <c r="BD95" s="141">
        <f t="shared" si="33"/>
        <v>0</v>
      </c>
      <c r="BE95" s="141">
        <f t="shared" si="33"/>
        <v>0</v>
      </c>
      <c r="BF95" s="141">
        <f t="shared" si="33"/>
        <v>0</v>
      </c>
      <c r="BG95" s="141">
        <f t="shared" si="33"/>
        <v>0</v>
      </c>
      <c r="BH95" s="141">
        <f t="shared" si="33"/>
        <v>0</v>
      </c>
      <c r="BI95" s="141">
        <f t="shared" si="33"/>
        <v>0</v>
      </c>
      <c r="BJ95" s="141">
        <f t="shared" si="33"/>
        <v>0</v>
      </c>
      <c r="BK95" s="141">
        <f t="shared" si="33"/>
        <v>0</v>
      </c>
      <c r="BL95" s="141">
        <f t="shared" si="33"/>
        <v>0</v>
      </c>
      <c r="BM95" s="141">
        <f t="shared" si="33"/>
        <v>0</v>
      </c>
      <c r="BN95" s="141">
        <f t="shared" si="33"/>
        <v>0</v>
      </c>
      <c r="BO95" s="141"/>
    </row>
    <row r="96" ht="13.5" customHeight="1" outlineLevel="1">
      <c r="A96" s="138"/>
      <c r="B96" s="139"/>
      <c r="C96" s="147"/>
      <c r="D96" s="138"/>
      <c r="E96" s="140"/>
      <c r="F96" s="141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</row>
    <row r="97" ht="13.5" customHeight="1" outlineLevel="1">
      <c r="A97" s="138"/>
      <c r="B97" s="139">
        <v>9.0</v>
      </c>
      <c r="C97" s="147" t="s">
        <v>169</v>
      </c>
      <c r="D97" s="138"/>
      <c r="E97" s="140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1"/>
      <c r="AT97" s="141"/>
      <c r="AU97" s="141"/>
      <c r="AV97" s="141"/>
      <c r="AW97" s="141"/>
      <c r="AX97" s="141"/>
      <c r="AY97" s="141"/>
      <c r="AZ97" s="141"/>
      <c r="BA97" s="141"/>
      <c r="BB97" s="141"/>
      <c r="BC97" s="141"/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</row>
    <row r="98" ht="13.5" customHeight="1" outlineLevel="1">
      <c r="A98" s="138"/>
      <c r="B98" s="139"/>
      <c r="C98" s="138" t="s">
        <v>164</v>
      </c>
      <c r="D98" s="138"/>
      <c r="E98" s="159" t="str">
        <f>Capex!E35</f>
        <v/>
      </c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 t="str">
        <f>E98</f>
        <v/>
      </c>
      <c r="AR98" s="141">
        <f t="shared" ref="AR98:BN98" si="34">AQ100</f>
        <v>0</v>
      </c>
      <c r="AS98" s="141">
        <f t="shared" si="34"/>
        <v>0</v>
      </c>
      <c r="AT98" s="141">
        <f t="shared" si="34"/>
        <v>0</v>
      </c>
      <c r="AU98" s="141">
        <f t="shared" si="34"/>
        <v>0</v>
      </c>
      <c r="AV98" s="141">
        <f t="shared" si="34"/>
        <v>0</v>
      </c>
      <c r="AW98" s="141">
        <f t="shared" si="34"/>
        <v>0</v>
      </c>
      <c r="AX98" s="141">
        <f t="shared" si="34"/>
        <v>0</v>
      </c>
      <c r="AY98" s="141">
        <f t="shared" si="34"/>
        <v>0</v>
      </c>
      <c r="AZ98" s="141">
        <f t="shared" si="34"/>
        <v>0</v>
      </c>
      <c r="BA98" s="141">
        <f t="shared" si="34"/>
        <v>0</v>
      </c>
      <c r="BB98" s="141">
        <f t="shared" si="34"/>
        <v>0</v>
      </c>
      <c r="BC98" s="141">
        <f t="shared" si="34"/>
        <v>0</v>
      </c>
      <c r="BD98" s="141">
        <f t="shared" si="34"/>
        <v>0</v>
      </c>
      <c r="BE98" s="141">
        <f t="shared" si="34"/>
        <v>0</v>
      </c>
      <c r="BF98" s="141">
        <f t="shared" si="34"/>
        <v>0</v>
      </c>
      <c r="BG98" s="141">
        <f t="shared" si="34"/>
        <v>0</v>
      </c>
      <c r="BH98" s="141">
        <f t="shared" si="34"/>
        <v>0</v>
      </c>
      <c r="BI98" s="141">
        <f t="shared" si="34"/>
        <v>0</v>
      </c>
      <c r="BJ98" s="141">
        <f t="shared" si="34"/>
        <v>0</v>
      </c>
      <c r="BK98" s="141">
        <f t="shared" si="34"/>
        <v>0</v>
      </c>
      <c r="BL98" s="141">
        <f t="shared" si="34"/>
        <v>0</v>
      </c>
      <c r="BM98" s="141">
        <f t="shared" si="34"/>
        <v>0</v>
      </c>
      <c r="BN98" s="141">
        <f t="shared" si="34"/>
        <v>0</v>
      </c>
      <c r="BO98" s="141"/>
    </row>
    <row r="99" ht="13.5" customHeight="1" outlineLevel="1">
      <c r="A99" s="138"/>
      <c r="B99" s="139"/>
      <c r="C99" s="138" t="s">
        <v>165</v>
      </c>
      <c r="D99" s="138"/>
      <c r="E99" s="161">
        <v>3.0</v>
      </c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>
        <f t="shared" ref="AQ99:BN99" si="35">MIN(AQ98,$E98/$E99/12)</f>
        <v>0</v>
      </c>
      <c r="AR99" s="141">
        <f t="shared" si="35"/>
        <v>0</v>
      </c>
      <c r="AS99" s="141">
        <f t="shared" si="35"/>
        <v>0</v>
      </c>
      <c r="AT99" s="141">
        <f t="shared" si="35"/>
        <v>0</v>
      </c>
      <c r="AU99" s="141">
        <f t="shared" si="35"/>
        <v>0</v>
      </c>
      <c r="AV99" s="141">
        <f t="shared" si="35"/>
        <v>0</v>
      </c>
      <c r="AW99" s="141">
        <f t="shared" si="35"/>
        <v>0</v>
      </c>
      <c r="AX99" s="141">
        <f t="shared" si="35"/>
        <v>0</v>
      </c>
      <c r="AY99" s="141">
        <f t="shared" si="35"/>
        <v>0</v>
      </c>
      <c r="AZ99" s="141">
        <f t="shared" si="35"/>
        <v>0</v>
      </c>
      <c r="BA99" s="141">
        <f t="shared" si="35"/>
        <v>0</v>
      </c>
      <c r="BB99" s="141">
        <f t="shared" si="35"/>
        <v>0</v>
      </c>
      <c r="BC99" s="141">
        <f t="shared" si="35"/>
        <v>0</v>
      </c>
      <c r="BD99" s="141">
        <f t="shared" si="35"/>
        <v>0</v>
      </c>
      <c r="BE99" s="141">
        <f t="shared" si="35"/>
        <v>0</v>
      </c>
      <c r="BF99" s="141">
        <f t="shared" si="35"/>
        <v>0</v>
      </c>
      <c r="BG99" s="141">
        <f t="shared" si="35"/>
        <v>0</v>
      </c>
      <c r="BH99" s="141">
        <f t="shared" si="35"/>
        <v>0</v>
      </c>
      <c r="BI99" s="141">
        <f t="shared" si="35"/>
        <v>0</v>
      </c>
      <c r="BJ99" s="141">
        <f t="shared" si="35"/>
        <v>0</v>
      </c>
      <c r="BK99" s="141">
        <f t="shared" si="35"/>
        <v>0</v>
      </c>
      <c r="BL99" s="141">
        <f t="shared" si="35"/>
        <v>0</v>
      </c>
      <c r="BM99" s="141">
        <f t="shared" si="35"/>
        <v>0</v>
      </c>
      <c r="BN99" s="141">
        <f t="shared" si="35"/>
        <v>0</v>
      </c>
      <c r="BO99" s="141"/>
    </row>
    <row r="100" ht="13.5" customHeight="1" outlineLevel="1">
      <c r="A100" s="138"/>
      <c r="B100" s="139"/>
      <c r="C100" s="138" t="s">
        <v>166</v>
      </c>
      <c r="D100" s="138"/>
      <c r="E100" s="140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>
        <f t="shared" ref="AQ100:BN100" si="36">AQ98-AQ99</f>
        <v>0</v>
      </c>
      <c r="AR100" s="141">
        <f t="shared" si="36"/>
        <v>0</v>
      </c>
      <c r="AS100" s="141">
        <f t="shared" si="36"/>
        <v>0</v>
      </c>
      <c r="AT100" s="141">
        <f t="shared" si="36"/>
        <v>0</v>
      </c>
      <c r="AU100" s="141">
        <f t="shared" si="36"/>
        <v>0</v>
      </c>
      <c r="AV100" s="141">
        <f t="shared" si="36"/>
        <v>0</v>
      </c>
      <c r="AW100" s="141">
        <f t="shared" si="36"/>
        <v>0</v>
      </c>
      <c r="AX100" s="141">
        <f t="shared" si="36"/>
        <v>0</v>
      </c>
      <c r="AY100" s="141">
        <f t="shared" si="36"/>
        <v>0</v>
      </c>
      <c r="AZ100" s="141">
        <f t="shared" si="36"/>
        <v>0</v>
      </c>
      <c r="BA100" s="141">
        <f t="shared" si="36"/>
        <v>0</v>
      </c>
      <c r="BB100" s="141">
        <f t="shared" si="36"/>
        <v>0</v>
      </c>
      <c r="BC100" s="141">
        <f t="shared" si="36"/>
        <v>0</v>
      </c>
      <c r="BD100" s="141">
        <f t="shared" si="36"/>
        <v>0</v>
      </c>
      <c r="BE100" s="141">
        <f t="shared" si="36"/>
        <v>0</v>
      </c>
      <c r="BF100" s="141">
        <f t="shared" si="36"/>
        <v>0</v>
      </c>
      <c r="BG100" s="141">
        <f t="shared" si="36"/>
        <v>0</v>
      </c>
      <c r="BH100" s="141">
        <f t="shared" si="36"/>
        <v>0</v>
      </c>
      <c r="BI100" s="141">
        <f t="shared" si="36"/>
        <v>0</v>
      </c>
      <c r="BJ100" s="141">
        <f t="shared" si="36"/>
        <v>0</v>
      </c>
      <c r="BK100" s="141">
        <f t="shared" si="36"/>
        <v>0</v>
      </c>
      <c r="BL100" s="141">
        <f t="shared" si="36"/>
        <v>0</v>
      </c>
      <c r="BM100" s="141">
        <f t="shared" si="36"/>
        <v>0</v>
      </c>
      <c r="BN100" s="141">
        <f t="shared" si="36"/>
        <v>0</v>
      </c>
      <c r="BO100" s="141"/>
    </row>
    <row r="101" ht="13.5" customHeight="1" outlineLevel="1">
      <c r="A101" s="138"/>
      <c r="B101" s="139"/>
      <c r="C101" s="147"/>
      <c r="D101" s="138"/>
      <c r="E101" s="140"/>
      <c r="F101" s="141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</row>
    <row r="102" ht="13.5" customHeight="1" outlineLevel="1">
      <c r="A102" s="138"/>
      <c r="B102" s="139">
        <v>10.0</v>
      </c>
      <c r="C102" s="147" t="s">
        <v>170</v>
      </c>
      <c r="D102" s="138"/>
      <c r="E102" s="140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1"/>
      <c r="AM102" s="141"/>
      <c r="AN102" s="141"/>
      <c r="AO102" s="141"/>
      <c r="AP102" s="141"/>
      <c r="AQ102" s="141"/>
      <c r="AR102" s="141"/>
      <c r="AS102" s="141"/>
      <c r="AT102" s="141"/>
      <c r="AU102" s="141"/>
      <c r="AV102" s="141"/>
      <c r="AW102" s="141"/>
      <c r="AX102" s="141"/>
      <c r="AY102" s="141"/>
      <c r="AZ102" s="141"/>
      <c r="BA102" s="141"/>
      <c r="BB102" s="141"/>
      <c r="BC102" s="141"/>
      <c r="BD102" s="141"/>
      <c r="BE102" s="141"/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</row>
    <row r="103" ht="13.5" customHeight="1" outlineLevel="1">
      <c r="A103" s="138"/>
      <c r="B103" s="139"/>
      <c r="C103" s="138" t="s">
        <v>164</v>
      </c>
      <c r="D103" s="138"/>
      <c r="E103" s="159" t="str">
        <f>Capex!E36</f>
        <v/>
      </c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/>
      <c r="AZ103" s="141"/>
      <c r="BA103" s="141"/>
      <c r="BB103" s="141"/>
      <c r="BC103" s="141" t="str">
        <f>E103</f>
        <v/>
      </c>
      <c r="BD103" s="141">
        <f t="shared" ref="BD103:BN103" si="37">BC105</f>
        <v>0</v>
      </c>
      <c r="BE103" s="141">
        <f t="shared" si="37"/>
        <v>0</v>
      </c>
      <c r="BF103" s="141">
        <f t="shared" si="37"/>
        <v>0</v>
      </c>
      <c r="BG103" s="141">
        <f t="shared" si="37"/>
        <v>0</v>
      </c>
      <c r="BH103" s="141">
        <f t="shared" si="37"/>
        <v>0</v>
      </c>
      <c r="BI103" s="141">
        <f t="shared" si="37"/>
        <v>0</v>
      </c>
      <c r="BJ103" s="141">
        <f t="shared" si="37"/>
        <v>0</v>
      </c>
      <c r="BK103" s="141">
        <f t="shared" si="37"/>
        <v>0</v>
      </c>
      <c r="BL103" s="141">
        <f t="shared" si="37"/>
        <v>0</v>
      </c>
      <c r="BM103" s="141">
        <f t="shared" si="37"/>
        <v>0</v>
      </c>
      <c r="BN103" s="141">
        <f t="shared" si="37"/>
        <v>0</v>
      </c>
      <c r="BO103" s="141"/>
    </row>
    <row r="104" ht="13.5" customHeight="1" outlineLevel="1">
      <c r="A104" s="138"/>
      <c r="B104" s="139"/>
      <c r="C104" s="138" t="s">
        <v>165</v>
      </c>
      <c r="D104" s="138"/>
      <c r="E104" s="161">
        <v>3.0</v>
      </c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1"/>
      <c r="BA104" s="141"/>
      <c r="BB104" s="141"/>
      <c r="BC104" s="141">
        <f t="shared" ref="BC104:BN104" si="38">MIN(BC103,$E103/$E104/12)</f>
        <v>0</v>
      </c>
      <c r="BD104" s="141">
        <f t="shared" si="38"/>
        <v>0</v>
      </c>
      <c r="BE104" s="141">
        <f t="shared" si="38"/>
        <v>0</v>
      </c>
      <c r="BF104" s="141">
        <f t="shared" si="38"/>
        <v>0</v>
      </c>
      <c r="BG104" s="141">
        <f t="shared" si="38"/>
        <v>0</v>
      </c>
      <c r="BH104" s="141">
        <f t="shared" si="38"/>
        <v>0</v>
      </c>
      <c r="BI104" s="141">
        <f t="shared" si="38"/>
        <v>0</v>
      </c>
      <c r="BJ104" s="141">
        <f t="shared" si="38"/>
        <v>0</v>
      </c>
      <c r="BK104" s="141">
        <f t="shared" si="38"/>
        <v>0</v>
      </c>
      <c r="BL104" s="141">
        <f t="shared" si="38"/>
        <v>0</v>
      </c>
      <c r="BM104" s="141">
        <f t="shared" si="38"/>
        <v>0</v>
      </c>
      <c r="BN104" s="141">
        <f t="shared" si="38"/>
        <v>0</v>
      </c>
      <c r="BO104" s="141"/>
    </row>
    <row r="105" ht="13.5" customHeight="1" outlineLevel="1">
      <c r="A105" s="138"/>
      <c r="B105" s="139"/>
      <c r="C105" s="138" t="s">
        <v>166</v>
      </c>
      <c r="D105" s="138"/>
      <c r="E105" s="140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  <c r="AY105" s="141"/>
      <c r="AZ105" s="141"/>
      <c r="BA105" s="141"/>
      <c r="BB105" s="141"/>
      <c r="BC105" s="141">
        <f t="shared" ref="BC105:BN105" si="39">BC103-BC104</f>
        <v>0</v>
      </c>
      <c r="BD105" s="141">
        <f t="shared" si="39"/>
        <v>0</v>
      </c>
      <c r="BE105" s="141">
        <f t="shared" si="39"/>
        <v>0</v>
      </c>
      <c r="BF105" s="141">
        <f t="shared" si="39"/>
        <v>0</v>
      </c>
      <c r="BG105" s="141">
        <f t="shared" si="39"/>
        <v>0</v>
      </c>
      <c r="BH105" s="141">
        <f t="shared" si="39"/>
        <v>0</v>
      </c>
      <c r="BI105" s="141">
        <f t="shared" si="39"/>
        <v>0</v>
      </c>
      <c r="BJ105" s="141">
        <f t="shared" si="39"/>
        <v>0</v>
      </c>
      <c r="BK105" s="141">
        <f t="shared" si="39"/>
        <v>0</v>
      </c>
      <c r="BL105" s="141">
        <f t="shared" si="39"/>
        <v>0</v>
      </c>
      <c r="BM105" s="141">
        <f t="shared" si="39"/>
        <v>0</v>
      </c>
      <c r="BN105" s="141">
        <f t="shared" si="39"/>
        <v>0</v>
      </c>
      <c r="BO105" s="141"/>
    </row>
    <row r="106" ht="13.5" customHeight="1">
      <c r="A106" s="138"/>
      <c r="B106" s="139"/>
      <c r="C106" s="147"/>
      <c r="D106" s="138"/>
      <c r="E106" s="140"/>
      <c r="F106" s="141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</row>
    <row r="107" ht="13.5" customHeight="1">
      <c r="A107" s="138"/>
      <c r="B107" s="142" t="s">
        <v>171</v>
      </c>
      <c r="C107" s="143" t="s">
        <v>172</v>
      </c>
      <c r="D107" s="143"/>
      <c r="E107" s="144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5"/>
      <c r="BK107" s="145"/>
      <c r="BL107" s="145"/>
      <c r="BM107" s="145"/>
      <c r="BN107" s="145"/>
      <c r="BO107" s="146"/>
    </row>
    <row r="108" ht="13.5" customHeight="1">
      <c r="A108" s="138"/>
      <c r="B108" s="139"/>
      <c r="C108" s="138"/>
      <c r="D108" s="138"/>
      <c r="E108" s="140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  <c r="AV108" s="141"/>
      <c r="AW108" s="141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1"/>
      <c r="BK108" s="141"/>
      <c r="BL108" s="141"/>
      <c r="BM108" s="141"/>
      <c r="BN108" s="141"/>
      <c r="BO108" s="141"/>
    </row>
    <row r="109" ht="13.5" customHeight="1" outlineLevel="1">
      <c r="A109" s="147"/>
      <c r="B109" s="139"/>
      <c r="C109" s="147" t="s">
        <v>153</v>
      </c>
      <c r="D109" s="147"/>
      <c r="E109" s="148"/>
      <c r="F109" s="146"/>
      <c r="G109" s="146">
        <f t="shared" ref="G109:BN109" si="40">G49</f>
        <v>1228500000</v>
      </c>
      <c r="H109" s="146">
        <f t="shared" si="40"/>
        <v>714420000</v>
      </c>
      <c r="I109" s="146">
        <f t="shared" si="40"/>
        <v>787185000</v>
      </c>
      <c r="J109" s="146">
        <f t="shared" si="40"/>
        <v>952560000</v>
      </c>
      <c r="K109" s="146">
        <f t="shared" si="40"/>
        <v>1012095000</v>
      </c>
      <c r="L109" s="146">
        <f t="shared" si="40"/>
        <v>1124550000</v>
      </c>
      <c r="M109" s="146">
        <f t="shared" si="40"/>
        <v>1508220000</v>
      </c>
      <c r="N109" s="146">
        <f t="shared" si="40"/>
        <v>1058400000</v>
      </c>
      <c r="O109" s="146">
        <f t="shared" si="40"/>
        <v>423360000</v>
      </c>
      <c r="P109" s="146">
        <f t="shared" si="40"/>
        <v>1256850000</v>
      </c>
      <c r="Q109" s="146">
        <f t="shared" si="40"/>
        <v>1124550000</v>
      </c>
      <c r="R109" s="146">
        <f t="shared" si="40"/>
        <v>1124550000</v>
      </c>
      <c r="S109" s="146">
        <f t="shared" si="40"/>
        <v>1250235000</v>
      </c>
      <c r="T109" s="146">
        <f t="shared" si="40"/>
        <v>1124550000</v>
      </c>
      <c r="U109" s="146">
        <f t="shared" si="40"/>
        <v>1190700000</v>
      </c>
      <c r="V109" s="146">
        <f t="shared" si="40"/>
        <v>1190700000</v>
      </c>
      <c r="W109" s="146">
        <f t="shared" si="40"/>
        <v>1058400000</v>
      </c>
      <c r="X109" s="146">
        <f t="shared" si="40"/>
        <v>1190700000</v>
      </c>
      <c r="Y109" s="146">
        <f t="shared" si="40"/>
        <v>1428840000</v>
      </c>
      <c r="Z109" s="146">
        <f t="shared" si="40"/>
        <v>1124550000</v>
      </c>
      <c r="AA109" s="146">
        <f t="shared" si="40"/>
        <v>449820000</v>
      </c>
      <c r="AB109" s="146">
        <f t="shared" si="40"/>
        <v>1190700000</v>
      </c>
      <c r="AC109" s="146">
        <f t="shared" si="40"/>
        <v>1058400000</v>
      </c>
      <c r="AD109" s="146">
        <f t="shared" si="40"/>
        <v>1256850000</v>
      </c>
      <c r="AE109" s="146">
        <f t="shared" si="40"/>
        <v>1180777500</v>
      </c>
      <c r="AF109" s="146">
        <f t="shared" si="40"/>
        <v>1124550000</v>
      </c>
      <c r="AG109" s="146">
        <f t="shared" si="40"/>
        <v>1256850000</v>
      </c>
      <c r="AH109" s="146">
        <f t="shared" si="40"/>
        <v>1058400000</v>
      </c>
      <c r="AI109" s="146">
        <f t="shared" si="40"/>
        <v>1190700000</v>
      </c>
      <c r="AJ109" s="146">
        <f t="shared" si="40"/>
        <v>1190700000</v>
      </c>
      <c r="AK109" s="146">
        <f t="shared" si="40"/>
        <v>1270080000</v>
      </c>
      <c r="AL109" s="146">
        <f t="shared" si="40"/>
        <v>1256850000</v>
      </c>
      <c r="AM109" s="146">
        <f t="shared" si="40"/>
        <v>423360000</v>
      </c>
      <c r="AN109" s="146">
        <f t="shared" si="40"/>
        <v>1124550000</v>
      </c>
      <c r="AO109" s="146">
        <f t="shared" si="40"/>
        <v>1124550000</v>
      </c>
      <c r="AP109" s="146">
        <f t="shared" si="40"/>
        <v>1256850000</v>
      </c>
      <c r="AQ109" s="146">
        <f t="shared" si="40"/>
        <v>1111320000</v>
      </c>
      <c r="AR109" s="146">
        <f t="shared" si="40"/>
        <v>1190700000</v>
      </c>
      <c r="AS109" s="146">
        <f t="shared" si="40"/>
        <v>1190700000</v>
      </c>
      <c r="AT109" s="146">
        <f t="shared" si="40"/>
        <v>1058400000</v>
      </c>
      <c r="AU109" s="146">
        <f t="shared" si="40"/>
        <v>1256850000</v>
      </c>
      <c r="AV109" s="146">
        <f t="shared" si="40"/>
        <v>1124550000</v>
      </c>
      <c r="AW109" s="146">
        <f t="shared" si="40"/>
        <v>1349460000</v>
      </c>
      <c r="AX109" s="146">
        <f t="shared" si="40"/>
        <v>1256850000</v>
      </c>
      <c r="AY109" s="146">
        <f t="shared" si="40"/>
        <v>423360000</v>
      </c>
      <c r="AZ109" s="146">
        <f t="shared" si="40"/>
        <v>1058400000</v>
      </c>
      <c r="BA109" s="146">
        <f t="shared" si="40"/>
        <v>1190700000</v>
      </c>
      <c r="BB109" s="146">
        <f t="shared" si="40"/>
        <v>1190700000</v>
      </c>
      <c r="BC109" s="146">
        <f t="shared" si="40"/>
        <v>1111320000</v>
      </c>
      <c r="BD109" s="146">
        <f t="shared" si="40"/>
        <v>1256850000</v>
      </c>
      <c r="BE109" s="146">
        <f t="shared" si="40"/>
        <v>1124550000</v>
      </c>
      <c r="BF109" s="146">
        <f t="shared" si="40"/>
        <v>1124550000</v>
      </c>
      <c r="BG109" s="146">
        <f t="shared" si="40"/>
        <v>1256850000</v>
      </c>
      <c r="BH109" s="146">
        <f t="shared" si="40"/>
        <v>1058400000</v>
      </c>
      <c r="BI109" s="146">
        <f t="shared" si="40"/>
        <v>1428840000</v>
      </c>
      <c r="BJ109" s="146">
        <f t="shared" si="40"/>
        <v>1190700000</v>
      </c>
      <c r="BK109" s="146">
        <f t="shared" si="40"/>
        <v>423360000</v>
      </c>
      <c r="BL109" s="146">
        <f t="shared" si="40"/>
        <v>1124550000</v>
      </c>
      <c r="BM109" s="146">
        <f t="shared" si="40"/>
        <v>1190700000</v>
      </c>
      <c r="BN109" s="146">
        <f t="shared" si="40"/>
        <v>1124550000</v>
      </c>
      <c r="BO109" s="146"/>
    </row>
    <row r="110" ht="13.5" customHeight="1" outlineLevel="1">
      <c r="A110" s="138"/>
      <c r="B110" s="139"/>
      <c r="C110" s="138" t="s">
        <v>94</v>
      </c>
      <c r="D110" s="138"/>
      <c r="E110" s="140"/>
      <c r="F110" s="141"/>
      <c r="G110" s="141">
        <f t="shared" ref="G110:BN110" si="41">G50</f>
        <v>19890000</v>
      </c>
      <c r="H110" s="141">
        <f t="shared" si="41"/>
        <v>11566800</v>
      </c>
      <c r="I110" s="141">
        <f t="shared" si="41"/>
        <v>12744900</v>
      </c>
      <c r="J110" s="141">
        <f t="shared" si="41"/>
        <v>15422400</v>
      </c>
      <c r="K110" s="141">
        <f t="shared" si="41"/>
        <v>16386300</v>
      </c>
      <c r="L110" s="141">
        <f t="shared" si="41"/>
        <v>18207000</v>
      </c>
      <c r="M110" s="141">
        <f t="shared" si="41"/>
        <v>24418800</v>
      </c>
      <c r="N110" s="141">
        <f t="shared" si="41"/>
        <v>17136000</v>
      </c>
      <c r="O110" s="141">
        <f t="shared" si="41"/>
        <v>6854400</v>
      </c>
      <c r="P110" s="141">
        <f t="shared" si="41"/>
        <v>20349000</v>
      </c>
      <c r="Q110" s="141">
        <f t="shared" si="41"/>
        <v>18207000</v>
      </c>
      <c r="R110" s="141">
        <f t="shared" si="41"/>
        <v>18207000</v>
      </c>
      <c r="S110" s="141">
        <f t="shared" si="41"/>
        <v>20241900</v>
      </c>
      <c r="T110" s="141">
        <f t="shared" si="41"/>
        <v>18207000</v>
      </c>
      <c r="U110" s="141">
        <f t="shared" si="41"/>
        <v>19278000</v>
      </c>
      <c r="V110" s="141">
        <f t="shared" si="41"/>
        <v>19278000</v>
      </c>
      <c r="W110" s="141">
        <f t="shared" si="41"/>
        <v>17136000</v>
      </c>
      <c r="X110" s="141">
        <f t="shared" si="41"/>
        <v>19278000</v>
      </c>
      <c r="Y110" s="141">
        <f t="shared" si="41"/>
        <v>23133600</v>
      </c>
      <c r="Z110" s="141">
        <f t="shared" si="41"/>
        <v>18207000</v>
      </c>
      <c r="AA110" s="141">
        <f t="shared" si="41"/>
        <v>7282800</v>
      </c>
      <c r="AB110" s="141">
        <f t="shared" si="41"/>
        <v>19278000</v>
      </c>
      <c r="AC110" s="141">
        <f t="shared" si="41"/>
        <v>17136000</v>
      </c>
      <c r="AD110" s="141">
        <f t="shared" si="41"/>
        <v>20349000</v>
      </c>
      <c r="AE110" s="141">
        <f t="shared" si="41"/>
        <v>19117350</v>
      </c>
      <c r="AF110" s="141">
        <f t="shared" si="41"/>
        <v>18207000</v>
      </c>
      <c r="AG110" s="141">
        <f t="shared" si="41"/>
        <v>20349000</v>
      </c>
      <c r="AH110" s="141">
        <f t="shared" si="41"/>
        <v>17136000</v>
      </c>
      <c r="AI110" s="141">
        <f t="shared" si="41"/>
        <v>19278000</v>
      </c>
      <c r="AJ110" s="141">
        <f t="shared" si="41"/>
        <v>19278000</v>
      </c>
      <c r="AK110" s="141">
        <f t="shared" si="41"/>
        <v>20563200</v>
      </c>
      <c r="AL110" s="141">
        <f t="shared" si="41"/>
        <v>20349000</v>
      </c>
      <c r="AM110" s="141">
        <f t="shared" si="41"/>
        <v>6854400</v>
      </c>
      <c r="AN110" s="141">
        <f t="shared" si="41"/>
        <v>18207000</v>
      </c>
      <c r="AO110" s="141">
        <f t="shared" si="41"/>
        <v>18207000</v>
      </c>
      <c r="AP110" s="141">
        <f t="shared" si="41"/>
        <v>20349000</v>
      </c>
      <c r="AQ110" s="141">
        <f t="shared" si="41"/>
        <v>17992800</v>
      </c>
      <c r="AR110" s="141">
        <f t="shared" si="41"/>
        <v>19278000</v>
      </c>
      <c r="AS110" s="141">
        <f t="shared" si="41"/>
        <v>19278000</v>
      </c>
      <c r="AT110" s="141">
        <f t="shared" si="41"/>
        <v>17136000</v>
      </c>
      <c r="AU110" s="141">
        <f t="shared" si="41"/>
        <v>20349000</v>
      </c>
      <c r="AV110" s="141">
        <f t="shared" si="41"/>
        <v>18207000</v>
      </c>
      <c r="AW110" s="141">
        <f t="shared" si="41"/>
        <v>21848400</v>
      </c>
      <c r="AX110" s="141">
        <f t="shared" si="41"/>
        <v>20349000</v>
      </c>
      <c r="AY110" s="141">
        <f t="shared" si="41"/>
        <v>6854400</v>
      </c>
      <c r="AZ110" s="141">
        <f t="shared" si="41"/>
        <v>17136000</v>
      </c>
      <c r="BA110" s="141">
        <f t="shared" si="41"/>
        <v>19278000</v>
      </c>
      <c r="BB110" s="141">
        <f t="shared" si="41"/>
        <v>19278000</v>
      </c>
      <c r="BC110" s="141">
        <f t="shared" si="41"/>
        <v>17992800</v>
      </c>
      <c r="BD110" s="141">
        <f t="shared" si="41"/>
        <v>20349000</v>
      </c>
      <c r="BE110" s="141">
        <f t="shared" si="41"/>
        <v>18207000</v>
      </c>
      <c r="BF110" s="141">
        <f t="shared" si="41"/>
        <v>18207000</v>
      </c>
      <c r="BG110" s="141">
        <f t="shared" si="41"/>
        <v>20349000</v>
      </c>
      <c r="BH110" s="141">
        <f t="shared" si="41"/>
        <v>17136000</v>
      </c>
      <c r="BI110" s="141">
        <f t="shared" si="41"/>
        <v>23133600</v>
      </c>
      <c r="BJ110" s="141">
        <f t="shared" si="41"/>
        <v>19278000</v>
      </c>
      <c r="BK110" s="141">
        <f t="shared" si="41"/>
        <v>6854400</v>
      </c>
      <c r="BL110" s="141">
        <f t="shared" si="41"/>
        <v>18207000</v>
      </c>
      <c r="BM110" s="141">
        <f t="shared" si="41"/>
        <v>19278000</v>
      </c>
      <c r="BN110" s="141">
        <f t="shared" si="41"/>
        <v>18207000</v>
      </c>
      <c r="BO110" s="141"/>
    </row>
    <row r="111" ht="13.5" customHeight="1" outlineLevel="1">
      <c r="A111" s="147"/>
      <c r="B111" s="139"/>
      <c r="C111" s="147" t="s">
        <v>173</v>
      </c>
      <c r="D111" s="147"/>
      <c r="E111" s="148"/>
      <c r="F111" s="146"/>
      <c r="G111" s="146">
        <f t="shared" ref="G111:BN111" si="42">G109-G110</f>
        <v>1208610000</v>
      </c>
      <c r="H111" s="146">
        <f t="shared" si="42"/>
        <v>702853200</v>
      </c>
      <c r="I111" s="146">
        <f t="shared" si="42"/>
        <v>774440100</v>
      </c>
      <c r="J111" s="146">
        <f t="shared" si="42"/>
        <v>937137600</v>
      </c>
      <c r="K111" s="146">
        <f t="shared" si="42"/>
        <v>995708700</v>
      </c>
      <c r="L111" s="146">
        <f t="shared" si="42"/>
        <v>1106343000</v>
      </c>
      <c r="M111" s="146">
        <f t="shared" si="42"/>
        <v>1483801200</v>
      </c>
      <c r="N111" s="146">
        <f t="shared" si="42"/>
        <v>1041264000</v>
      </c>
      <c r="O111" s="146">
        <f t="shared" si="42"/>
        <v>416505600</v>
      </c>
      <c r="P111" s="146">
        <f t="shared" si="42"/>
        <v>1236501000</v>
      </c>
      <c r="Q111" s="146">
        <f t="shared" si="42"/>
        <v>1106343000</v>
      </c>
      <c r="R111" s="146">
        <f t="shared" si="42"/>
        <v>1106343000</v>
      </c>
      <c r="S111" s="146">
        <f t="shared" si="42"/>
        <v>1229993100</v>
      </c>
      <c r="T111" s="146">
        <f t="shared" si="42"/>
        <v>1106343000</v>
      </c>
      <c r="U111" s="146">
        <f t="shared" si="42"/>
        <v>1171422000</v>
      </c>
      <c r="V111" s="146">
        <f t="shared" si="42"/>
        <v>1171422000</v>
      </c>
      <c r="W111" s="146">
        <f t="shared" si="42"/>
        <v>1041264000</v>
      </c>
      <c r="X111" s="146">
        <f t="shared" si="42"/>
        <v>1171422000</v>
      </c>
      <c r="Y111" s="146">
        <f t="shared" si="42"/>
        <v>1405706400</v>
      </c>
      <c r="Z111" s="146">
        <f t="shared" si="42"/>
        <v>1106343000</v>
      </c>
      <c r="AA111" s="146">
        <f t="shared" si="42"/>
        <v>442537200</v>
      </c>
      <c r="AB111" s="146">
        <f t="shared" si="42"/>
        <v>1171422000</v>
      </c>
      <c r="AC111" s="146">
        <f t="shared" si="42"/>
        <v>1041264000</v>
      </c>
      <c r="AD111" s="146">
        <f t="shared" si="42"/>
        <v>1236501000</v>
      </c>
      <c r="AE111" s="146">
        <f t="shared" si="42"/>
        <v>1161660150</v>
      </c>
      <c r="AF111" s="146">
        <f t="shared" si="42"/>
        <v>1106343000</v>
      </c>
      <c r="AG111" s="146">
        <f t="shared" si="42"/>
        <v>1236501000</v>
      </c>
      <c r="AH111" s="146">
        <f t="shared" si="42"/>
        <v>1041264000</v>
      </c>
      <c r="AI111" s="146">
        <f t="shared" si="42"/>
        <v>1171422000</v>
      </c>
      <c r="AJ111" s="146">
        <f t="shared" si="42"/>
        <v>1171422000</v>
      </c>
      <c r="AK111" s="146">
        <f t="shared" si="42"/>
        <v>1249516800</v>
      </c>
      <c r="AL111" s="146">
        <f t="shared" si="42"/>
        <v>1236501000</v>
      </c>
      <c r="AM111" s="146">
        <f t="shared" si="42"/>
        <v>416505600</v>
      </c>
      <c r="AN111" s="146">
        <f t="shared" si="42"/>
        <v>1106343000</v>
      </c>
      <c r="AO111" s="146">
        <f t="shared" si="42"/>
        <v>1106343000</v>
      </c>
      <c r="AP111" s="146">
        <f t="shared" si="42"/>
        <v>1236501000</v>
      </c>
      <c r="AQ111" s="146">
        <f t="shared" si="42"/>
        <v>1093327200</v>
      </c>
      <c r="AR111" s="146">
        <f t="shared" si="42"/>
        <v>1171422000</v>
      </c>
      <c r="AS111" s="146">
        <f t="shared" si="42"/>
        <v>1171422000</v>
      </c>
      <c r="AT111" s="146">
        <f t="shared" si="42"/>
        <v>1041264000</v>
      </c>
      <c r="AU111" s="146">
        <f t="shared" si="42"/>
        <v>1236501000</v>
      </c>
      <c r="AV111" s="146">
        <f t="shared" si="42"/>
        <v>1106343000</v>
      </c>
      <c r="AW111" s="146">
        <f t="shared" si="42"/>
        <v>1327611600</v>
      </c>
      <c r="AX111" s="146">
        <f t="shared" si="42"/>
        <v>1236501000</v>
      </c>
      <c r="AY111" s="146">
        <f t="shared" si="42"/>
        <v>416505600</v>
      </c>
      <c r="AZ111" s="146">
        <f t="shared" si="42"/>
        <v>1041264000</v>
      </c>
      <c r="BA111" s="146">
        <f t="shared" si="42"/>
        <v>1171422000</v>
      </c>
      <c r="BB111" s="146">
        <f t="shared" si="42"/>
        <v>1171422000</v>
      </c>
      <c r="BC111" s="146">
        <f t="shared" si="42"/>
        <v>1093327200</v>
      </c>
      <c r="BD111" s="146">
        <f t="shared" si="42"/>
        <v>1236501000</v>
      </c>
      <c r="BE111" s="146">
        <f t="shared" si="42"/>
        <v>1106343000</v>
      </c>
      <c r="BF111" s="146">
        <f t="shared" si="42"/>
        <v>1106343000</v>
      </c>
      <c r="BG111" s="146">
        <f t="shared" si="42"/>
        <v>1236501000</v>
      </c>
      <c r="BH111" s="146">
        <f t="shared" si="42"/>
        <v>1041264000</v>
      </c>
      <c r="BI111" s="146">
        <f t="shared" si="42"/>
        <v>1405706400</v>
      </c>
      <c r="BJ111" s="146">
        <f t="shared" si="42"/>
        <v>1171422000</v>
      </c>
      <c r="BK111" s="146">
        <f t="shared" si="42"/>
        <v>416505600</v>
      </c>
      <c r="BL111" s="146">
        <f t="shared" si="42"/>
        <v>1106343000</v>
      </c>
      <c r="BM111" s="146">
        <f t="shared" si="42"/>
        <v>1171422000</v>
      </c>
      <c r="BN111" s="146">
        <f t="shared" si="42"/>
        <v>1106343000</v>
      </c>
      <c r="BO111" s="146"/>
    </row>
    <row r="112" ht="13.5" customHeight="1" outlineLevel="1">
      <c r="A112" s="138"/>
      <c r="B112" s="139"/>
      <c r="C112" s="138" t="s">
        <v>98</v>
      </c>
      <c r="D112" s="138"/>
      <c r="E112" s="140"/>
      <c r="F112" s="141"/>
      <c r="G112" s="141">
        <f t="shared" ref="G112:BN112" si="43">G57</f>
        <v>335790000</v>
      </c>
      <c r="H112" s="141">
        <f t="shared" si="43"/>
        <v>195274800</v>
      </c>
      <c r="I112" s="141">
        <f t="shared" si="43"/>
        <v>215163900</v>
      </c>
      <c r="J112" s="141">
        <f t="shared" si="43"/>
        <v>260366400</v>
      </c>
      <c r="K112" s="141">
        <f t="shared" si="43"/>
        <v>276639300</v>
      </c>
      <c r="L112" s="141">
        <f t="shared" si="43"/>
        <v>307377000</v>
      </c>
      <c r="M112" s="141">
        <f t="shared" si="43"/>
        <v>412246800</v>
      </c>
      <c r="N112" s="141">
        <f t="shared" si="43"/>
        <v>289296000</v>
      </c>
      <c r="O112" s="141">
        <f t="shared" si="43"/>
        <v>115718400</v>
      </c>
      <c r="P112" s="141">
        <f t="shared" si="43"/>
        <v>343539000</v>
      </c>
      <c r="Q112" s="141">
        <f t="shared" si="43"/>
        <v>307377000</v>
      </c>
      <c r="R112" s="141">
        <f t="shared" si="43"/>
        <v>307377000</v>
      </c>
      <c r="S112" s="141">
        <f t="shared" si="43"/>
        <v>341730900</v>
      </c>
      <c r="T112" s="141">
        <f t="shared" si="43"/>
        <v>307377000</v>
      </c>
      <c r="U112" s="141">
        <f t="shared" si="43"/>
        <v>325458000</v>
      </c>
      <c r="V112" s="141">
        <f t="shared" si="43"/>
        <v>325458000</v>
      </c>
      <c r="W112" s="141">
        <f t="shared" si="43"/>
        <v>289296000</v>
      </c>
      <c r="X112" s="141">
        <f t="shared" si="43"/>
        <v>325458000</v>
      </c>
      <c r="Y112" s="141">
        <f t="shared" si="43"/>
        <v>390549600</v>
      </c>
      <c r="Z112" s="141">
        <f t="shared" si="43"/>
        <v>307377000</v>
      </c>
      <c r="AA112" s="141">
        <f t="shared" si="43"/>
        <v>122950800</v>
      </c>
      <c r="AB112" s="141">
        <f t="shared" si="43"/>
        <v>325458000</v>
      </c>
      <c r="AC112" s="141">
        <f t="shared" si="43"/>
        <v>289296000</v>
      </c>
      <c r="AD112" s="141">
        <f t="shared" si="43"/>
        <v>343539000</v>
      </c>
      <c r="AE112" s="141">
        <f t="shared" si="43"/>
        <v>322745850</v>
      </c>
      <c r="AF112" s="141">
        <f t="shared" si="43"/>
        <v>307377000</v>
      </c>
      <c r="AG112" s="141">
        <f t="shared" si="43"/>
        <v>343539000</v>
      </c>
      <c r="AH112" s="141">
        <f t="shared" si="43"/>
        <v>289296000</v>
      </c>
      <c r="AI112" s="141">
        <f t="shared" si="43"/>
        <v>325458000</v>
      </c>
      <c r="AJ112" s="141">
        <f t="shared" si="43"/>
        <v>325458000</v>
      </c>
      <c r="AK112" s="141">
        <f t="shared" si="43"/>
        <v>347155200</v>
      </c>
      <c r="AL112" s="141">
        <f t="shared" si="43"/>
        <v>343539000</v>
      </c>
      <c r="AM112" s="141">
        <f t="shared" si="43"/>
        <v>115718400</v>
      </c>
      <c r="AN112" s="141">
        <f t="shared" si="43"/>
        <v>307377000</v>
      </c>
      <c r="AO112" s="141">
        <f t="shared" si="43"/>
        <v>307377000</v>
      </c>
      <c r="AP112" s="141">
        <f t="shared" si="43"/>
        <v>343539000</v>
      </c>
      <c r="AQ112" s="141">
        <f t="shared" si="43"/>
        <v>303760800</v>
      </c>
      <c r="AR112" s="141">
        <f t="shared" si="43"/>
        <v>325458000</v>
      </c>
      <c r="AS112" s="141">
        <f t="shared" si="43"/>
        <v>325458000</v>
      </c>
      <c r="AT112" s="141">
        <f t="shared" si="43"/>
        <v>289296000</v>
      </c>
      <c r="AU112" s="141">
        <f t="shared" si="43"/>
        <v>343539000</v>
      </c>
      <c r="AV112" s="141">
        <f t="shared" si="43"/>
        <v>307377000</v>
      </c>
      <c r="AW112" s="141">
        <f t="shared" si="43"/>
        <v>368852400</v>
      </c>
      <c r="AX112" s="141">
        <f t="shared" si="43"/>
        <v>343539000</v>
      </c>
      <c r="AY112" s="141">
        <f t="shared" si="43"/>
        <v>115718400</v>
      </c>
      <c r="AZ112" s="141">
        <f t="shared" si="43"/>
        <v>289296000</v>
      </c>
      <c r="BA112" s="141">
        <f t="shared" si="43"/>
        <v>325458000</v>
      </c>
      <c r="BB112" s="141">
        <f t="shared" si="43"/>
        <v>325458000</v>
      </c>
      <c r="BC112" s="141">
        <f t="shared" si="43"/>
        <v>303760800</v>
      </c>
      <c r="BD112" s="141">
        <f t="shared" si="43"/>
        <v>343539000</v>
      </c>
      <c r="BE112" s="141">
        <f t="shared" si="43"/>
        <v>307377000</v>
      </c>
      <c r="BF112" s="141">
        <f t="shared" si="43"/>
        <v>307377000</v>
      </c>
      <c r="BG112" s="141">
        <f t="shared" si="43"/>
        <v>343539000</v>
      </c>
      <c r="BH112" s="141">
        <f t="shared" si="43"/>
        <v>289296000</v>
      </c>
      <c r="BI112" s="141">
        <f t="shared" si="43"/>
        <v>390549600</v>
      </c>
      <c r="BJ112" s="141">
        <f t="shared" si="43"/>
        <v>325458000</v>
      </c>
      <c r="BK112" s="141">
        <f t="shared" si="43"/>
        <v>115718400</v>
      </c>
      <c r="BL112" s="141">
        <f t="shared" si="43"/>
        <v>307377000</v>
      </c>
      <c r="BM112" s="141">
        <f t="shared" si="43"/>
        <v>325458000</v>
      </c>
      <c r="BN112" s="141">
        <f t="shared" si="43"/>
        <v>307377000</v>
      </c>
      <c r="BO112" s="141"/>
    </row>
    <row r="113" ht="13.5" customHeight="1" outlineLevel="1">
      <c r="A113" s="147"/>
      <c r="B113" s="139"/>
      <c r="C113" s="147" t="s">
        <v>174</v>
      </c>
      <c r="D113" s="147"/>
      <c r="E113" s="148"/>
      <c r="F113" s="146"/>
      <c r="G113" s="146">
        <f t="shared" ref="G113:BN113" si="44">G111-G112</f>
        <v>872820000</v>
      </c>
      <c r="H113" s="146">
        <f t="shared" si="44"/>
        <v>507578400</v>
      </c>
      <c r="I113" s="146">
        <f t="shared" si="44"/>
        <v>559276200</v>
      </c>
      <c r="J113" s="146">
        <f t="shared" si="44"/>
        <v>676771200</v>
      </c>
      <c r="K113" s="146">
        <f t="shared" si="44"/>
        <v>719069400</v>
      </c>
      <c r="L113" s="146">
        <f t="shared" si="44"/>
        <v>798966000</v>
      </c>
      <c r="M113" s="146">
        <f t="shared" si="44"/>
        <v>1071554400</v>
      </c>
      <c r="N113" s="146">
        <f t="shared" si="44"/>
        <v>751968000</v>
      </c>
      <c r="O113" s="146">
        <f t="shared" si="44"/>
        <v>300787200</v>
      </c>
      <c r="P113" s="146">
        <f t="shared" si="44"/>
        <v>892962000</v>
      </c>
      <c r="Q113" s="146">
        <f t="shared" si="44"/>
        <v>798966000</v>
      </c>
      <c r="R113" s="146">
        <f t="shared" si="44"/>
        <v>798966000</v>
      </c>
      <c r="S113" s="146">
        <f t="shared" si="44"/>
        <v>888262200</v>
      </c>
      <c r="T113" s="146">
        <f t="shared" si="44"/>
        <v>798966000</v>
      </c>
      <c r="U113" s="146">
        <f t="shared" si="44"/>
        <v>845964000</v>
      </c>
      <c r="V113" s="146">
        <f t="shared" si="44"/>
        <v>845964000</v>
      </c>
      <c r="W113" s="146">
        <f t="shared" si="44"/>
        <v>751968000</v>
      </c>
      <c r="X113" s="146">
        <f t="shared" si="44"/>
        <v>845964000</v>
      </c>
      <c r="Y113" s="146">
        <f t="shared" si="44"/>
        <v>1015156800</v>
      </c>
      <c r="Z113" s="146">
        <f t="shared" si="44"/>
        <v>798966000</v>
      </c>
      <c r="AA113" s="146">
        <f t="shared" si="44"/>
        <v>319586400</v>
      </c>
      <c r="AB113" s="146">
        <f t="shared" si="44"/>
        <v>845964000</v>
      </c>
      <c r="AC113" s="146">
        <f t="shared" si="44"/>
        <v>751968000</v>
      </c>
      <c r="AD113" s="146">
        <f t="shared" si="44"/>
        <v>892962000</v>
      </c>
      <c r="AE113" s="146">
        <f t="shared" si="44"/>
        <v>838914300</v>
      </c>
      <c r="AF113" s="146">
        <f t="shared" si="44"/>
        <v>798966000</v>
      </c>
      <c r="AG113" s="146">
        <f t="shared" si="44"/>
        <v>892962000</v>
      </c>
      <c r="AH113" s="146">
        <f t="shared" si="44"/>
        <v>751968000</v>
      </c>
      <c r="AI113" s="146">
        <f t="shared" si="44"/>
        <v>845964000</v>
      </c>
      <c r="AJ113" s="146">
        <f t="shared" si="44"/>
        <v>845964000</v>
      </c>
      <c r="AK113" s="146">
        <f t="shared" si="44"/>
        <v>902361600</v>
      </c>
      <c r="AL113" s="146">
        <f t="shared" si="44"/>
        <v>892962000</v>
      </c>
      <c r="AM113" s="146">
        <f t="shared" si="44"/>
        <v>300787200</v>
      </c>
      <c r="AN113" s="146">
        <f t="shared" si="44"/>
        <v>798966000</v>
      </c>
      <c r="AO113" s="146">
        <f t="shared" si="44"/>
        <v>798966000</v>
      </c>
      <c r="AP113" s="146">
        <f t="shared" si="44"/>
        <v>892962000</v>
      </c>
      <c r="AQ113" s="146">
        <f t="shared" si="44"/>
        <v>789566400</v>
      </c>
      <c r="AR113" s="146">
        <f t="shared" si="44"/>
        <v>845964000</v>
      </c>
      <c r="AS113" s="146">
        <f t="shared" si="44"/>
        <v>845964000</v>
      </c>
      <c r="AT113" s="146">
        <f t="shared" si="44"/>
        <v>751968000</v>
      </c>
      <c r="AU113" s="146">
        <f t="shared" si="44"/>
        <v>892962000</v>
      </c>
      <c r="AV113" s="146">
        <f t="shared" si="44"/>
        <v>798966000</v>
      </c>
      <c r="AW113" s="146">
        <f t="shared" si="44"/>
        <v>958759200</v>
      </c>
      <c r="AX113" s="146">
        <f t="shared" si="44"/>
        <v>892962000</v>
      </c>
      <c r="AY113" s="146">
        <f t="shared" si="44"/>
        <v>300787200</v>
      </c>
      <c r="AZ113" s="146">
        <f t="shared" si="44"/>
        <v>751968000</v>
      </c>
      <c r="BA113" s="146">
        <f t="shared" si="44"/>
        <v>845964000</v>
      </c>
      <c r="BB113" s="146">
        <f t="shared" si="44"/>
        <v>845964000</v>
      </c>
      <c r="BC113" s="146">
        <f t="shared" si="44"/>
        <v>789566400</v>
      </c>
      <c r="BD113" s="146">
        <f t="shared" si="44"/>
        <v>892962000</v>
      </c>
      <c r="BE113" s="146">
        <f t="shared" si="44"/>
        <v>798966000</v>
      </c>
      <c r="BF113" s="146">
        <f t="shared" si="44"/>
        <v>798966000</v>
      </c>
      <c r="BG113" s="146">
        <f t="shared" si="44"/>
        <v>892962000</v>
      </c>
      <c r="BH113" s="146">
        <f t="shared" si="44"/>
        <v>751968000</v>
      </c>
      <c r="BI113" s="146">
        <f t="shared" si="44"/>
        <v>1015156800</v>
      </c>
      <c r="BJ113" s="146">
        <f t="shared" si="44"/>
        <v>845964000</v>
      </c>
      <c r="BK113" s="146">
        <f t="shared" si="44"/>
        <v>300787200</v>
      </c>
      <c r="BL113" s="146">
        <f t="shared" si="44"/>
        <v>798966000</v>
      </c>
      <c r="BM113" s="146">
        <f t="shared" si="44"/>
        <v>845964000</v>
      </c>
      <c r="BN113" s="146">
        <f t="shared" si="44"/>
        <v>798966000</v>
      </c>
      <c r="BO113" s="146"/>
    </row>
    <row r="114" ht="13.5" customHeight="1" outlineLevel="1">
      <c r="A114" s="155"/>
      <c r="B114" s="158"/>
      <c r="C114" s="154" t="s">
        <v>175</v>
      </c>
      <c r="D114" s="155"/>
      <c r="E114" s="140"/>
      <c r="F114" s="156"/>
      <c r="G114" s="162">
        <f t="shared" ref="G114:BN114" si="45">G113/G$109</f>
        <v>0.7104761905</v>
      </c>
      <c r="H114" s="162">
        <f t="shared" si="45"/>
        <v>0.7104761905</v>
      </c>
      <c r="I114" s="162">
        <f t="shared" si="45"/>
        <v>0.7104761905</v>
      </c>
      <c r="J114" s="162">
        <f t="shared" si="45"/>
        <v>0.7104761905</v>
      </c>
      <c r="K114" s="162">
        <f t="shared" si="45"/>
        <v>0.7104761905</v>
      </c>
      <c r="L114" s="162">
        <f t="shared" si="45"/>
        <v>0.7104761905</v>
      </c>
      <c r="M114" s="162">
        <f t="shared" si="45"/>
        <v>0.7104761905</v>
      </c>
      <c r="N114" s="162">
        <f t="shared" si="45"/>
        <v>0.7104761905</v>
      </c>
      <c r="O114" s="162">
        <f t="shared" si="45"/>
        <v>0.7104761905</v>
      </c>
      <c r="P114" s="162">
        <f t="shared" si="45"/>
        <v>0.7104761905</v>
      </c>
      <c r="Q114" s="162">
        <f t="shared" si="45"/>
        <v>0.7104761905</v>
      </c>
      <c r="R114" s="162">
        <f t="shared" si="45"/>
        <v>0.7104761905</v>
      </c>
      <c r="S114" s="162">
        <f t="shared" si="45"/>
        <v>0.7104761905</v>
      </c>
      <c r="T114" s="162">
        <f t="shared" si="45"/>
        <v>0.7104761905</v>
      </c>
      <c r="U114" s="162">
        <f t="shared" si="45"/>
        <v>0.7104761905</v>
      </c>
      <c r="V114" s="162">
        <f t="shared" si="45"/>
        <v>0.7104761905</v>
      </c>
      <c r="W114" s="162">
        <f t="shared" si="45"/>
        <v>0.7104761905</v>
      </c>
      <c r="X114" s="162">
        <f t="shared" si="45"/>
        <v>0.7104761905</v>
      </c>
      <c r="Y114" s="162">
        <f t="shared" si="45"/>
        <v>0.7104761905</v>
      </c>
      <c r="Z114" s="162">
        <f t="shared" si="45"/>
        <v>0.7104761905</v>
      </c>
      <c r="AA114" s="162">
        <f t="shared" si="45"/>
        <v>0.7104761905</v>
      </c>
      <c r="AB114" s="162">
        <f t="shared" si="45"/>
        <v>0.7104761905</v>
      </c>
      <c r="AC114" s="162">
        <f t="shared" si="45"/>
        <v>0.7104761905</v>
      </c>
      <c r="AD114" s="162">
        <f t="shared" si="45"/>
        <v>0.7104761905</v>
      </c>
      <c r="AE114" s="162">
        <f t="shared" si="45"/>
        <v>0.7104761905</v>
      </c>
      <c r="AF114" s="162">
        <f t="shared" si="45"/>
        <v>0.7104761905</v>
      </c>
      <c r="AG114" s="162">
        <f t="shared" si="45"/>
        <v>0.7104761905</v>
      </c>
      <c r="AH114" s="162">
        <f t="shared" si="45"/>
        <v>0.7104761905</v>
      </c>
      <c r="AI114" s="162">
        <f t="shared" si="45"/>
        <v>0.7104761905</v>
      </c>
      <c r="AJ114" s="162">
        <f t="shared" si="45"/>
        <v>0.7104761905</v>
      </c>
      <c r="AK114" s="162">
        <f t="shared" si="45"/>
        <v>0.7104761905</v>
      </c>
      <c r="AL114" s="162">
        <f t="shared" si="45"/>
        <v>0.7104761905</v>
      </c>
      <c r="AM114" s="162">
        <f t="shared" si="45"/>
        <v>0.7104761905</v>
      </c>
      <c r="AN114" s="162">
        <f t="shared" si="45"/>
        <v>0.7104761905</v>
      </c>
      <c r="AO114" s="162">
        <f t="shared" si="45"/>
        <v>0.7104761905</v>
      </c>
      <c r="AP114" s="162">
        <f t="shared" si="45"/>
        <v>0.7104761905</v>
      </c>
      <c r="AQ114" s="162">
        <f t="shared" si="45"/>
        <v>0.7104761905</v>
      </c>
      <c r="AR114" s="162">
        <f t="shared" si="45"/>
        <v>0.7104761905</v>
      </c>
      <c r="AS114" s="162">
        <f t="shared" si="45"/>
        <v>0.7104761905</v>
      </c>
      <c r="AT114" s="162">
        <f t="shared" si="45"/>
        <v>0.7104761905</v>
      </c>
      <c r="AU114" s="162">
        <f t="shared" si="45"/>
        <v>0.7104761905</v>
      </c>
      <c r="AV114" s="162">
        <f t="shared" si="45"/>
        <v>0.7104761905</v>
      </c>
      <c r="AW114" s="162">
        <f t="shared" si="45"/>
        <v>0.7104761905</v>
      </c>
      <c r="AX114" s="162">
        <f t="shared" si="45"/>
        <v>0.7104761905</v>
      </c>
      <c r="AY114" s="162">
        <f t="shared" si="45"/>
        <v>0.7104761905</v>
      </c>
      <c r="AZ114" s="162">
        <f t="shared" si="45"/>
        <v>0.7104761905</v>
      </c>
      <c r="BA114" s="162">
        <f t="shared" si="45"/>
        <v>0.7104761905</v>
      </c>
      <c r="BB114" s="162">
        <f t="shared" si="45"/>
        <v>0.7104761905</v>
      </c>
      <c r="BC114" s="162">
        <f t="shared" si="45"/>
        <v>0.7104761905</v>
      </c>
      <c r="BD114" s="162">
        <f t="shared" si="45"/>
        <v>0.7104761905</v>
      </c>
      <c r="BE114" s="162">
        <f t="shared" si="45"/>
        <v>0.7104761905</v>
      </c>
      <c r="BF114" s="162">
        <f t="shared" si="45"/>
        <v>0.7104761905</v>
      </c>
      <c r="BG114" s="162">
        <f t="shared" si="45"/>
        <v>0.7104761905</v>
      </c>
      <c r="BH114" s="162">
        <f t="shared" si="45"/>
        <v>0.7104761905</v>
      </c>
      <c r="BI114" s="162">
        <f t="shared" si="45"/>
        <v>0.7104761905</v>
      </c>
      <c r="BJ114" s="162">
        <f t="shared" si="45"/>
        <v>0.7104761905</v>
      </c>
      <c r="BK114" s="162">
        <f t="shared" si="45"/>
        <v>0.7104761905</v>
      </c>
      <c r="BL114" s="162">
        <f t="shared" si="45"/>
        <v>0.7104761905</v>
      </c>
      <c r="BM114" s="162">
        <f t="shared" si="45"/>
        <v>0.7104761905</v>
      </c>
      <c r="BN114" s="162">
        <f t="shared" si="45"/>
        <v>0.7104761905</v>
      </c>
      <c r="BO114" s="162"/>
    </row>
    <row r="115" ht="13.5" customHeight="1" outlineLevel="1">
      <c r="A115" s="138"/>
      <c r="B115" s="139"/>
      <c r="C115" s="138" t="s">
        <v>158</v>
      </c>
      <c r="D115" s="138"/>
      <c r="E115" s="140"/>
      <c r="F115" s="141"/>
      <c r="G115" s="141">
        <f t="shared" ref="G115:BN115" si="46">G60</f>
        <v>317320851.3</v>
      </c>
      <c r="H115" s="141">
        <f t="shared" si="46"/>
        <v>317320851.3</v>
      </c>
      <c r="I115" s="141">
        <f t="shared" si="46"/>
        <v>317320851.3</v>
      </c>
      <c r="J115" s="141">
        <f t="shared" si="46"/>
        <v>317320851.3</v>
      </c>
      <c r="K115" s="141">
        <f t="shared" si="46"/>
        <v>317320851.3</v>
      </c>
      <c r="L115" s="141">
        <f t="shared" si="46"/>
        <v>317320851.3</v>
      </c>
      <c r="M115" s="141">
        <f t="shared" si="46"/>
        <v>317320851.3</v>
      </c>
      <c r="N115" s="141">
        <f t="shared" si="46"/>
        <v>317320851.3</v>
      </c>
      <c r="O115" s="141">
        <f t="shared" si="46"/>
        <v>317320851.3</v>
      </c>
      <c r="P115" s="141">
        <f t="shared" si="46"/>
        <v>317320851.3</v>
      </c>
      <c r="Q115" s="141">
        <f t="shared" si="46"/>
        <v>317320851.3</v>
      </c>
      <c r="R115" s="141">
        <f t="shared" si="46"/>
        <v>317320851.3</v>
      </c>
      <c r="S115" s="141">
        <f t="shared" si="46"/>
        <v>317320851.3</v>
      </c>
      <c r="T115" s="141">
        <f t="shared" si="46"/>
        <v>317320851.3</v>
      </c>
      <c r="U115" s="141">
        <f t="shared" si="46"/>
        <v>317320851.3</v>
      </c>
      <c r="V115" s="141">
        <f t="shared" si="46"/>
        <v>317320851.3</v>
      </c>
      <c r="W115" s="141">
        <f t="shared" si="46"/>
        <v>317320851.3</v>
      </c>
      <c r="X115" s="141">
        <f t="shared" si="46"/>
        <v>317320851.3</v>
      </c>
      <c r="Y115" s="141">
        <f t="shared" si="46"/>
        <v>317320851.3</v>
      </c>
      <c r="Z115" s="141">
        <f t="shared" si="46"/>
        <v>317320851.3</v>
      </c>
      <c r="AA115" s="141">
        <f t="shared" si="46"/>
        <v>317320851.3</v>
      </c>
      <c r="AB115" s="141">
        <f t="shared" si="46"/>
        <v>317320851.3</v>
      </c>
      <c r="AC115" s="141">
        <f t="shared" si="46"/>
        <v>317320851.3</v>
      </c>
      <c r="AD115" s="141">
        <f t="shared" si="46"/>
        <v>317320851.3</v>
      </c>
      <c r="AE115" s="141">
        <f t="shared" si="46"/>
        <v>317320851.3</v>
      </c>
      <c r="AF115" s="141">
        <f t="shared" si="46"/>
        <v>317320851.3</v>
      </c>
      <c r="AG115" s="141">
        <f t="shared" si="46"/>
        <v>317320851.3</v>
      </c>
      <c r="AH115" s="141">
        <f t="shared" si="46"/>
        <v>317320851.3</v>
      </c>
      <c r="AI115" s="141">
        <f t="shared" si="46"/>
        <v>317320851.3</v>
      </c>
      <c r="AJ115" s="141">
        <f t="shared" si="46"/>
        <v>317320851.3</v>
      </c>
      <c r="AK115" s="141">
        <f t="shared" si="46"/>
        <v>317320851.3</v>
      </c>
      <c r="AL115" s="141">
        <f t="shared" si="46"/>
        <v>317320851.3</v>
      </c>
      <c r="AM115" s="141">
        <f t="shared" si="46"/>
        <v>317320851.3</v>
      </c>
      <c r="AN115" s="141">
        <f t="shared" si="46"/>
        <v>317320851.3</v>
      </c>
      <c r="AO115" s="141">
        <f t="shared" si="46"/>
        <v>317320851.3</v>
      </c>
      <c r="AP115" s="141">
        <f t="shared" si="46"/>
        <v>317320851.3</v>
      </c>
      <c r="AQ115" s="141">
        <f t="shared" si="46"/>
        <v>317320851.3</v>
      </c>
      <c r="AR115" s="141">
        <f t="shared" si="46"/>
        <v>317320851.3</v>
      </c>
      <c r="AS115" s="141">
        <f t="shared" si="46"/>
        <v>317320851.3</v>
      </c>
      <c r="AT115" s="141">
        <f t="shared" si="46"/>
        <v>317320851.3</v>
      </c>
      <c r="AU115" s="141">
        <f t="shared" si="46"/>
        <v>317320851.3</v>
      </c>
      <c r="AV115" s="141">
        <f t="shared" si="46"/>
        <v>317320851.3</v>
      </c>
      <c r="AW115" s="141">
        <f t="shared" si="46"/>
        <v>317320851.3</v>
      </c>
      <c r="AX115" s="141">
        <f t="shared" si="46"/>
        <v>317320851.3</v>
      </c>
      <c r="AY115" s="141">
        <f t="shared" si="46"/>
        <v>317320851.3</v>
      </c>
      <c r="AZ115" s="141">
        <f t="shared" si="46"/>
        <v>317320851.3</v>
      </c>
      <c r="BA115" s="141">
        <f t="shared" si="46"/>
        <v>317320851.3</v>
      </c>
      <c r="BB115" s="141">
        <f t="shared" si="46"/>
        <v>317320851.3</v>
      </c>
      <c r="BC115" s="141">
        <f t="shared" si="46"/>
        <v>317320851.3</v>
      </c>
      <c r="BD115" s="141">
        <f t="shared" si="46"/>
        <v>317320851.3</v>
      </c>
      <c r="BE115" s="141">
        <f t="shared" si="46"/>
        <v>317320851.3</v>
      </c>
      <c r="BF115" s="141">
        <f t="shared" si="46"/>
        <v>317320851.3</v>
      </c>
      <c r="BG115" s="141">
        <f t="shared" si="46"/>
        <v>317320851.3</v>
      </c>
      <c r="BH115" s="141">
        <f t="shared" si="46"/>
        <v>317320851.3</v>
      </c>
      <c r="BI115" s="141">
        <f t="shared" si="46"/>
        <v>317320851.3</v>
      </c>
      <c r="BJ115" s="141">
        <f t="shared" si="46"/>
        <v>317320851.3</v>
      </c>
      <c r="BK115" s="141">
        <f t="shared" si="46"/>
        <v>317320851.3</v>
      </c>
      <c r="BL115" s="141">
        <f t="shared" si="46"/>
        <v>317320851.3</v>
      </c>
      <c r="BM115" s="141">
        <f t="shared" si="46"/>
        <v>317320851.3</v>
      </c>
      <c r="BN115" s="141">
        <f t="shared" si="46"/>
        <v>317320851.3</v>
      </c>
      <c r="BO115" s="141"/>
    </row>
    <row r="116" ht="13.5" customHeight="1" outlineLevel="1">
      <c r="A116" s="138"/>
      <c r="B116" s="139"/>
      <c r="C116" s="138" t="s">
        <v>159</v>
      </c>
      <c r="D116" s="138"/>
      <c r="E116" s="140"/>
      <c r="F116" s="141"/>
      <c r="G116" s="141">
        <f t="shared" ref="G116:BN116" si="47">G61</f>
        <v>75000000</v>
      </c>
      <c r="H116" s="141">
        <f t="shared" si="47"/>
        <v>75000000</v>
      </c>
      <c r="I116" s="141">
        <f t="shared" si="47"/>
        <v>75000000</v>
      </c>
      <c r="J116" s="141">
        <f t="shared" si="47"/>
        <v>75000000</v>
      </c>
      <c r="K116" s="141">
        <f t="shared" si="47"/>
        <v>75000000</v>
      </c>
      <c r="L116" s="141">
        <f t="shared" si="47"/>
        <v>75000000</v>
      </c>
      <c r="M116" s="141">
        <f t="shared" si="47"/>
        <v>75000000</v>
      </c>
      <c r="N116" s="141">
        <f t="shared" si="47"/>
        <v>75000000</v>
      </c>
      <c r="O116" s="141">
        <f t="shared" si="47"/>
        <v>75000000</v>
      </c>
      <c r="P116" s="141">
        <f t="shared" si="47"/>
        <v>75000000</v>
      </c>
      <c r="Q116" s="141">
        <f t="shared" si="47"/>
        <v>75000000</v>
      </c>
      <c r="R116" s="141">
        <f t="shared" si="47"/>
        <v>75000000</v>
      </c>
      <c r="S116" s="141">
        <f t="shared" si="47"/>
        <v>75000000</v>
      </c>
      <c r="T116" s="141">
        <f t="shared" si="47"/>
        <v>75000000</v>
      </c>
      <c r="U116" s="141">
        <f t="shared" si="47"/>
        <v>75000000</v>
      </c>
      <c r="V116" s="141">
        <f t="shared" si="47"/>
        <v>75000000</v>
      </c>
      <c r="W116" s="141">
        <f t="shared" si="47"/>
        <v>75000000</v>
      </c>
      <c r="X116" s="141">
        <f t="shared" si="47"/>
        <v>75000000</v>
      </c>
      <c r="Y116" s="141">
        <f t="shared" si="47"/>
        <v>75000000</v>
      </c>
      <c r="Z116" s="141">
        <f t="shared" si="47"/>
        <v>75000000</v>
      </c>
      <c r="AA116" s="141">
        <f t="shared" si="47"/>
        <v>75000000</v>
      </c>
      <c r="AB116" s="141">
        <f t="shared" si="47"/>
        <v>75000000</v>
      </c>
      <c r="AC116" s="141">
        <f t="shared" si="47"/>
        <v>75000000</v>
      </c>
      <c r="AD116" s="141">
        <f t="shared" si="47"/>
        <v>75000000</v>
      </c>
      <c r="AE116" s="141">
        <f t="shared" si="47"/>
        <v>81000000</v>
      </c>
      <c r="AF116" s="141">
        <f t="shared" si="47"/>
        <v>81000000</v>
      </c>
      <c r="AG116" s="141">
        <f t="shared" si="47"/>
        <v>81000000</v>
      </c>
      <c r="AH116" s="141">
        <f t="shared" si="47"/>
        <v>81000000</v>
      </c>
      <c r="AI116" s="141">
        <f t="shared" si="47"/>
        <v>81000000</v>
      </c>
      <c r="AJ116" s="141">
        <f t="shared" si="47"/>
        <v>81000000</v>
      </c>
      <c r="AK116" s="141">
        <f t="shared" si="47"/>
        <v>81000000</v>
      </c>
      <c r="AL116" s="141">
        <f t="shared" si="47"/>
        <v>81000000</v>
      </c>
      <c r="AM116" s="141">
        <f t="shared" si="47"/>
        <v>81000000</v>
      </c>
      <c r="AN116" s="141">
        <f t="shared" si="47"/>
        <v>81000000</v>
      </c>
      <c r="AO116" s="141">
        <f t="shared" si="47"/>
        <v>81000000</v>
      </c>
      <c r="AP116" s="141">
        <f t="shared" si="47"/>
        <v>81000000</v>
      </c>
      <c r="AQ116" s="141">
        <f t="shared" si="47"/>
        <v>81000000</v>
      </c>
      <c r="AR116" s="141">
        <f t="shared" si="47"/>
        <v>81000000</v>
      </c>
      <c r="AS116" s="141">
        <f t="shared" si="47"/>
        <v>81000000</v>
      </c>
      <c r="AT116" s="141">
        <f t="shared" si="47"/>
        <v>81000000</v>
      </c>
      <c r="AU116" s="141">
        <f t="shared" si="47"/>
        <v>81000000</v>
      </c>
      <c r="AV116" s="141">
        <f t="shared" si="47"/>
        <v>81000000</v>
      </c>
      <c r="AW116" s="141">
        <f t="shared" si="47"/>
        <v>81000000</v>
      </c>
      <c r="AX116" s="141">
        <f t="shared" si="47"/>
        <v>81000000</v>
      </c>
      <c r="AY116" s="141">
        <f t="shared" si="47"/>
        <v>81000000</v>
      </c>
      <c r="AZ116" s="141">
        <f t="shared" si="47"/>
        <v>81000000</v>
      </c>
      <c r="BA116" s="141">
        <f t="shared" si="47"/>
        <v>81000000</v>
      </c>
      <c r="BB116" s="141">
        <f t="shared" si="47"/>
        <v>81000000</v>
      </c>
      <c r="BC116" s="141">
        <f t="shared" si="47"/>
        <v>87480000</v>
      </c>
      <c r="BD116" s="141">
        <f t="shared" si="47"/>
        <v>87480000</v>
      </c>
      <c r="BE116" s="141">
        <f t="shared" si="47"/>
        <v>87480000</v>
      </c>
      <c r="BF116" s="141">
        <f t="shared" si="47"/>
        <v>87480000</v>
      </c>
      <c r="BG116" s="141">
        <f t="shared" si="47"/>
        <v>87480000</v>
      </c>
      <c r="BH116" s="141">
        <f t="shared" si="47"/>
        <v>87480000</v>
      </c>
      <c r="BI116" s="141">
        <f t="shared" si="47"/>
        <v>87480000</v>
      </c>
      <c r="BJ116" s="141">
        <f t="shared" si="47"/>
        <v>87480000</v>
      </c>
      <c r="BK116" s="141">
        <f t="shared" si="47"/>
        <v>87480000</v>
      </c>
      <c r="BL116" s="141">
        <f t="shared" si="47"/>
        <v>87480000</v>
      </c>
      <c r="BM116" s="141">
        <f t="shared" si="47"/>
        <v>87480000</v>
      </c>
      <c r="BN116" s="141">
        <f t="shared" si="47"/>
        <v>87480000</v>
      </c>
      <c r="BO116" s="141"/>
    </row>
    <row r="117" ht="13.5" customHeight="1" outlineLevel="1">
      <c r="A117" s="138"/>
      <c r="B117" s="139"/>
      <c r="C117" s="138" t="s">
        <v>176</v>
      </c>
      <c r="D117" s="138"/>
      <c r="E117" s="140"/>
      <c r="F117" s="141"/>
      <c r="G117" s="141">
        <f t="shared" ref="G117:BN117" si="48">G73</f>
        <v>75000000</v>
      </c>
      <c r="H117" s="141">
        <f t="shared" si="48"/>
        <v>75000000</v>
      </c>
      <c r="I117" s="141">
        <f t="shared" si="48"/>
        <v>75000000</v>
      </c>
      <c r="J117" s="141">
        <f t="shared" si="48"/>
        <v>75000000</v>
      </c>
      <c r="K117" s="141">
        <f t="shared" si="48"/>
        <v>75000000</v>
      </c>
      <c r="L117" s="141">
        <f t="shared" si="48"/>
        <v>75000000</v>
      </c>
      <c r="M117" s="141">
        <f t="shared" si="48"/>
        <v>75000000</v>
      </c>
      <c r="N117" s="141">
        <f t="shared" si="48"/>
        <v>75000000</v>
      </c>
      <c r="O117" s="141">
        <f t="shared" si="48"/>
        <v>75000000</v>
      </c>
      <c r="P117" s="141">
        <f t="shared" si="48"/>
        <v>75000000</v>
      </c>
      <c r="Q117" s="141">
        <f t="shared" si="48"/>
        <v>75000000</v>
      </c>
      <c r="R117" s="141">
        <f t="shared" si="48"/>
        <v>75000000</v>
      </c>
      <c r="S117" s="141">
        <f t="shared" si="48"/>
        <v>78000000</v>
      </c>
      <c r="T117" s="141">
        <f t="shared" si="48"/>
        <v>78000000</v>
      </c>
      <c r="U117" s="141">
        <f t="shared" si="48"/>
        <v>78000000</v>
      </c>
      <c r="V117" s="141">
        <f t="shared" si="48"/>
        <v>78000000</v>
      </c>
      <c r="W117" s="141">
        <f t="shared" si="48"/>
        <v>78000000</v>
      </c>
      <c r="X117" s="141">
        <f t="shared" si="48"/>
        <v>78000000</v>
      </c>
      <c r="Y117" s="141">
        <f t="shared" si="48"/>
        <v>78000000</v>
      </c>
      <c r="Z117" s="141">
        <f t="shared" si="48"/>
        <v>78000000</v>
      </c>
      <c r="AA117" s="141">
        <f t="shared" si="48"/>
        <v>78000000</v>
      </c>
      <c r="AB117" s="141">
        <f t="shared" si="48"/>
        <v>78000000</v>
      </c>
      <c r="AC117" s="141">
        <f t="shared" si="48"/>
        <v>78000000</v>
      </c>
      <c r="AD117" s="141">
        <f t="shared" si="48"/>
        <v>78000000</v>
      </c>
      <c r="AE117" s="141">
        <f t="shared" si="48"/>
        <v>81120000</v>
      </c>
      <c r="AF117" s="141">
        <f t="shared" si="48"/>
        <v>81120000</v>
      </c>
      <c r="AG117" s="141">
        <f t="shared" si="48"/>
        <v>81120000</v>
      </c>
      <c r="AH117" s="141">
        <f t="shared" si="48"/>
        <v>81120000</v>
      </c>
      <c r="AI117" s="141">
        <f t="shared" si="48"/>
        <v>81120000</v>
      </c>
      <c r="AJ117" s="141">
        <f t="shared" si="48"/>
        <v>81120000</v>
      </c>
      <c r="AK117" s="141">
        <f t="shared" si="48"/>
        <v>81120000</v>
      </c>
      <c r="AL117" s="141">
        <f t="shared" si="48"/>
        <v>81120000</v>
      </c>
      <c r="AM117" s="141">
        <f t="shared" si="48"/>
        <v>81120000</v>
      </c>
      <c r="AN117" s="141">
        <f t="shared" si="48"/>
        <v>81120000</v>
      </c>
      <c r="AO117" s="141">
        <f t="shared" si="48"/>
        <v>81120000</v>
      </c>
      <c r="AP117" s="141">
        <f t="shared" si="48"/>
        <v>81120000</v>
      </c>
      <c r="AQ117" s="141">
        <f t="shared" si="48"/>
        <v>84364800</v>
      </c>
      <c r="AR117" s="141">
        <f t="shared" si="48"/>
        <v>84364800</v>
      </c>
      <c r="AS117" s="141">
        <f t="shared" si="48"/>
        <v>84364800</v>
      </c>
      <c r="AT117" s="141">
        <f t="shared" si="48"/>
        <v>84364800</v>
      </c>
      <c r="AU117" s="141">
        <f t="shared" si="48"/>
        <v>84364800</v>
      </c>
      <c r="AV117" s="141">
        <f t="shared" si="48"/>
        <v>84364800</v>
      </c>
      <c r="AW117" s="141">
        <f t="shared" si="48"/>
        <v>84364800</v>
      </c>
      <c r="AX117" s="141">
        <f t="shared" si="48"/>
        <v>84364800</v>
      </c>
      <c r="AY117" s="141">
        <f t="shared" si="48"/>
        <v>84364800</v>
      </c>
      <c r="AZ117" s="141">
        <f t="shared" si="48"/>
        <v>84364800</v>
      </c>
      <c r="BA117" s="141">
        <f t="shared" si="48"/>
        <v>84364800</v>
      </c>
      <c r="BB117" s="141">
        <f t="shared" si="48"/>
        <v>84364800</v>
      </c>
      <c r="BC117" s="141">
        <f t="shared" si="48"/>
        <v>87739392</v>
      </c>
      <c r="BD117" s="141">
        <f t="shared" si="48"/>
        <v>87739392</v>
      </c>
      <c r="BE117" s="141">
        <f t="shared" si="48"/>
        <v>87739392</v>
      </c>
      <c r="BF117" s="141">
        <f t="shared" si="48"/>
        <v>87739392</v>
      </c>
      <c r="BG117" s="141">
        <f t="shared" si="48"/>
        <v>87739392</v>
      </c>
      <c r="BH117" s="141">
        <f t="shared" si="48"/>
        <v>87739392</v>
      </c>
      <c r="BI117" s="141">
        <f t="shared" si="48"/>
        <v>87739392</v>
      </c>
      <c r="BJ117" s="141">
        <f t="shared" si="48"/>
        <v>87739392</v>
      </c>
      <c r="BK117" s="141">
        <f t="shared" si="48"/>
        <v>87739392</v>
      </c>
      <c r="BL117" s="141">
        <f t="shared" si="48"/>
        <v>87739392</v>
      </c>
      <c r="BM117" s="141">
        <f t="shared" si="48"/>
        <v>87739392</v>
      </c>
      <c r="BN117" s="141">
        <f t="shared" si="48"/>
        <v>87739392</v>
      </c>
      <c r="BO117" s="141"/>
    </row>
    <row r="118" ht="13.5" customHeight="1" outlineLevel="1">
      <c r="A118" s="138"/>
      <c r="B118" s="163"/>
      <c r="C118" s="138" t="s">
        <v>117</v>
      </c>
      <c r="D118" s="138"/>
      <c r="E118" s="140"/>
      <c r="F118" s="141"/>
      <c r="G118" s="141">
        <f t="shared" ref="G118:BN118" si="49">G76</f>
        <v>58500000</v>
      </c>
      <c r="H118" s="141">
        <f t="shared" si="49"/>
        <v>34020000</v>
      </c>
      <c r="I118" s="141">
        <f t="shared" si="49"/>
        <v>37485000</v>
      </c>
      <c r="J118" s="141">
        <f t="shared" si="49"/>
        <v>45360000</v>
      </c>
      <c r="K118" s="141">
        <f t="shared" si="49"/>
        <v>48195000</v>
      </c>
      <c r="L118" s="141">
        <f t="shared" si="49"/>
        <v>53550000</v>
      </c>
      <c r="M118" s="141">
        <f t="shared" si="49"/>
        <v>71820000</v>
      </c>
      <c r="N118" s="141">
        <f t="shared" si="49"/>
        <v>50400000</v>
      </c>
      <c r="O118" s="141">
        <f t="shared" si="49"/>
        <v>20160000</v>
      </c>
      <c r="P118" s="141">
        <f t="shared" si="49"/>
        <v>59850000</v>
      </c>
      <c r="Q118" s="141">
        <f t="shared" si="49"/>
        <v>53550000</v>
      </c>
      <c r="R118" s="141">
        <f t="shared" si="49"/>
        <v>53550000</v>
      </c>
      <c r="S118" s="141">
        <f t="shared" si="49"/>
        <v>59535000</v>
      </c>
      <c r="T118" s="141">
        <f t="shared" si="49"/>
        <v>53550000</v>
      </c>
      <c r="U118" s="141">
        <f t="shared" si="49"/>
        <v>56700000</v>
      </c>
      <c r="V118" s="141">
        <f t="shared" si="49"/>
        <v>56700000</v>
      </c>
      <c r="W118" s="141">
        <f t="shared" si="49"/>
        <v>50400000</v>
      </c>
      <c r="X118" s="141">
        <f t="shared" si="49"/>
        <v>56700000</v>
      </c>
      <c r="Y118" s="141">
        <f t="shared" si="49"/>
        <v>68040000</v>
      </c>
      <c r="Z118" s="141">
        <f t="shared" si="49"/>
        <v>53550000</v>
      </c>
      <c r="AA118" s="141">
        <f t="shared" si="49"/>
        <v>21420000</v>
      </c>
      <c r="AB118" s="141">
        <f t="shared" si="49"/>
        <v>56700000</v>
      </c>
      <c r="AC118" s="141">
        <f t="shared" si="49"/>
        <v>50400000</v>
      </c>
      <c r="AD118" s="141">
        <f t="shared" si="49"/>
        <v>59850000</v>
      </c>
      <c r="AE118" s="141">
        <f t="shared" si="49"/>
        <v>56227500</v>
      </c>
      <c r="AF118" s="141">
        <f t="shared" si="49"/>
        <v>53550000</v>
      </c>
      <c r="AG118" s="141">
        <f t="shared" si="49"/>
        <v>59850000</v>
      </c>
      <c r="AH118" s="141">
        <f t="shared" si="49"/>
        <v>50400000</v>
      </c>
      <c r="AI118" s="141">
        <f t="shared" si="49"/>
        <v>56700000</v>
      </c>
      <c r="AJ118" s="141">
        <f t="shared" si="49"/>
        <v>56700000</v>
      </c>
      <c r="AK118" s="141">
        <f t="shared" si="49"/>
        <v>60480000</v>
      </c>
      <c r="AL118" s="141">
        <f t="shared" si="49"/>
        <v>59850000</v>
      </c>
      <c r="AM118" s="141">
        <f t="shared" si="49"/>
        <v>20160000</v>
      </c>
      <c r="AN118" s="141">
        <f t="shared" si="49"/>
        <v>53550000</v>
      </c>
      <c r="AO118" s="141">
        <f t="shared" si="49"/>
        <v>53550000</v>
      </c>
      <c r="AP118" s="141">
        <f t="shared" si="49"/>
        <v>59850000</v>
      </c>
      <c r="AQ118" s="141">
        <f t="shared" si="49"/>
        <v>52920000</v>
      </c>
      <c r="AR118" s="141">
        <f t="shared" si="49"/>
        <v>56700000</v>
      </c>
      <c r="AS118" s="141">
        <f t="shared" si="49"/>
        <v>56700000</v>
      </c>
      <c r="AT118" s="141">
        <f t="shared" si="49"/>
        <v>50400000</v>
      </c>
      <c r="AU118" s="141">
        <f t="shared" si="49"/>
        <v>59850000</v>
      </c>
      <c r="AV118" s="141">
        <f t="shared" si="49"/>
        <v>53550000</v>
      </c>
      <c r="AW118" s="141">
        <f t="shared" si="49"/>
        <v>64260000</v>
      </c>
      <c r="AX118" s="141">
        <f t="shared" si="49"/>
        <v>59850000</v>
      </c>
      <c r="AY118" s="141">
        <f t="shared" si="49"/>
        <v>20160000</v>
      </c>
      <c r="AZ118" s="141">
        <f t="shared" si="49"/>
        <v>50400000</v>
      </c>
      <c r="BA118" s="141">
        <f t="shared" si="49"/>
        <v>56700000</v>
      </c>
      <c r="BB118" s="141">
        <f t="shared" si="49"/>
        <v>56700000</v>
      </c>
      <c r="BC118" s="141">
        <f t="shared" si="49"/>
        <v>52920000</v>
      </c>
      <c r="BD118" s="141">
        <f t="shared" si="49"/>
        <v>59850000</v>
      </c>
      <c r="BE118" s="141">
        <f t="shared" si="49"/>
        <v>53550000</v>
      </c>
      <c r="BF118" s="141">
        <f t="shared" si="49"/>
        <v>53550000</v>
      </c>
      <c r="BG118" s="141">
        <f t="shared" si="49"/>
        <v>59850000</v>
      </c>
      <c r="BH118" s="141">
        <f t="shared" si="49"/>
        <v>50400000</v>
      </c>
      <c r="BI118" s="141">
        <f t="shared" si="49"/>
        <v>68040000</v>
      </c>
      <c r="BJ118" s="141">
        <f t="shared" si="49"/>
        <v>56700000</v>
      </c>
      <c r="BK118" s="141">
        <f t="shared" si="49"/>
        <v>20160000</v>
      </c>
      <c r="BL118" s="141">
        <f t="shared" si="49"/>
        <v>53550000</v>
      </c>
      <c r="BM118" s="141">
        <f t="shared" si="49"/>
        <v>56700000</v>
      </c>
      <c r="BN118" s="141">
        <f t="shared" si="49"/>
        <v>53550000</v>
      </c>
      <c r="BO118" s="141"/>
    </row>
    <row r="119" ht="13.5" customHeight="1" outlineLevel="1">
      <c r="A119" s="138"/>
      <c r="B119" s="163"/>
      <c r="C119" s="138" t="s">
        <v>118</v>
      </c>
      <c r="D119" s="138"/>
      <c r="E119" s="140"/>
      <c r="F119" s="141"/>
      <c r="G119" s="141">
        <f t="shared" ref="G119:BN119" si="50">G77</f>
        <v>11700000</v>
      </c>
      <c r="H119" s="141">
        <f t="shared" si="50"/>
        <v>6804000</v>
      </c>
      <c r="I119" s="141">
        <f t="shared" si="50"/>
        <v>7497000</v>
      </c>
      <c r="J119" s="141">
        <f t="shared" si="50"/>
        <v>9072000</v>
      </c>
      <c r="K119" s="141">
        <f t="shared" si="50"/>
        <v>9639000</v>
      </c>
      <c r="L119" s="141">
        <f t="shared" si="50"/>
        <v>10710000</v>
      </c>
      <c r="M119" s="141">
        <f t="shared" si="50"/>
        <v>14364000</v>
      </c>
      <c r="N119" s="141">
        <f t="shared" si="50"/>
        <v>10080000</v>
      </c>
      <c r="O119" s="141">
        <f t="shared" si="50"/>
        <v>4032000</v>
      </c>
      <c r="P119" s="141">
        <f t="shared" si="50"/>
        <v>11970000</v>
      </c>
      <c r="Q119" s="141">
        <f t="shared" si="50"/>
        <v>10710000</v>
      </c>
      <c r="R119" s="141">
        <f t="shared" si="50"/>
        <v>10710000</v>
      </c>
      <c r="S119" s="141">
        <f t="shared" si="50"/>
        <v>11907000</v>
      </c>
      <c r="T119" s="141">
        <f t="shared" si="50"/>
        <v>10710000</v>
      </c>
      <c r="U119" s="141">
        <f t="shared" si="50"/>
        <v>11340000</v>
      </c>
      <c r="V119" s="141">
        <f t="shared" si="50"/>
        <v>11340000</v>
      </c>
      <c r="W119" s="141">
        <f t="shared" si="50"/>
        <v>10080000</v>
      </c>
      <c r="X119" s="141">
        <f t="shared" si="50"/>
        <v>11340000</v>
      </c>
      <c r="Y119" s="141">
        <f t="shared" si="50"/>
        <v>13608000</v>
      </c>
      <c r="Z119" s="141">
        <f t="shared" si="50"/>
        <v>10710000</v>
      </c>
      <c r="AA119" s="141">
        <f t="shared" si="50"/>
        <v>4284000</v>
      </c>
      <c r="AB119" s="141">
        <f t="shared" si="50"/>
        <v>11340000</v>
      </c>
      <c r="AC119" s="141">
        <f t="shared" si="50"/>
        <v>10080000</v>
      </c>
      <c r="AD119" s="141">
        <f t="shared" si="50"/>
        <v>11970000</v>
      </c>
      <c r="AE119" s="141">
        <f t="shared" si="50"/>
        <v>11245500</v>
      </c>
      <c r="AF119" s="141">
        <f t="shared" si="50"/>
        <v>10710000</v>
      </c>
      <c r="AG119" s="141">
        <f t="shared" si="50"/>
        <v>11970000</v>
      </c>
      <c r="AH119" s="141">
        <f t="shared" si="50"/>
        <v>10080000</v>
      </c>
      <c r="AI119" s="141">
        <f t="shared" si="50"/>
        <v>11340000</v>
      </c>
      <c r="AJ119" s="141">
        <f t="shared" si="50"/>
        <v>11340000</v>
      </c>
      <c r="AK119" s="141">
        <f t="shared" si="50"/>
        <v>12096000</v>
      </c>
      <c r="AL119" s="141">
        <f t="shared" si="50"/>
        <v>11970000</v>
      </c>
      <c r="AM119" s="141">
        <f t="shared" si="50"/>
        <v>4032000</v>
      </c>
      <c r="AN119" s="141">
        <f t="shared" si="50"/>
        <v>10710000</v>
      </c>
      <c r="AO119" s="141">
        <f t="shared" si="50"/>
        <v>10710000</v>
      </c>
      <c r="AP119" s="141">
        <f t="shared" si="50"/>
        <v>11970000</v>
      </c>
      <c r="AQ119" s="141">
        <f t="shared" si="50"/>
        <v>10584000</v>
      </c>
      <c r="AR119" s="141">
        <f t="shared" si="50"/>
        <v>11340000</v>
      </c>
      <c r="AS119" s="141">
        <f t="shared" si="50"/>
        <v>11340000</v>
      </c>
      <c r="AT119" s="141">
        <f t="shared" si="50"/>
        <v>10080000</v>
      </c>
      <c r="AU119" s="141">
        <f t="shared" si="50"/>
        <v>11970000</v>
      </c>
      <c r="AV119" s="141">
        <f t="shared" si="50"/>
        <v>10710000</v>
      </c>
      <c r="AW119" s="141">
        <f t="shared" si="50"/>
        <v>12852000</v>
      </c>
      <c r="AX119" s="141">
        <f t="shared" si="50"/>
        <v>11970000</v>
      </c>
      <c r="AY119" s="141">
        <f t="shared" si="50"/>
        <v>4032000</v>
      </c>
      <c r="AZ119" s="141">
        <f t="shared" si="50"/>
        <v>10080000</v>
      </c>
      <c r="BA119" s="141">
        <f t="shared" si="50"/>
        <v>11340000</v>
      </c>
      <c r="BB119" s="141">
        <f t="shared" si="50"/>
        <v>11340000</v>
      </c>
      <c r="BC119" s="141">
        <f t="shared" si="50"/>
        <v>10584000</v>
      </c>
      <c r="BD119" s="141">
        <f t="shared" si="50"/>
        <v>11970000</v>
      </c>
      <c r="BE119" s="141">
        <f t="shared" si="50"/>
        <v>10710000</v>
      </c>
      <c r="BF119" s="141">
        <f t="shared" si="50"/>
        <v>10710000</v>
      </c>
      <c r="BG119" s="141">
        <f t="shared" si="50"/>
        <v>11970000</v>
      </c>
      <c r="BH119" s="141">
        <f t="shared" si="50"/>
        <v>10080000</v>
      </c>
      <c r="BI119" s="141">
        <f t="shared" si="50"/>
        <v>13608000</v>
      </c>
      <c r="BJ119" s="141">
        <f t="shared" si="50"/>
        <v>11340000</v>
      </c>
      <c r="BK119" s="141">
        <f t="shared" si="50"/>
        <v>4032000</v>
      </c>
      <c r="BL119" s="141">
        <f t="shared" si="50"/>
        <v>10710000</v>
      </c>
      <c r="BM119" s="141">
        <f t="shared" si="50"/>
        <v>11340000</v>
      </c>
      <c r="BN119" s="141">
        <f t="shared" si="50"/>
        <v>10710000</v>
      </c>
      <c r="BO119" s="141"/>
    </row>
    <row r="120" ht="13.5" customHeight="1" outlineLevel="1">
      <c r="A120" s="147"/>
      <c r="B120" s="139"/>
      <c r="C120" s="147" t="s">
        <v>177</v>
      </c>
      <c r="D120" s="147"/>
      <c r="E120" s="148"/>
      <c r="F120" s="146"/>
      <c r="G120" s="146">
        <f t="shared" ref="G120:BN120" si="51">G113-SUM(G115:G119)</f>
        <v>335299148.7</v>
      </c>
      <c r="H120" s="146">
        <f t="shared" si="51"/>
        <v>-566451.2821</v>
      </c>
      <c r="I120" s="146">
        <f t="shared" si="51"/>
        <v>46973348.72</v>
      </c>
      <c r="J120" s="146">
        <f t="shared" si="51"/>
        <v>155018348.7</v>
      </c>
      <c r="K120" s="146">
        <f t="shared" si="51"/>
        <v>193914548.7</v>
      </c>
      <c r="L120" s="146">
        <f t="shared" si="51"/>
        <v>267385148.7</v>
      </c>
      <c r="M120" s="146">
        <f t="shared" si="51"/>
        <v>518049548.7</v>
      </c>
      <c r="N120" s="146">
        <f t="shared" si="51"/>
        <v>224167148.7</v>
      </c>
      <c r="O120" s="146">
        <f t="shared" si="51"/>
        <v>-190725651.3</v>
      </c>
      <c r="P120" s="146">
        <f t="shared" si="51"/>
        <v>353821148.7</v>
      </c>
      <c r="Q120" s="146">
        <f t="shared" si="51"/>
        <v>267385148.7</v>
      </c>
      <c r="R120" s="146">
        <f t="shared" si="51"/>
        <v>267385148.7</v>
      </c>
      <c r="S120" s="146">
        <f t="shared" si="51"/>
        <v>346499348.7</v>
      </c>
      <c r="T120" s="146">
        <f t="shared" si="51"/>
        <v>264385148.7</v>
      </c>
      <c r="U120" s="146">
        <f t="shared" si="51"/>
        <v>307603148.7</v>
      </c>
      <c r="V120" s="146">
        <f t="shared" si="51"/>
        <v>307603148.7</v>
      </c>
      <c r="W120" s="146">
        <f t="shared" si="51"/>
        <v>221167148.7</v>
      </c>
      <c r="X120" s="146">
        <f t="shared" si="51"/>
        <v>307603148.7</v>
      </c>
      <c r="Y120" s="146">
        <f t="shared" si="51"/>
        <v>463187948.7</v>
      </c>
      <c r="Z120" s="146">
        <f t="shared" si="51"/>
        <v>264385148.7</v>
      </c>
      <c r="AA120" s="146">
        <f t="shared" si="51"/>
        <v>-176438451.3</v>
      </c>
      <c r="AB120" s="146">
        <f t="shared" si="51"/>
        <v>307603148.7</v>
      </c>
      <c r="AC120" s="146">
        <f t="shared" si="51"/>
        <v>221167148.7</v>
      </c>
      <c r="AD120" s="146">
        <f t="shared" si="51"/>
        <v>350821148.7</v>
      </c>
      <c r="AE120" s="146">
        <f t="shared" si="51"/>
        <v>292000448.7</v>
      </c>
      <c r="AF120" s="146">
        <f t="shared" si="51"/>
        <v>255265148.7</v>
      </c>
      <c r="AG120" s="146">
        <f t="shared" si="51"/>
        <v>341701148.7</v>
      </c>
      <c r="AH120" s="146">
        <f t="shared" si="51"/>
        <v>212047148.7</v>
      </c>
      <c r="AI120" s="146">
        <f t="shared" si="51"/>
        <v>298483148.7</v>
      </c>
      <c r="AJ120" s="146">
        <f t="shared" si="51"/>
        <v>298483148.7</v>
      </c>
      <c r="AK120" s="146">
        <f t="shared" si="51"/>
        <v>350344748.7</v>
      </c>
      <c r="AL120" s="146">
        <f t="shared" si="51"/>
        <v>341701148.7</v>
      </c>
      <c r="AM120" s="146">
        <f t="shared" si="51"/>
        <v>-202845651.3</v>
      </c>
      <c r="AN120" s="146">
        <f t="shared" si="51"/>
        <v>255265148.7</v>
      </c>
      <c r="AO120" s="146">
        <f t="shared" si="51"/>
        <v>255265148.7</v>
      </c>
      <c r="AP120" s="146">
        <f t="shared" si="51"/>
        <v>341701148.7</v>
      </c>
      <c r="AQ120" s="146">
        <f t="shared" si="51"/>
        <v>243376748.7</v>
      </c>
      <c r="AR120" s="146">
        <f t="shared" si="51"/>
        <v>295238348.7</v>
      </c>
      <c r="AS120" s="146">
        <f t="shared" si="51"/>
        <v>295238348.7</v>
      </c>
      <c r="AT120" s="146">
        <f t="shared" si="51"/>
        <v>208802348.7</v>
      </c>
      <c r="AU120" s="146">
        <f t="shared" si="51"/>
        <v>338456348.7</v>
      </c>
      <c r="AV120" s="146">
        <f t="shared" si="51"/>
        <v>252020348.7</v>
      </c>
      <c r="AW120" s="146">
        <f t="shared" si="51"/>
        <v>398961548.7</v>
      </c>
      <c r="AX120" s="146">
        <f t="shared" si="51"/>
        <v>338456348.7</v>
      </c>
      <c r="AY120" s="146">
        <f t="shared" si="51"/>
        <v>-206090451.3</v>
      </c>
      <c r="AZ120" s="146">
        <f t="shared" si="51"/>
        <v>208802348.7</v>
      </c>
      <c r="BA120" s="146">
        <f t="shared" si="51"/>
        <v>295238348.7</v>
      </c>
      <c r="BB120" s="146">
        <f t="shared" si="51"/>
        <v>295238348.7</v>
      </c>
      <c r="BC120" s="146">
        <f t="shared" si="51"/>
        <v>233522156.7</v>
      </c>
      <c r="BD120" s="146">
        <f t="shared" si="51"/>
        <v>328601756.7</v>
      </c>
      <c r="BE120" s="146">
        <f t="shared" si="51"/>
        <v>242165756.7</v>
      </c>
      <c r="BF120" s="146">
        <f t="shared" si="51"/>
        <v>242165756.7</v>
      </c>
      <c r="BG120" s="146">
        <f t="shared" si="51"/>
        <v>328601756.7</v>
      </c>
      <c r="BH120" s="146">
        <f t="shared" si="51"/>
        <v>198947756.7</v>
      </c>
      <c r="BI120" s="146">
        <f t="shared" si="51"/>
        <v>440968556.7</v>
      </c>
      <c r="BJ120" s="146">
        <f t="shared" si="51"/>
        <v>285383756.7</v>
      </c>
      <c r="BK120" s="146">
        <f t="shared" si="51"/>
        <v>-215945043.3</v>
      </c>
      <c r="BL120" s="146">
        <f t="shared" si="51"/>
        <v>242165756.7</v>
      </c>
      <c r="BM120" s="146">
        <f t="shared" si="51"/>
        <v>285383756.7</v>
      </c>
      <c r="BN120" s="146">
        <f t="shared" si="51"/>
        <v>242165756.7</v>
      </c>
      <c r="BO120" s="146"/>
    </row>
    <row r="121" ht="13.5" customHeight="1" outlineLevel="1">
      <c r="A121" s="155"/>
      <c r="B121" s="158"/>
      <c r="C121" s="154" t="s">
        <v>178</v>
      </c>
      <c r="D121" s="155"/>
      <c r="E121" s="140"/>
      <c r="F121" s="156"/>
      <c r="G121" s="162">
        <f t="shared" ref="G121:BN121" si="52">G120/G$109</f>
        <v>0.27293378</v>
      </c>
      <c r="H121" s="162">
        <f t="shared" si="52"/>
        <v>-0.0007928827329</v>
      </c>
      <c r="I121" s="162">
        <f t="shared" si="52"/>
        <v>0.05967256581</v>
      </c>
      <c r="J121" s="162">
        <f t="shared" si="52"/>
        <v>0.1627386713</v>
      </c>
      <c r="K121" s="162">
        <f t="shared" si="52"/>
        <v>0.1915971808</v>
      </c>
      <c r="L121" s="162">
        <f t="shared" si="52"/>
        <v>0.2377707961</v>
      </c>
      <c r="M121" s="162">
        <f t="shared" si="52"/>
        <v>0.3434840731</v>
      </c>
      <c r="N121" s="162">
        <f t="shared" si="52"/>
        <v>0.2117981375</v>
      </c>
      <c r="O121" s="162">
        <f t="shared" si="52"/>
        <v>-0.4505046563</v>
      </c>
      <c r="P121" s="162">
        <f t="shared" si="52"/>
        <v>0.281514221</v>
      </c>
      <c r="Q121" s="162">
        <f t="shared" si="52"/>
        <v>0.2377707961</v>
      </c>
      <c r="R121" s="162">
        <f t="shared" si="52"/>
        <v>0.2377707961</v>
      </c>
      <c r="S121" s="162">
        <f t="shared" si="52"/>
        <v>0.2771473753</v>
      </c>
      <c r="T121" s="162">
        <f t="shared" si="52"/>
        <v>0.2351030623</v>
      </c>
      <c r="U121" s="162">
        <f t="shared" si="52"/>
        <v>0.2583380774</v>
      </c>
      <c r="V121" s="162">
        <f t="shared" si="52"/>
        <v>0.2583380774</v>
      </c>
      <c r="W121" s="162">
        <f t="shared" si="52"/>
        <v>0.2089636704</v>
      </c>
      <c r="X121" s="162">
        <f t="shared" si="52"/>
        <v>0.2583380774</v>
      </c>
      <c r="Y121" s="162">
        <f t="shared" si="52"/>
        <v>0.32417062</v>
      </c>
      <c r="Z121" s="162">
        <f t="shared" si="52"/>
        <v>0.2351030623</v>
      </c>
      <c r="AA121" s="162">
        <f t="shared" si="52"/>
        <v>-0.3922423442</v>
      </c>
      <c r="AB121" s="162">
        <f t="shared" si="52"/>
        <v>0.2583380774</v>
      </c>
      <c r="AC121" s="162">
        <f t="shared" si="52"/>
        <v>0.2089636704</v>
      </c>
      <c r="AD121" s="162">
        <f t="shared" si="52"/>
        <v>0.2791273014</v>
      </c>
      <c r="AE121" s="162">
        <f t="shared" si="52"/>
        <v>0.2472950651</v>
      </c>
      <c r="AF121" s="162">
        <f t="shared" si="52"/>
        <v>0.2269931517</v>
      </c>
      <c r="AG121" s="162">
        <f t="shared" si="52"/>
        <v>0.2718710655</v>
      </c>
      <c r="AH121" s="162">
        <f t="shared" si="52"/>
        <v>0.2003468903</v>
      </c>
      <c r="AI121" s="162">
        <f t="shared" si="52"/>
        <v>0.2506787173</v>
      </c>
      <c r="AJ121" s="162">
        <f t="shared" si="52"/>
        <v>0.2506787173</v>
      </c>
      <c r="AK121" s="162">
        <f t="shared" si="52"/>
        <v>0.2758446308</v>
      </c>
      <c r="AL121" s="162">
        <f t="shared" si="52"/>
        <v>0.2718710655</v>
      </c>
      <c r="AM121" s="162">
        <f t="shared" si="52"/>
        <v>-0.4791327742</v>
      </c>
      <c r="AN121" s="162">
        <f t="shared" si="52"/>
        <v>0.2269931517</v>
      </c>
      <c r="AO121" s="162">
        <f t="shared" si="52"/>
        <v>0.2269931517</v>
      </c>
      <c r="AP121" s="162">
        <f t="shared" si="52"/>
        <v>0.2718710655</v>
      </c>
      <c r="AQ121" s="162">
        <f t="shared" si="52"/>
        <v>0.2189979022</v>
      </c>
      <c r="AR121" s="162">
        <f t="shared" si="52"/>
        <v>0.2479535976</v>
      </c>
      <c r="AS121" s="162">
        <f t="shared" si="52"/>
        <v>0.2479535976</v>
      </c>
      <c r="AT121" s="162">
        <f t="shared" si="52"/>
        <v>0.1972811307</v>
      </c>
      <c r="AU121" s="162">
        <f t="shared" si="52"/>
        <v>0.2692893732</v>
      </c>
      <c r="AV121" s="162">
        <f t="shared" si="52"/>
        <v>0.2241077308</v>
      </c>
      <c r="AW121" s="162">
        <f t="shared" si="52"/>
        <v>0.2956453313</v>
      </c>
      <c r="AX121" s="162">
        <f t="shared" si="52"/>
        <v>0.2692893732</v>
      </c>
      <c r="AY121" s="162">
        <f t="shared" si="52"/>
        <v>-0.4867971733</v>
      </c>
      <c r="AZ121" s="162">
        <f t="shared" si="52"/>
        <v>0.1972811307</v>
      </c>
      <c r="BA121" s="162">
        <f t="shared" si="52"/>
        <v>0.2479535976</v>
      </c>
      <c r="BB121" s="162">
        <f t="shared" si="52"/>
        <v>0.2479535976</v>
      </c>
      <c r="BC121" s="162">
        <f t="shared" si="52"/>
        <v>0.2101304365</v>
      </c>
      <c r="BD121" s="162">
        <f t="shared" si="52"/>
        <v>0.2614486667</v>
      </c>
      <c r="BE121" s="162">
        <f t="shared" si="52"/>
        <v>0.2153445883</v>
      </c>
      <c r="BF121" s="162">
        <f t="shared" si="52"/>
        <v>0.2153445883</v>
      </c>
      <c r="BG121" s="162">
        <f t="shared" si="52"/>
        <v>0.2614486667</v>
      </c>
      <c r="BH121" s="162">
        <f t="shared" si="52"/>
        <v>0.1879702917</v>
      </c>
      <c r="BI121" s="162">
        <f t="shared" si="52"/>
        <v>0.3086199691</v>
      </c>
      <c r="BJ121" s="162">
        <f t="shared" si="52"/>
        <v>0.2396772963</v>
      </c>
      <c r="BK121" s="162">
        <f t="shared" si="52"/>
        <v>-0.5100742708</v>
      </c>
      <c r="BL121" s="162">
        <f t="shared" si="52"/>
        <v>0.2153445883</v>
      </c>
      <c r="BM121" s="162">
        <f t="shared" si="52"/>
        <v>0.2396772963</v>
      </c>
      <c r="BN121" s="162">
        <f t="shared" si="52"/>
        <v>0.2153445883</v>
      </c>
      <c r="BO121" s="162"/>
    </row>
    <row r="122" ht="13.5" customHeight="1" outlineLevel="1">
      <c r="A122" s="138"/>
      <c r="B122" s="139"/>
      <c r="C122" s="138" t="s">
        <v>165</v>
      </c>
      <c r="D122" s="138"/>
      <c r="E122" s="140"/>
      <c r="F122" s="141"/>
      <c r="G122" s="141">
        <f t="shared" ref="G122:BN122" si="53">SUM(G84,G89,G94,G99,G104)</f>
        <v>67697361.71</v>
      </c>
      <c r="H122" s="141">
        <f t="shared" si="53"/>
        <v>67697361.71</v>
      </c>
      <c r="I122" s="141">
        <f t="shared" si="53"/>
        <v>67697361.71</v>
      </c>
      <c r="J122" s="141">
        <f t="shared" si="53"/>
        <v>67697361.71</v>
      </c>
      <c r="K122" s="141">
        <f t="shared" si="53"/>
        <v>67697361.71</v>
      </c>
      <c r="L122" s="141">
        <f t="shared" si="53"/>
        <v>67697361.71</v>
      </c>
      <c r="M122" s="141">
        <f t="shared" si="53"/>
        <v>67697361.71</v>
      </c>
      <c r="N122" s="141">
        <f t="shared" si="53"/>
        <v>67697361.71</v>
      </c>
      <c r="O122" s="141">
        <f t="shared" si="53"/>
        <v>67697361.71</v>
      </c>
      <c r="P122" s="141">
        <f t="shared" si="53"/>
        <v>67697361.71</v>
      </c>
      <c r="Q122" s="141">
        <f t="shared" si="53"/>
        <v>67697361.71</v>
      </c>
      <c r="R122" s="141">
        <f t="shared" si="53"/>
        <v>67697361.71</v>
      </c>
      <c r="S122" s="141">
        <f t="shared" si="53"/>
        <v>67697361.71</v>
      </c>
      <c r="T122" s="141">
        <f t="shared" si="53"/>
        <v>67697361.71</v>
      </c>
      <c r="U122" s="141">
        <f t="shared" si="53"/>
        <v>67697361.71</v>
      </c>
      <c r="V122" s="141">
        <f t="shared" si="53"/>
        <v>67697361.71</v>
      </c>
      <c r="W122" s="141">
        <f t="shared" si="53"/>
        <v>67697361.71</v>
      </c>
      <c r="X122" s="141">
        <f t="shared" si="53"/>
        <v>67697361.71</v>
      </c>
      <c r="Y122" s="141">
        <f t="shared" si="53"/>
        <v>67697361.71</v>
      </c>
      <c r="Z122" s="141">
        <f t="shared" si="53"/>
        <v>67697361.71</v>
      </c>
      <c r="AA122" s="141">
        <f t="shared" si="53"/>
        <v>67697361.71</v>
      </c>
      <c r="AB122" s="141">
        <f t="shared" si="53"/>
        <v>67697361.71</v>
      </c>
      <c r="AC122" s="141">
        <f t="shared" si="53"/>
        <v>67697361.71</v>
      </c>
      <c r="AD122" s="141">
        <f t="shared" si="53"/>
        <v>67697361.71</v>
      </c>
      <c r="AE122" s="141">
        <f t="shared" si="53"/>
        <v>67697361.71</v>
      </c>
      <c r="AF122" s="141">
        <f t="shared" si="53"/>
        <v>67697361.71</v>
      </c>
      <c r="AG122" s="141">
        <f t="shared" si="53"/>
        <v>67697361.71</v>
      </c>
      <c r="AH122" s="141">
        <f t="shared" si="53"/>
        <v>67697361.71</v>
      </c>
      <c r="AI122" s="141">
        <f t="shared" si="53"/>
        <v>67697361.71</v>
      </c>
      <c r="AJ122" s="141">
        <f t="shared" si="53"/>
        <v>67697361.71</v>
      </c>
      <c r="AK122" s="141">
        <f t="shared" si="53"/>
        <v>67697361.71</v>
      </c>
      <c r="AL122" s="141">
        <f t="shared" si="53"/>
        <v>67697361.71</v>
      </c>
      <c r="AM122" s="141">
        <f t="shared" si="53"/>
        <v>67697361.71</v>
      </c>
      <c r="AN122" s="141">
        <f t="shared" si="53"/>
        <v>67697361.71</v>
      </c>
      <c r="AO122" s="141">
        <f t="shared" si="53"/>
        <v>67697361.71</v>
      </c>
      <c r="AP122" s="141">
        <f t="shared" si="53"/>
        <v>67697361.71</v>
      </c>
      <c r="AQ122" s="141">
        <f t="shared" si="53"/>
        <v>67697361.71</v>
      </c>
      <c r="AR122" s="141">
        <f t="shared" si="53"/>
        <v>67697361.71</v>
      </c>
      <c r="AS122" s="141">
        <f t="shared" si="53"/>
        <v>67697361.71</v>
      </c>
      <c r="AT122" s="141">
        <f t="shared" si="53"/>
        <v>67697361.71</v>
      </c>
      <c r="AU122" s="141">
        <f t="shared" si="53"/>
        <v>67697361.71</v>
      </c>
      <c r="AV122" s="141">
        <f t="shared" si="53"/>
        <v>67697361.71</v>
      </c>
      <c r="AW122" s="141">
        <f t="shared" si="53"/>
        <v>67697361.71</v>
      </c>
      <c r="AX122" s="141">
        <f t="shared" si="53"/>
        <v>67697361.71</v>
      </c>
      <c r="AY122" s="141">
        <f t="shared" si="53"/>
        <v>67697361.71</v>
      </c>
      <c r="AZ122" s="141">
        <f t="shared" si="53"/>
        <v>67697361.71</v>
      </c>
      <c r="BA122" s="141">
        <f t="shared" si="53"/>
        <v>67697361.71</v>
      </c>
      <c r="BB122" s="141">
        <f t="shared" si="53"/>
        <v>67697361.71</v>
      </c>
      <c r="BC122" s="141">
        <f t="shared" si="53"/>
        <v>67697361.71</v>
      </c>
      <c r="BD122" s="141">
        <f t="shared" si="53"/>
        <v>67697361.71</v>
      </c>
      <c r="BE122" s="141">
        <f t="shared" si="53"/>
        <v>67697361.71</v>
      </c>
      <c r="BF122" s="141">
        <f t="shared" si="53"/>
        <v>67697361.71</v>
      </c>
      <c r="BG122" s="141">
        <f t="shared" si="53"/>
        <v>67697361.71</v>
      </c>
      <c r="BH122" s="141">
        <f t="shared" si="53"/>
        <v>67697361.71</v>
      </c>
      <c r="BI122" s="141">
        <f t="shared" si="53"/>
        <v>67697361.71</v>
      </c>
      <c r="BJ122" s="141">
        <f t="shared" si="53"/>
        <v>67697361.71</v>
      </c>
      <c r="BK122" s="141">
        <f t="shared" si="53"/>
        <v>67697361.71</v>
      </c>
      <c r="BL122" s="141">
        <f t="shared" si="53"/>
        <v>67697361.71</v>
      </c>
      <c r="BM122" s="141">
        <f t="shared" si="53"/>
        <v>67697361.71</v>
      </c>
      <c r="BN122" s="141">
        <f t="shared" si="53"/>
        <v>67697361.71</v>
      </c>
      <c r="BO122" s="141"/>
    </row>
    <row r="123" ht="13.5" customHeight="1" outlineLevel="1">
      <c r="A123" s="147"/>
      <c r="B123" s="139"/>
      <c r="C123" s="147" t="s">
        <v>179</v>
      </c>
      <c r="D123" s="147"/>
      <c r="E123" s="148"/>
      <c r="F123" s="146"/>
      <c r="G123" s="146">
        <f t="shared" ref="G123:BN123" si="54">G120-G122</f>
        <v>267601787</v>
      </c>
      <c r="H123" s="146">
        <f t="shared" si="54"/>
        <v>-68263812.99</v>
      </c>
      <c r="I123" s="146">
        <f t="shared" si="54"/>
        <v>-20724012.99</v>
      </c>
      <c r="J123" s="146">
        <f t="shared" si="54"/>
        <v>87320987.01</v>
      </c>
      <c r="K123" s="146">
        <f t="shared" si="54"/>
        <v>126217187</v>
      </c>
      <c r="L123" s="146">
        <f t="shared" si="54"/>
        <v>199687787</v>
      </c>
      <c r="M123" s="146">
        <f t="shared" si="54"/>
        <v>450352187</v>
      </c>
      <c r="N123" s="146">
        <f t="shared" si="54"/>
        <v>156469787</v>
      </c>
      <c r="O123" s="146">
        <f t="shared" si="54"/>
        <v>-258423013</v>
      </c>
      <c r="P123" s="146">
        <f t="shared" si="54"/>
        <v>286123787</v>
      </c>
      <c r="Q123" s="146">
        <f t="shared" si="54"/>
        <v>199687787</v>
      </c>
      <c r="R123" s="146">
        <f t="shared" si="54"/>
        <v>199687787</v>
      </c>
      <c r="S123" s="146">
        <f t="shared" si="54"/>
        <v>278801987</v>
      </c>
      <c r="T123" s="146">
        <f t="shared" si="54"/>
        <v>196687787</v>
      </c>
      <c r="U123" s="146">
        <f t="shared" si="54"/>
        <v>239905787</v>
      </c>
      <c r="V123" s="146">
        <f t="shared" si="54"/>
        <v>239905787</v>
      </c>
      <c r="W123" s="146">
        <f t="shared" si="54"/>
        <v>153469787</v>
      </c>
      <c r="X123" s="146">
        <f t="shared" si="54"/>
        <v>239905787</v>
      </c>
      <c r="Y123" s="146">
        <f t="shared" si="54"/>
        <v>395490587</v>
      </c>
      <c r="Z123" s="146">
        <f t="shared" si="54"/>
        <v>196687787</v>
      </c>
      <c r="AA123" s="146">
        <f t="shared" si="54"/>
        <v>-244135813</v>
      </c>
      <c r="AB123" s="146">
        <f t="shared" si="54"/>
        <v>239905787</v>
      </c>
      <c r="AC123" s="146">
        <f t="shared" si="54"/>
        <v>153469787</v>
      </c>
      <c r="AD123" s="146">
        <f t="shared" si="54"/>
        <v>283123787</v>
      </c>
      <c r="AE123" s="146">
        <f t="shared" si="54"/>
        <v>224303087</v>
      </c>
      <c r="AF123" s="146">
        <f t="shared" si="54"/>
        <v>187567787</v>
      </c>
      <c r="AG123" s="146">
        <f t="shared" si="54"/>
        <v>274003787</v>
      </c>
      <c r="AH123" s="146">
        <f t="shared" si="54"/>
        <v>144349787</v>
      </c>
      <c r="AI123" s="146">
        <f t="shared" si="54"/>
        <v>230785787</v>
      </c>
      <c r="AJ123" s="146">
        <f t="shared" si="54"/>
        <v>230785787</v>
      </c>
      <c r="AK123" s="146">
        <f t="shared" si="54"/>
        <v>282647387</v>
      </c>
      <c r="AL123" s="146">
        <f t="shared" si="54"/>
        <v>274003787</v>
      </c>
      <c r="AM123" s="146">
        <f t="shared" si="54"/>
        <v>-270543013</v>
      </c>
      <c r="AN123" s="146">
        <f t="shared" si="54"/>
        <v>187567787</v>
      </c>
      <c r="AO123" s="146">
        <f t="shared" si="54"/>
        <v>187567787</v>
      </c>
      <c r="AP123" s="146">
        <f t="shared" si="54"/>
        <v>274003787</v>
      </c>
      <c r="AQ123" s="146">
        <f t="shared" si="54"/>
        <v>175679387</v>
      </c>
      <c r="AR123" s="146">
        <f t="shared" si="54"/>
        <v>227540987</v>
      </c>
      <c r="AS123" s="146">
        <f t="shared" si="54"/>
        <v>227540987</v>
      </c>
      <c r="AT123" s="146">
        <f t="shared" si="54"/>
        <v>141104987</v>
      </c>
      <c r="AU123" s="146">
        <f t="shared" si="54"/>
        <v>270758987</v>
      </c>
      <c r="AV123" s="146">
        <f t="shared" si="54"/>
        <v>184322987</v>
      </c>
      <c r="AW123" s="146">
        <f t="shared" si="54"/>
        <v>331264187</v>
      </c>
      <c r="AX123" s="146">
        <f t="shared" si="54"/>
        <v>270758987</v>
      </c>
      <c r="AY123" s="146">
        <f t="shared" si="54"/>
        <v>-273787813</v>
      </c>
      <c r="AZ123" s="146">
        <f t="shared" si="54"/>
        <v>141104987</v>
      </c>
      <c r="BA123" s="146">
        <f t="shared" si="54"/>
        <v>227540987</v>
      </c>
      <c r="BB123" s="146">
        <f t="shared" si="54"/>
        <v>227540987</v>
      </c>
      <c r="BC123" s="146">
        <f t="shared" si="54"/>
        <v>165824795</v>
      </c>
      <c r="BD123" s="146">
        <f t="shared" si="54"/>
        <v>260904395</v>
      </c>
      <c r="BE123" s="146">
        <f t="shared" si="54"/>
        <v>174468395</v>
      </c>
      <c r="BF123" s="146">
        <f t="shared" si="54"/>
        <v>174468395</v>
      </c>
      <c r="BG123" s="146">
        <f t="shared" si="54"/>
        <v>260904395</v>
      </c>
      <c r="BH123" s="146">
        <f t="shared" si="54"/>
        <v>131250395</v>
      </c>
      <c r="BI123" s="146">
        <f t="shared" si="54"/>
        <v>373271195</v>
      </c>
      <c r="BJ123" s="146">
        <f t="shared" si="54"/>
        <v>217686395</v>
      </c>
      <c r="BK123" s="146">
        <f t="shared" si="54"/>
        <v>-283642405</v>
      </c>
      <c r="BL123" s="146">
        <f t="shared" si="54"/>
        <v>174468395</v>
      </c>
      <c r="BM123" s="146">
        <f t="shared" si="54"/>
        <v>217686395</v>
      </c>
      <c r="BN123" s="146">
        <f t="shared" si="54"/>
        <v>174468395</v>
      </c>
      <c r="BO123" s="146"/>
    </row>
    <row r="124" ht="13.5" customHeight="1" outlineLevel="1">
      <c r="A124" s="155"/>
      <c r="B124" s="158"/>
      <c r="C124" s="154" t="s">
        <v>180</v>
      </c>
      <c r="D124" s="155"/>
      <c r="E124" s="140"/>
      <c r="F124" s="156"/>
      <c r="G124" s="162">
        <f t="shared" ref="G124:BN124" si="55">G123/G$109</f>
        <v>0.2178280725</v>
      </c>
      <c r="H124" s="162">
        <f t="shared" si="55"/>
        <v>-0.09555137453</v>
      </c>
      <c r="I124" s="162">
        <f t="shared" si="55"/>
        <v>-0.02632673767</v>
      </c>
      <c r="J124" s="162">
        <f t="shared" si="55"/>
        <v>0.09166980244</v>
      </c>
      <c r="K124" s="162">
        <f t="shared" si="55"/>
        <v>0.1247088337</v>
      </c>
      <c r="L124" s="162">
        <f t="shared" si="55"/>
        <v>0.1775712836</v>
      </c>
      <c r="M124" s="162">
        <f t="shared" si="55"/>
        <v>0.2985984717</v>
      </c>
      <c r="N124" s="162">
        <f t="shared" si="55"/>
        <v>0.1478361555</v>
      </c>
      <c r="O124" s="162">
        <f t="shared" si="55"/>
        <v>-0.6104096112</v>
      </c>
      <c r="P124" s="162">
        <f t="shared" si="55"/>
        <v>0.2276514994</v>
      </c>
      <c r="Q124" s="162">
        <f t="shared" si="55"/>
        <v>0.1775712836</v>
      </c>
      <c r="R124" s="162">
        <f t="shared" si="55"/>
        <v>0.1775712836</v>
      </c>
      <c r="S124" s="162">
        <f t="shared" si="55"/>
        <v>0.2229996657</v>
      </c>
      <c r="T124" s="162">
        <f t="shared" si="55"/>
        <v>0.1749035499</v>
      </c>
      <c r="U124" s="162">
        <f t="shared" si="55"/>
        <v>0.2014829823</v>
      </c>
      <c r="V124" s="162">
        <f t="shared" si="55"/>
        <v>0.2014829823</v>
      </c>
      <c r="W124" s="162">
        <f t="shared" si="55"/>
        <v>0.1450016884</v>
      </c>
      <c r="X124" s="162">
        <f t="shared" si="55"/>
        <v>0.2014829823</v>
      </c>
      <c r="Y124" s="162">
        <f t="shared" si="55"/>
        <v>0.2767913741</v>
      </c>
      <c r="Z124" s="162">
        <f t="shared" si="55"/>
        <v>0.1749035499</v>
      </c>
      <c r="AA124" s="162">
        <f t="shared" si="55"/>
        <v>-0.5427411253</v>
      </c>
      <c r="AB124" s="162">
        <f t="shared" si="55"/>
        <v>0.2014829823</v>
      </c>
      <c r="AC124" s="162">
        <f t="shared" si="55"/>
        <v>0.1450016884</v>
      </c>
      <c r="AD124" s="162">
        <f t="shared" si="55"/>
        <v>0.2252645797</v>
      </c>
      <c r="AE124" s="162">
        <f t="shared" si="55"/>
        <v>0.1899621961</v>
      </c>
      <c r="AF124" s="162">
        <f t="shared" si="55"/>
        <v>0.1667936392</v>
      </c>
      <c r="AG124" s="162">
        <f t="shared" si="55"/>
        <v>0.2180083439</v>
      </c>
      <c r="AH124" s="162">
        <f t="shared" si="55"/>
        <v>0.1363849084</v>
      </c>
      <c r="AI124" s="162">
        <f t="shared" si="55"/>
        <v>0.1938236222</v>
      </c>
      <c r="AJ124" s="162">
        <f t="shared" si="55"/>
        <v>0.1938236222</v>
      </c>
      <c r="AK124" s="162">
        <f t="shared" si="55"/>
        <v>0.2225429792</v>
      </c>
      <c r="AL124" s="162">
        <f t="shared" si="55"/>
        <v>0.2180083439</v>
      </c>
      <c r="AM124" s="162">
        <f t="shared" si="55"/>
        <v>-0.6390377291</v>
      </c>
      <c r="AN124" s="162">
        <f t="shared" si="55"/>
        <v>0.1667936392</v>
      </c>
      <c r="AO124" s="162">
        <f t="shared" si="55"/>
        <v>0.1667936392</v>
      </c>
      <c r="AP124" s="162">
        <f t="shared" si="55"/>
        <v>0.2180083439</v>
      </c>
      <c r="AQ124" s="162">
        <f t="shared" si="55"/>
        <v>0.1580817289</v>
      </c>
      <c r="AR124" s="162">
        <f t="shared" si="55"/>
        <v>0.1910985026</v>
      </c>
      <c r="AS124" s="162">
        <f t="shared" si="55"/>
        <v>0.1910985026</v>
      </c>
      <c r="AT124" s="162">
        <f t="shared" si="55"/>
        <v>0.1333191487</v>
      </c>
      <c r="AU124" s="162">
        <f t="shared" si="55"/>
        <v>0.2154266516</v>
      </c>
      <c r="AV124" s="162">
        <f t="shared" si="55"/>
        <v>0.1639082184</v>
      </c>
      <c r="AW124" s="162">
        <f t="shared" si="55"/>
        <v>0.2454790709</v>
      </c>
      <c r="AX124" s="162">
        <f t="shared" si="55"/>
        <v>0.2154266516</v>
      </c>
      <c r="AY124" s="162">
        <f t="shared" si="55"/>
        <v>-0.6467021282</v>
      </c>
      <c r="AZ124" s="162">
        <f t="shared" si="55"/>
        <v>0.1333191487</v>
      </c>
      <c r="BA124" s="162">
        <f t="shared" si="55"/>
        <v>0.1910985026</v>
      </c>
      <c r="BB124" s="162">
        <f t="shared" si="55"/>
        <v>0.1910985026</v>
      </c>
      <c r="BC124" s="162">
        <f t="shared" si="55"/>
        <v>0.1492142632</v>
      </c>
      <c r="BD124" s="162">
        <f t="shared" si="55"/>
        <v>0.207585945</v>
      </c>
      <c r="BE124" s="162">
        <f t="shared" si="55"/>
        <v>0.1551450758</v>
      </c>
      <c r="BF124" s="162">
        <f t="shared" si="55"/>
        <v>0.1551450758</v>
      </c>
      <c r="BG124" s="162">
        <f t="shared" si="55"/>
        <v>0.207585945</v>
      </c>
      <c r="BH124" s="162">
        <f t="shared" si="55"/>
        <v>0.1240083097</v>
      </c>
      <c r="BI124" s="162">
        <f t="shared" si="55"/>
        <v>0.2612407233</v>
      </c>
      <c r="BJ124" s="162">
        <f t="shared" si="55"/>
        <v>0.1828222012</v>
      </c>
      <c r="BK124" s="162">
        <f t="shared" si="55"/>
        <v>-0.6699792257</v>
      </c>
      <c r="BL124" s="162">
        <f t="shared" si="55"/>
        <v>0.1551450758</v>
      </c>
      <c r="BM124" s="162">
        <f t="shared" si="55"/>
        <v>0.1828222012</v>
      </c>
      <c r="BN124" s="162">
        <f t="shared" si="55"/>
        <v>0.1551450758</v>
      </c>
      <c r="BO124" s="162"/>
    </row>
    <row r="125" ht="13.5" customHeight="1" outlineLevel="1">
      <c r="A125" s="138"/>
      <c r="B125" s="139"/>
      <c r="C125" s="138" t="s">
        <v>61</v>
      </c>
      <c r="D125" s="138"/>
      <c r="E125" s="140"/>
      <c r="F125" s="141"/>
      <c r="G125" s="141">
        <v>0.0</v>
      </c>
      <c r="H125" s="141">
        <v>0.0</v>
      </c>
      <c r="I125" s="141">
        <v>0.0</v>
      </c>
      <c r="J125" s="141">
        <v>0.0</v>
      </c>
      <c r="K125" s="141">
        <v>0.0</v>
      </c>
      <c r="L125" s="141">
        <v>0.0</v>
      </c>
      <c r="M125" s="141">
        <v>0.0</v>
      </c>
      <c r="N125" s="141">
        <v>0.0</v>
      </c>
      <c r="O125" s="141">
        <v>0.0</v>
      </c>
      <c r="P125" s="141">
        <v>0.0</v>
      </c>
      <c r="Q125" s="141">
        <v>0.0</v>
      </c>
      <c r="R125" s="141">
        <v>0.0</v>
      </c>
      <c r="S125" s="141">
        <v>0.0</v>
      </c>
      <c r="T125" s="141">
        <v>0.0</v>
      </c>
      <c r="U125" s="141">
        <v>0.0</v>
      </c>
      <c r="V125" s="141">
        <v>0.0</v>
      </c>
      <c r="W125" s="141">
        <v>0.0</v>
      </c>
      <c r="X125" s="141">
        <v>0.0</v>
      </c>
      <c r="Y125" s="141">
        <v>0.0</v>
      </c>
      <c r="Z125" s="141">
        <v>0.0</v>
      </c>
      <c r="AA125" s="141">
        <v>0.0</v>
      </c>
      <c r="AB125" s="141">
        <v>0.0</v>
      </c>
      <c r="AC125" s="141">
        <v>0.0</v>
      </c>
      <c r="AD125" s="141">
        <v>0.0</v>
      </c>
      <c r="AE125" s="141">
        <v>0.0</v>
      </c>
      <c r="AF125" s="141">
        <v>0.0</v>
      </c>
      <c r="AG125" s="141">
        <v>0.0</v>
      </c>
      <c r="AH125" s="141">
        <v>0.0</v>
      </c>
      <c r="AI125" s="141">
        <v>0.0</v>
      </c>
      <c r="AJ125" s="141">
        <v>0.0</v>
      </c>
      <c r="AK125" s="141">
        <v>0.0</v>
      </c>
      <c r="AL125" s="141">
        <v>0.0</v>
      </c>
      <c r="AM125" s="141">
        <v>0.0</v>
      </c>
      <c r="AN125" s="141">
        <v>0.0</v>
      </c>
      <c r="AO125" s="141">
        <v>0.0</v>
      </c>
      <c r="AP125" s="141">
        <v>0.0</v>
      </c>
      <c r="AQ125" s="141">
        <v>0.0</v>
      </c>
      <c r="AR125" s="141">
        <v>0.0</v>
      </c>
      <c r="AS125" s="141">
        <v>0.0</v>
      </c>
      <c r="AT125" s="141">
        <v>0.0</v>
      </c>
      <c r="AU125" s="141">
        <v>0.0</v>
      </c>
      <c r="AV125" s="141">
        <v>0.0</v>
      </c>
      <c r="AW125" s="141">
        <v>0.0</v>
      </c>
      <c r="AX125" s="141">
        <v>0.0</v>
      </c>
      <c r="AY125" s="141">
        <v>0.0</v>
      </c>
      <c r="AZ125" s="141">
        <v>0.0</v>
      </c>
      <c r="BA125" s="141">
        <v>0.0</v>
      </c>
      <c r="BB125" s="141">
        <v>0.0</v>
      </c>
      <c r="BC125" s="141">
        <v>0.0</v>
      </c>
      <c r="BD125" s="141">
        <v>0.0</v>
      </c>
      <c r="BE125" s="141">
        <v>0.0</v>
      </c>
      <c r="BF125" s="141">
        <v>0.0</v>
      </c>
      <c r="BG125" s="141">
        <v>0.0</v>
      </c>
      <c r="BH125" s="141">
        <v>0.0</v>
      </c>
      <c r="BI125" s="141">
        <v>0.0</v>
      </c>
      <c r="BJ125" s="141">
        <v>0.0</v>
      </c>
      <c r="BK125" s="141">
        <v>0.0</v>
      </c>
      <c r="BL125" s="141">
        <v>0.0</v>
      </c>
      <c r="BM125" s="141">
        <v>0.0</v>
      </c>
      <c r="BN125" s="141">
        <v>0.0</v>
      </c>
      <c r="BO125" s="141"/>
    </row>
    <row r="126" ht="13.5" customHeight="1" outlineLevel="1">
      <c r="A126" s="147"/>
      <c r="B126" s="139"/>
      <c r="C126" s="147" t="s">
        <v>181</v>
      </c>
      <c r="D126" s="147"/>
      <c r="E126" s="148"/>
      <c r="F126" s="146"/>
      <c r="G126" s="146">
        <f>(G123-G125)</f>
        <v>267601787</v>
      </c>
      <c r="H126" s="146">
        <f t="shared" ref="H126:BN126" si="56">H123-H125</f>
        <v>-68263812.99</v>
      </c>
      <c r="I126" s="146">
        <f t="shared" si="56"/>
        <v>-20724012.99</v>
      </c>
      <c r="J126" s="146">
        <f t="shared" si="56"/>
        <v>87320987.01</v>
      </c>
      <c r="K126" s="146">
        <f t="shared" si="56"/>
        <v>126217187</v>
      </c>
      <c r="L126" s="146">
        <f t="shared" si="56"/>
        <v>199687787</v>
      </c>
      <c r="M126" s="146">
        <f t="shared" si="56"/>
        <v>450352187</v>
      </c>
      <c r="N126" s="146">
        <f t="shared" si="56"/>
        <v>156469787</v>
      </c>
      <c r="O126" s="146">
        <f t="shared" si="56"/>
        <v>-258423013</v>
      </c>
      <c r="P126" s="146">
        <f t="shared" si="56"/>
        <v>286123787</v>
      </c>
      <c r="Q126" s="146">
        <f t="shared" si="56"/>
        <v>199687787</v>
      </c>
      <c r="R126" s="146">
        <f t="shared" si="56"/>
        <v>199687787</v>
      </c>
      <c r="S126" s="146">
        <f t="shared" si="56"/>
        <v>278801987</v>
      </c>
      <c r="T126" s="146">
        <f t="shared" si="56"/>
        <v>196687787</v>
      </c>
      <c r="U126" s="146">
        <f t="shared" si="56"/>
        <v>239905787</v>
      </c>
      <c r="V126" s="146">
        <f t="shared" si="56"/>
        <v>239905787</v>
      </c>
      <c r="W126" s="146">
        <f t="shared" si="56"/>
        <v>153469787</v>
      </c>
      <c r="X126" s="146">
        <f t="shared" si="56"/>
        <v>239905787</v>
      </c>
      <c r="Y126" s="146">
        <f t="shared" si="56"/>
        <v>395490587</v>
      </c>
      <c r="Z126" s="146">
        <f t="shared" si="56"/>
        <v>196687787</v>
      </c>
      <c r="AA126" s="146">
        <f t="shared" si="56"/>
        <v>-244135813</v>
      </c>
      <c r="AB126" s="146">
        <f t="shared" si="56"/>
        <v>239905787</v>
      </c>
      <c r="AC126" s="146">
        <f t="shared" si="56"/>
        <v>153469787</v>
      </c>
      <c r="AD126" s="146">
        <f t="shared" si="56"/>
        <v>283123787</v>
      </c>
      <c r="AE126" s="146">
        <f t="shared" si="56"/>
        <v>224303087</v>
      </c>
      <c r="AF126" s="146">
        <f t="shared" si="56"/>
        <v>187567787</v>
      </c>
      <c r="AG126" s="146">
        <f t="shared" si="56"/>
        <v>274003787</v>
      </c>
      <c r="AH126" s="146">
        <f t="shared" si="56"/>
        <v>144349787</v>
      </c>
      <c r="AI126" s="146">
        <f t="shared" si="56"/>
        <v>230785787</v>
      </c>
      <c r="AJ126" s="146">
        <f t="shared" si="56"/>
        <v>230785787</v>
      </c>
      <c r="AK126" s="146">
        <f t="shared" si="56"/>
        <v>282647387</v>
      </c>
      <c r="AL126" s="146">
        <f t="shared" si="56"/>
        <v>274003787</v>
      </c>
      <c r="AM126" s="146">
        <f t="shared" si="56"/>
        <v>-270543013</v>
      </c>
      <c r="AN126" s="146">
        <f t="shared" si="56"/>
        <v>187567787</v>
      </c>
      <c r="AO126" s="146">
        <f t="shared" si="56"/>
        <v>187567787</v>
      </c>
      <c r="AP126" s="146">
        <f t="shared" si="56"/>
        <v>274003787</v>
      </c>
      <c r="AQ126" s="146">
        <f t="shared" si="56"/>
        <v>175679387</v>
      </c>
      <c r="AR126" s="146">
        <f t="shared" si="56"/>
        <v>227540987</v>
      </c>
      <c r="AS126" s="146">
        <f t="shared" si="56"/>
        <v>227540987</v>
      </c>
      <c r="AT126" s="146">
        <f t="shared" si="56"/>
        <v>141104987</v>
      </c>
      <c r="AU126" s="146">
        <f t="shared" si="56"/>
        <v>270758987</v>
      </c>
      <c r="AV126" s="146">
        <f t="shared" si="56"/>
        <v>184322987</v>
      </c>
      <c r="AW126" s="146">
        <f t="shared" si="56"/>
        <v>331264187</v>
      </c>
      <c r="AX126" s="146">
        <f t="shared" si="56"/>
        <v>270758987</v>
      </c>
      <c r="AY126" s="146">
        <f t="shared" si="56"/>
        <v>-273787813</v>
      </c>
      <c r="AZ126" s="146">
        <f t="shared" si="56"/>
        <v>141104987</v>
      </c>
      <c r="BA126" s="146">
        <f t="shared" si="56"/>
        <v>227540987</v>
      </c>
      <c r="BB126" s="146">
        <f t="shared" si="56"/>
        <v>227540987</v>
      </c>
      <c r="BC126" s="146">
        <f t="shared" si="56"/>
        <v>165824795</v>
      </c>
      <c r="BD126" s="146">
        <f t="shared" si="56"/>
        <v>260904395</v>
      </c>
      <c r="BE126" s="146">
        <f t="shared" si="56"/>
        <v>174468395</v>
      </c>
      <c r="BF126" s="146">
        <f t="shared" si="56"/>
        <v>174468395</v>
      </c>
      <c r="BG126" s="146">
        <f t="shared" si="56"/>
        <v>260904395</v>
      </c>
      <c r="BH126" s="146">
        <f t="shared" si="56"/>
        <v>131250395</v>
      </c>
      <c r="BI126" s="146">
        <f t="shared" si="56"/>
        <v>373271195</v>
      </c>
      <c r="BJ126" s="146">
        <f t="shared" si="56"/>
        <v>217686395</v>
      </c>
      <c r="BK126" s="146">
        <f t="shared" si="56"/>
        <v>-283642405</v>
      </c>
      <c r="BL126" s="146">
        <f t="shared" si="56"/>
        <v>174468395</v>
      </c>
      <c r="BM126" s="146">
        <f t="shared" si="56"/>
        <v>217686395</v>
      </c>
      <c r="BN126" s="146">
        <f t="shared" si="56"/>
        <v>174468395</v>
      </c>
      <c r="BO126" s="146"/>
    </row>
    <row r="127" ht="13.5" customHeight="1" outlineLevel="1">
      <c r="A127" s="155"/>
      <c r="B127" s="158"/>
      <c r="C127" s="154" t="s">
        <v>182</v>
      </c>
      <c r="D127" s="155"/>
      <c r="E127" s="140"/>
      <c r="F127" s="156"/>
      <c r="G127" s="162">
        <f t="shared" ref="G127:BN127" si="57">G126/G$109</f>
        <v>0.2178280725</v>
      </c>
      <c r="H127" s="162">
        <f t="shared" si="57"/>
        <v>-0.09555137453</v>
      </c>
      <c r="I127" s="162">
        <f t="shared" si="57"/>
        <v>-0.02632673767</v>
      </c>
      <c r="J127" s="162">
        <f t="shared" si="57"/>
        <v>0.09166980244</v>
      </c>
      <c r="K127" s="162">
        <f t="shared" si="57"/>
        <v>0.1247088337</v>
      </c>
      <c r="L127" s="162">
        <f t="shared" si="57"/>
        <v>0.1775712836</v>
      </c>
      <c r="M127" s="162">
        <f t="shared" si="57"/>
        <v>0.2985984717</v>
      </c>
      <c r="N127" s="162">
        <f t="shared" si="57"/>
        <v>0.1478361555</v>
      </c>
      <c r="O127" s="162">
        <f t="shared" si="57"/>
        <v>-0.6104096112</v>
      </c>
      <c r="P127" s="162">
        <f t="shared" si="57"/>
        <v>0.2276514994</v>
      </c>
      <c r="Q127" s="162">
        <f t="shared" si="57"/>
        <v>0.1775712836</v>
      </c>
      <c r="R127" s="162">
        <f t="shared" si="57"/>
        <v>0.1775712836</v>
      </c>
      <c r="S127" s="162">
        <f t="shared" si="57"/>
        <v>0.2229996657</v>
      </c>
      <c r="T127" s="162">
        <f t="shared" si="57"/>
        <v>0.1749035499</v>
      </c>
      <c r="U127" s="162">
        <f t="shared" si="57"/>
        <v>0.2014829823</v>
      </c>
      <c r="V127" s="162">
        <f t="shared" si="57"/>
        <v>0.2014829823</v>
      </c>
      <c r="W127" s="162">
        <f t="shared" si="57"/>
        <v>0.1450016884</v>
      </c>
      <c r="X127" s="162">
        <f t="shared" si="57"/>
        <v>0.2014829823</v>
      </c>
      <c r="Y127" s="162">
        <f t="shared" si="57"/>
        <v>0.2767913741</v>
      </c>
      <c r="Z127" s="162">
        <f t="shared" si="57"/>
        <v>0.1749035499</v>
      </c>
      <c r="AA127" s="162">
        <f t="shared" si="57"/>
        <v>-0.5427411253</v>
      </c>
      <c r="AB127" s="162">
        <f t="shared" si="57"/>
        <v>0.2014829823</v>
      </c>
      <c r="AC127" s="162">
        <f t="shared" si="57"/>
        <v>0.1450016884</v>
      </c>
      <c r="AD127" s="162">
        <f t="shared" si="57"/>
        <v>0.2252645797</v>
      </c>
      <c r="AE127" s="162">
        <f t="shared" si="57"/>
        <v>0.1899621961</v>
      </c>
      <c r="AF127" s="162">
        <f t="shared" si="57"/>
        <v>0.1667936392</v>
      </c>
      <c r="AG127" s="162">
        <f t="shared" si="57"/>
        <v>0.2180083439</v>
      </c>
      <c r="AH127" s="162">
        <f t="shared" si="57"/>
        <v>0.1363849084</v>
      </c>
      <c r="AI127" s="162">
        <f t="shared" si="57"/>
        <v>0.1938236222</v>
      </c>
      <c r="AJ127" s="162">
        <f t="shared" si="57"/>
        <v>0.1938236222</v>
      </c>
      <c r="AK127" s="162">
        <f t="shared" si="57"/>
        <v>0.2225429792</v>
      </c>
      <c r="AL127" s="162">
        <f t="shared" si="57"/>
        <v>0.2180083439</v>
      </c>
      <c r="AM127" s="162">
        <f t="shared" si="57"/>
        <v>-0.6390377291</v>
      </c>
      <c r="AN127" s="162">
        <f t="shared" si="57"/>
        <v>0.1667936392</v>
      </c>
      <c r="AO127" s="162">
        <f t="shared" si="57"/>
        <v>0.1667936392</v>
      </c>
      <c r="AP127" s="162">
        <f t="shared" si="57"/>
        <v>0.2180083439</v>
      </c>
      <c r="AQ127" s="162">
        <f t="shared" si="57"/>
        <v>0.1580817289</v>
      </c>
      <c r="AR127" s="162">
        <f t="shared" si="57"/>
        <v>0.1910985026</v>
      </c>
      <c r="AS127" s="162">
        <f t="shared" si="57"/>
        <v>0.1910985026</v>
      </c>
      <c r="AT127" s="162">
        <f t="shared" si="57"/>
        <v>0.1333191487</v>
      </c>
      <c r="AU127" s="162">
        <f t="shared" si="57"/>
        <v>0.2154266516</v>
      </c>
      <c r="AV127" s="162">
        <f t="shared" si="57"/>
        <v>0.1639082184</v>
      </c>
      <c r="AW127" s="162">
        <f t="shared" si="57"/>
        <v>0.2454790709</v>
      </c>
      <c r="AX127" s="162">
        <f t="shared" si="57"/>
        <v>0.2154266516</v>
      </c>
      <c r="AY127" s="162">
        <f t="shared" si="57"/>
        <v>-0.6467021282</v>
      </c>
      <c r="AZ127" s="162">
        <f t="shared" si="57"/>
        <v>0.1333191487</v>
      </c>
      <c r="BA127" s="162">
        <f t="shared" si="57"/>
        <v>0.1910985026</v>
      </c>
      <c r="BB127" s="162">
        <f t="shared" si="57"/>
        <v>0.1910985026</v>
      </c>
      <c r="BC127" s="162">
        <f t="shared" si="57"/>
        <v>0.1492142632</v>
      </c>
      <c r="BD127" s="162">
        <f t="shared" si="57"/>
        <v>0.207585945</v>
      </c>
      <c r="BE127" s="162">
        <f t="shared" si="57"/>
        <v>0.1551450758</v>
      </c>
      <c r="BF127" s="162">
        <f t="shared" si="57"/>
        <v>0.1551450758</v>
      </c>
      <c r="BG127" s="162">
        <f t="shared" si="57"/>
        <v>0.207585945</v>
      </c>
      <c r="BH127" s="162">
        <f t="shared" si="57"/>
        <v>0.1240083097</v>
      </c>
      <c r="BI127" s="162">
        <f t="shared" si="57"/>
        <v>0.2612407233</v>
      </c>
      <c r="BJ127" s="162">
        <f t="shared" si="57"/>
        <v>0.1828222012</v>
      </c>
      <c r="BK127" s="162">
        <f t="shared" si="57"/>
        <v>-0.6699792257</v>
      </c>
      <c r="BL127" s="162">
        <f t="shared" si="57"/>
        <v>0.1551450758</v>
      </c>
      <c r="BM127" s="162">
        <f t="shared" si="57"/>
        <v>0.1828222012</v>
      </c>
      <c r="BN127" s="162">
        <f t="shared" si="57"/>
        <v>0.1551450758</v>
      </c>
      <c r="BO127" s="162"/>
    </row>
    <row r="128" ht="13.5" customHeight="1">
      <c r="A128" s="164"/>
      <c r="B128" s="164"/>
      <c r="C128" s="165" t="s">
        <v>183</v>
      </c>
      <c r="D128" s="164"/>
      <c r="E128" s="166"/>
      <c r="F128" s="166"/>
      <c r="G128" s="167">
        <f>G126</f>
        <v>267601787</v>
      </c>
      <c r="H128" s="167">
        <f t="shared" ref="H128:R128" si="58">G128+H126</f>
        <v>199337974</v>
      </c>
      <c r="I128" s="167">
        <f t="shared" si="58"/>
        <v>178613961</v>
      </c>
      <c r="J128" s="167">
        <f t="shared" si="58"/>
        <v>265934948</v>
      </c>
      <c r="K128" s="167">
        <f t="shared" si="58"/>
        <v>392152135</v>
      </c>
      <c r="L128" s="167">
        <f t="shared" si="58"/>
        <v>591839922.1</v>
      </c>
      <c r="M128" s="167">
        <f t="shared" si="58"/>
        <v>1042192109</v>
      </c>
      <c r="N128" s="167">
        <f t="shared" si="58"/>
        <v>1198661896</v>
      </c>
      <c r="O128" s="167">
        <f t="shared" si="58"/>
        <v>940238883.1</v>
      </c>
      <c r="P128" s="167">
        <f t="shared" si="58"/>
        <v>1226362670</v>
      </c>
      <c r="Q128" s="167">
        <f t="shared" si="58"/>
        <v>1426050457</v>
      </c>
      <c r="R128" s="168">
        <f t="shared" si="58"/>
        <v>1625738244</v>
      </c>
      <c r="S128" s="167">
        <f t="shared" ref="S128:BN128" si="59">R128+S126/(1+4%/12)^S131</f>
        <v>1904540231</v>
      </c>
      <c r="T128" s="167">
        <f t="shared" si="59"/>
        <v>2101228018</v>
      </c>
      <c r="U128" s="167">
        <f t="shared" si="59"/>
        <v>2341133805</v>
      </c>
      <c r="V128" s="167">
        <f t="shared" si="59"/>
        <v>2581039592</v>
      </c>
      <c r="W128" s="167">
        <f t="shared" si="59"/>
        <v>2734509379</v>
      </c>
      <c r="X128" s="167">
        <f t="shared" si="59"/>
        <v>2974415166</v>
      </c>
      <c r="Y128" s="167">
        <f t="shared" si="59"/>
        <v>3369905753</v>
      </c>
      <c r="Z128" s="167">
        <f t="shared" si="59"/>
        <v>3566593540</v>
      </c>
      <c r="AA128" s="167">
        <f t="shared" si="59"/>
        <v>3322457727</v>
      </c>
      <c r="AB128" s="167">
        <f t="shared" si="59"/>
        <v>3562363514</v>
      </c>
      <c r="AC128" s="167">
        <f t="shared" si="59"/>
        <v>3715833301</v>
      </c>
      <c r="AD128" s="168">
        <f t="shared" si="59"/>
        <v>3998957088</v>
      </c>
      <c r="AE128" s="167">
        <f t="shared" si="59"/>
        <v>4223260175</v>
      </c>
      <c r="AF128" s="167">
        <f t="shared" si="59"/>
        <v>4410827962</v>
      </c>
      <c r="AG128" s="167">
        <f t="shared" si="59"/>
        <v>4684831749</v>
      </c>
      <c r="AH128" s="167">
        <f t="shared" si="59"/>
        <v>4829181536</v>
      </c>
      <c r="AI128" s="167">
        <f t="shared" si="59"/>
        <v>5059967323</v>
      </c>
      <c r="AJ128" s="167">
        <f t="shared" si="59"/>
        <v>5290753110</v>
      </c>
      <c r="AK128" s="167">
        <f t="shared" si="59"/>
        <v>5573400497</v>
      </c>
      <c r="AL128" s="167">
        <f t="shared" si="59"/>
        <v>5847404284</v>
      </c>
      <c r="AM128" s="167">
        <f t="shared" si="59"/>
        <v>5576861271</v>
      </c>
      <c r="AN128" s="167">
        <f t="shared" si="59"/>
        <v>5764429058</v>
      </c>
      <c r="AO128" s="167">
        <f t="shared" si="59"/>
        <v>5951996845</v>
      </c>
      <c r="AP128" s="168">
        <f t="shared" si="59"/>
        <v>6226000632</v>
      </c>
      <c r="AQ128" s="167">
        <f t="shared" si="59"/>
        <v>6401680019</v>
      </c>
      <c r="AR128" s="167">
        <f t="shared" si="59"/>
        <v>6629221006</v>
      </c>
      <c r="AS128" s="167">
        <f t="shared" si="59"/>
        <v>6856761993</v>
      </c>
      <c r="AT128" s="167">
        <f t="shared" si="59"/>
        <v>6997866980</v>
      </c>
      <c r="AU128" s="167">
        <f t="shared" si="59"/>
        <v>7268625967</v>
      </c>
      <c r="AV128" s="167">
        <f t="shared" si="59"/>
        <v>7452948954</v>
      </c>
      <c r="AW128" s="167">
        <f t="shared" si="59"/>
        <v>7784213141</v>
      </c>
      <c r="AX128" s="167">
        <f t="shared" si="59"/>
        <v>8054972128</v>
      </c>
      <c r="AY128" s="167">
        <f t="shared" si="59"/>
        <v>7781184315</v>
      </c>
      <c r="AZ128" s="167">
        <f t="shared" si="59"/>
        <v>7922289302</v>
      </c>
      <c r="BA128" s="167">
        <f t="shared" si="59"/>
        <v>8149830289</v>
      </c>
      <c r="BB128" s="168">
        <f t="shared" si="59"/>
        <v>8377371276</v>
      </c>
      <c r="BC128" s="167">
        <f t="shared" si="59"/>
        <v>8543196071</v>
      </c>
      <c r="BD128" s="167">
        <f t="shared" si="59"/>
        <v>8804100466</v>
      </c>
      <c r="BE128" s="167">
        <f t="shared" si="59"/>
        <v>8978568861</v>
      </c>
      <c r="BF128" s="167">
        <f t="shared" si="59"/>
        <v>9153037256</v>
      </c>
      <c r="BG128" s="167">
        <f t="shared" si="59"/>
        <v>9413941651</v>
      </c>
      <c r="BH128" s="167">
        <f t="shared" si="59"/>
        <v>9545192046</v>
      </c>
      <c r="BI128" s="167">
        <f t="shared" si="59"/>
        <v>9918463241</v>
      </c>
      <c r="BJ128" s="167">
        <f t="shared" si="59"/>
        <v>10136149636</v>
      </c>
      <c r="BK128" s="167">
        <f t="shared" si="59"/>
        <v>9852507231</v>
      </c>
      <c r="BL128" s="167">
        <f t="shared" si="59"/>
        <v>10026975626</v>
      </c>
      <c r="BM128" s="167">
        <f t="shared" si="59"/>
        <v>10244662022</v>
      </c>
      <c r="BN128" s="168">
        <f t="shared" si="59"/>
        <v>10419130417</v>
      </c>
      <c r="BO128" s="141"/>
    </row>
    <row r="129" ht="13.5" customHeight="1">
      <c r="A129" s="164"/>
      <c r="B129" s="164"/>
      <c r="C129" s="164"/>
      <c r="D129" s="164"/>
      <c r="E129" s="169"/>
      <c r="F129" s="169"/>
      <c r="G129" s="169"/>
      <c r="H129" s="170" t="str">
        <f>if(H128&gt;Capex!$E$31,"profit stage","")</f>
        <v/>
      </c>
      <c r="I129" s="170" t="str">
        <f>if(I128&gt;Capex!$E$31,"profit stage","")</f>
        <v/>
      </c>
      <c r="J129" s="170" t="str">
        <f>if(J128&gt;Capex!$E$31,"profit stage","")</f>
        <v/>
      </c>
      <c r="K129" s="170" t="str">
        <f>if(K128&gt;Capex!$E$31,"profit stage","")</f>
        <v/>
      </c>
      <c r="L129" s="170" t="str">
        <f>if(L128&gt;Capex!$E$31,"profit stage","")</f>
        <v/>
      </c>
      <c r="M129" s="170" t="str">
        <f>if(M128&gt;Capex!$E$31,"profit stage","")</f>
        <v/>
      </c>
      <c r="N129" s="170" t="str">
        <f>if(N128&gt;Capex!$E$31,"profit stage","")</f>
        <v/>
      </c>
      <c r="O129" s="170" t="str">
        <f>if(O128&gt;Capex!$E$31,"profit stage","")</f>
        <v/>
      </c>
      <c r="P129" s="170" t="str">
        <f>if(P128&gt;Capex!$E$31,"profit stage","")</f>
        <v/>
      </c>
      <c r="Q129" s="170" t="str">
        <f>if(Q128&gt;Capex!$E$31,"profit stage","")</f>
        <v/>
      </c>
      <c r="R129" s="170" t="str">
        <f>if(R128&gt;Capex!$E$31,"profit stage","")</f>
        <v/>
      </c>
      <c r="S129" s="170" t="str">
        <f>if(S128&gt;Capex!$E$31,"profit stage","")</f>
        <v/>
      </c>
      <c r="T129" s="170" t="str">
        <f>if(T128&gt;Capex!$E$31,"profit stage","")</f>
        <v/>
      </c>
      <c r="U129" s="170" t="str">
        <f>if(U128&gt;Capex!$E$31,"profit stage","")</f>
        <v/>
      </c>
      <c r="V129" s="170" t="str">
        <f>if(V128&gt;Capex!$E$31,"profit stage","")</f>
        <v/>
      </c>
      <c r="W129" s="170" t="str">
        <f>if(W128&gt;Capex!$E$31,"profit stage","")</f>
        <v/>
      </c>
      <c r="X129" s="170" t="str">
        <f>if(X128&gt;Capex!$E$31,"profit stage","")</f>
        <v/>
      </c>
      <c r="Y129" s="170" t="str">
        <f>if(Y128&gt;Capex!$E$31,"profit stage","")</f>
        <v/>
      </c>
      <c r="Z129" s="170" t="str">
        <f>if(Z128&gt;Capex!$E$31,"profit stage","")</f>
        <v/>
      </c>
      <c r="AA129" s="170" t="str">
        <f>if(AA128&gt;Capex!$E$31,"profit stage","")</f>
        <v/>
      </c>
      <c r="AB129" s="170" t="str">
        <f>if(AB128&gt;Capex!$E$31,"profit stage","")</f>
        <v/>
      </c>
      <c r="AC129" s="170" t="str">
        <f>if(AC128&gt;Capex!$E$31,"profit stage","")</f>
        <v/>
      </c>
      <c r="AD129" s="170" t="str">
        <f>if(AD128&gt;Capex!$E$31,"profit stage","")</f>
        <v/>
      </c>
      <c r="AE129" s="170" t="str">
        <f>if(AE128&gt;Capex!$E$31,"profit stage","")</f>
        <v>profit stage</v>
      </c>
      <c r="AF129" s="170" t="str">
        <f>if(AF128&gt;Capex!$E$31,"profit stage","")</f>
        <v>profit stage</v>
      </c>
      <c r="AG129" s="170" t="str">
        <f>if(AG128&gt;Capex!$E$31,"profit stage","")</f>
        <v>profit stage</v>
      </c>
      <c r="AH129" s="170" t="str">
        <f>if(AH128&gt;Capex!$E$31,"profit stage","")</f>
        <v>profit stage</v>
      </c>
      <c r="AI129" s="170" t="str">
        <f>if(AI128&gt;Capex!$E$31,"profit stage","")</f>
        <v>profit stage</v>
      </c>
      <c r="AJ129" s="170" t="str">
        <f>if(AJ128&gt;Capex!$E$31,"profit stage","")</f>
        <v>profit stage</v>
      </c>
      <c r="AK129" s="170" t="str">
        <f>if(AK128&gt;Capex!$E$31,"profit stage","")</f>
        <v>profit stage</v>
      </c>
      <c r="AL129" s="170" t="str">
        <f>if(AL128&gt;Capex!$E$31,"profit stage","")</f>
        <v>profit stage</v>
      </c>
      <c r="AM129" s="170" t="str">
        <f>if(AM128&gt;Capex!$E$31,"profit stage","")</f>
        <v>profit stage</v>
      </c>
      <c r="AN129" s="170" t="str">
        <f>if(AN128&gt;Capex!$E$31,"profit stage","")</f>
        <v>profit stage</v>
      </c>
      <c r="AO129" s="170" t="str">
        <f>if(AO128&gt;Capex!$E$31,"profit stage","")</f>
        <v>profit stage</v>
      </c>
      <c r="AP129" s="170" t="str">
        <f>if(AP128&gt;Capex!$E$31,"profit stage","")</f>
        <v>profit stage</v>
      </c>
      <c r="AQ129" s="170" t="str">
        <f>if(AQ128&gt;Capex!$E$31,"profit stage","")</f>
        <v>profit stage</v>
      </c>
      <c r="AR129" s="170" t="str">
        <f>if(AR128&gt;Capex!$E$31,"profit stage","")</f>
        <v>profit stage</v>
      </c>
      <c r="AS129" s="170" t="str">
        <f>if(AS128&gt;Capex!$E$31,"profit stage","")</f>
        <v>profit stage</v>
      </c>
      <c r="AT129" s="170" t="str">
        <f>if(AT128&gt;Capex!$E$31,"profit stage","")</f>
        <v>profit stage</v>
      </c>
      <c r="AU129" s="170" t="str">
        <f>if(AU128&gt;Capex!$E$31,"profit stage","")</f>
        <v>profit stage</v>
      </c>
      <c r="AV129" s="170" t="str">
        <f>if(AV128&gt;Capex!$E$31,"profit stage","")</f>
        <v>profit stage</v>
      </c>
      <c r="AW129" s="170" t="str">
        <f>if(AW128&gt;Capex!$E$31,"profit stage","")</f>
        <v>profit stage</v>
      </c>
      <c r="AX129" s="170" t="str">
        <f>if(AX128&gt;Capex!$E$31,"profit stage","")</f>
        <v>profit stage</v>
      </c>
      <c r="AY129" s="170" t="str">
        <f>if(AY128&gt;Capex!$E$31,"profit stage","")</f>
        <v>profit stage</v>
      </c>
      <c r="AZ129" s="170" t="str">
        <f>if(AZ128&gt;Capex!$E$31,"profit stage","")</f>
        <v>profit stage</v>
      </c>
      <c r="BA129" s="170" t="str">
        <f>if(BA128&gt;Capex!$E$31,"profit stage","")</f>
        <v>profit stage</v>
      </c>
      <c r="BB129" s="170" t="str">
        <f>if(BB128&gt;Capex!$E$31,"profit stage","")</f>
        <v>profit stage</v>
      </c>
      <c r="BC129" s="170" t="str">
        <f>if(BC128&gt;Capex!$E$31,"profit stage","")</f>
        <v>profit stage</v>
      </c>
      <c r="BD129" s="170" t="str">
        <f>if(BD128&gt;Capex!$E$31,"profit stage","")</f>
        <v>profit stage</v>
      </c>
      <c r="BE129" s="170" t="str">
        <f>if(BE128&gt;Capex!$E$31,"profit stage","")</f>
        <v>profit stage</v>
      </c>
      <c r="BF129" s="170" t="str">
        <f>if(BF128&gt;Capex!$E$31,"profit stage","")</f>
        <v>profit stage</v>
      </c>
      <c r="BG129" s="170" t="str">
        <f>if(BG128&gt;Capex!$E$31,"profit stage","")</f>
        <v>profit stage</v>
      </c>
      <c r="BH129" s="170" t="str">
        <f>if(BH128&gt;Capex!$E$31,"profit stage","")</f>
        <v>profit stage</v>
      </c>
      <c r="BI129" s="170" t="str">
        <f>if(BI128&gt;Capex!$E$31,"profit stage","")</f>
        <v>profit stage</v>
      </c>
      <c r="BJ129" s="170" t="str">
        <f>if(BJ128&gt;Capex!$E$31,"profit stage","")</f>
        <v>profit stage</v>
      </c>
      <c r="BK129" s="170" t="str">
        <f>if(BK128&gt;Capex!$E$31,"profit stage","")</f>
        <v>profit stage</v>
      </c>
      <c r="BL129" s="170" t="str">
        <f>if(BL128&gt;Capex!$E$31,"profit stage","")</f>
        <v>profit stage</v>
      </c>
      <c r="BM129" s="170" t="str">
        <f>if(BM128&gt;Capex!$E$31,"profit stage","")</f>
        <v>profit stage</v>
      </c>
      <c r="BN129" s="170" t="str">
        <f>if(BN128&gt;Capex!$E$31,"profit stage","")</f>
        <v>profit stage</v>
      </c>
      <c r="BO129" s="170" t="str">
        <f>if(BO128&gt;Capex!$E$31,"profit stage","")</f>
        <v/>
      </c>
    </row>
    <row r="130" ht="13.5" customHeight="1">
      <c r="A130" s="138"/>
      <c r="B130" s="142" t="s">
        <v>184</v>
      </c>
      <c r="C130" s="143" t="s">
        <v>185</v>
      </c>
      <c r="D130" s="143"/>
      <c r="E130" s="144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  <c r="BE130" s="145"/>
      <c r="BF130" s="145"/>
      <c r="BG130" s="145"/>
      <c r="BH130" s="145"/>
      <c r="BI130" s="145"/>
      <c r="BJ130" s="145"/>
      <c r="BK130" s="145"/>
      <c r="BL130" s="145"/>
      <c r="BM130" s="145"/>
      <c r="BN130" s="145"/>
      <c r="BO130" s="146"/>
    </row>
    <row r="131" ht="13.5" customHeight="1">
      <c r="A131" s="138"/>
      <c r="B131" s="139"/>
      <c r="C131" s="138"/>
      <c r="D131" s="138"/>
      <c r="E131" s="140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</row>
    <row r="132" ht="15.0" customHeight="1" outlineLevel="1">
      <c r="A132" s="138"/>
      <c r="B132" s="171" t="s">
        <v>186</v>
      </c>
      <c r="C132" s="172"/>
      <c r="D132" s="172"/>
      <c r="E132" s="172"/>
      <c r="F132" s="173"/>
      <c r="G132" s="174" t="s">
        <v>187</v>
      </c>
      <c r="H132" s="175"/>
      <c r="I132" s="175"/>
      <c r="J132" s="176"/>
      <c r="K132" s="174" t="s">
        <v>188</v>
      </c>
      <c r="L132" s="176"/>
      <c r="M132" s="177" t="s">
        <v>189</v>
      </c>
      <c r="N132" s="177" t="s">
        <v>190</v>
      </c>
      <c r="O132" s="178" t="s">
        <v>191</v>
      </c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  <c r="AF132" s="141"/>
      <c r="AG132" s="141"/>
      <c r="AH132" s="141"/>
      <c r="AI132" s="141"/>
      <c r="AJ132" s="141"/>
      <c r="AK132" s="141"/>
      <c r="AL132" s="141"/>
      <c r="AM132" s="141"/>
      <c r="AN132" s="141"/>
      <c r="AO132" s="141"/>
      <c r="AP132" s="141"/>
      <c r="AQ132" s="141"/>
      <c r="AR132" s="141"/>
      <c r="AS132" s="141"/>
      <c r="AT132" s="141"/>
      <c r="AU132" s="141"/>
      <c r="AV132" s="141"/>
      <c r="AW132" s="141"/>
      <c r="AX132" s="141"/>
      <c r="AY132" s="141"/>
      <c r="AZ132" s="141"/>
      <c r="BA132" s="141"/>
      <c r="BB132" s="141"/>
      <c r="BC132" s="141"/>
      <c r="BD132" s="141"/>
      <c r="BE132" s="141"/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</row>
    <row r="133" ht="13.5" customHeight="1" outlineLevel="1">
      <c r="A133" s="138"/>
      <c r="B133" s="179"/>
      <c r="C133" s="180"/>
      <c r="D133" s="180"/>
      <c r="E133" s="180"/>
      <c r="F133" s="181"/>
      <c r="G133" s="182" t="s">
        <v>192</v>
      </c>
      <c r="H133" s="183" t="s">
        <v>193</v>
      </c>
      <c r="I133" s="183" t="s">
        <v>194</v>
      </c>
      <c r="J133" s="183" t="s">
        <v>195</v>
      </c>
      <c r="K133" s="182" t="s">
        <v>196</v>
      </c>
      <c r="L133" s="183" t="s">
        <v>197</v>
      </c>
      <c r="M133" s="184"/>
      <c r="N133" s="184"/>
      <c r="O133" s="185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141"/>
      <c r="BE133" s="141"/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</row>
    <row r="134" ht="13.5" customHeight="1" outlineLevel="1">
      <c r="A134" s="138"/>
      <c r="B134" s="186">
        <v>1.0</v>
      </c>
      <c r="C134" s="187" t="s">
        <v>198</v>
      </c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8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41"/>
      <c r="AJ134" s="141"/>
      <c r="AK134" s="141"/>
      <c r="AL134" s="141"/>
      <c r="AM134" s="141"/>
      <c r="AN134" s="141"/>
      <c r="AO134" s="141"/>
      <c r="AP134" s="141"/>
      <c r="AQ134" s="141"/>
      <c r="AR134" s="141"/>
      <c r="AS134" s="141"/>
      <c r="AT134" s="141"/>
      <c r="AU134" s="141"/>
      <c r="AV134" s="141"/>
      <c r="AW134" s="141"/>
      <c r="AX134" s="141"/>
      <c r="AY134" s="141"/>
      <c r="AZ134" s="141"/>
      <c r="BA134" s="141"/>
      <c r="BB134" s="141"/>
      <c r="BC134" s="141"/>
      <c r="BD134" s="141"/>
      <c r="BE134" s="141"/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</row>
    <row r="135" ht="13.5" customHeight="1" outlineLevel="1">
      <c r="A135" s="1"/>
      <c r="B135" s="63"/>
      <c r="C135" s="12" t="s">
        <v>199</v>
      </c>
      <c r="D135" s="52"/>
      <c r="E135" s="52"/>
      <c r="F135" s="52"/>
      <c r="G135" s="189">
        <v>2.6E7</v>
      </c>
      <c r="H135" s="78">
        <v>40000.0</v>
      </c>
      <c r="I135" s="78">
        <v>15000.0</v>
      </c>
      <c r="J135" s="52">
        <f>4680000*30.5%</f>
        <v>1427400</v>
      </c>
      <c r="K135" s="52">
        <f t="shared" ref="K135:K143" si="60">(G135/26)</f>
        <v>1000000</v>
      </c>
      <c r="L135" s="52">
        <f t="shared" ref="L135:L143" si="61">G135/12</f>
        <v>2166666.667</v>
      </c>
      <c r="M135" s="52">
        <f t="shared" ref="M135:M143" si="62">SUM(G135:L135)</f>
        <v>30649066.67</v>
      </c>
      <c r="N135" s="190">
        <v>1.0</v>
      </c>
      <c r="O135" s="23">
        <f t="shared" ref="O135:O143" si="63">M135*N135</f>
        <v>30649066.67</v>
      </c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</row>
    <row r="136" ht="13.5" customHeight="1" outlineLevel="1">
      <c r="A136" s="1"/>
      <c r="B136" s="63"/>
      <c r="C136" s="12" t="s">
        <v>200</v>
      </c>
      <c r="D136" s="52"/>
      <c r="E136" s="52"/>
      <c r="F136" s="52"/>
      <c r="G136" s="191">
        <v>5.0E7</v>
      </c>
      <c r="H136" s="78"/>
      <c r="I136" s="78"/>
      <c r="J136" s="52"/>
      <c r="K136" s="52">
        <f t="shared" si="60"/>
        <v>1923076.923</v>
      </c>
      <c r="L136" s="52">
        <f t="shared" si="61"/>
        <v>4166666.667</v>
      </c>
      <c r="M136" s="52">
        <f t="shared" si="62"/>
        <v>56089743.59</v>
      </c>
      <c r="N136" s="192">
        <v>1.0</v>
      </c>
      <c r="O136" s="23">
        <f t="shared" si="63"/>
        <v>56089743.59</v>
      </c>
      <c r="P136" s="78" t="s">
        <v>201</v>
      </c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</row>
    <row r="137" ht="13.5" customHeight="1" outlineLevel="1">
      <c r="A137" s="1"/>
      <c r="B137" s="63"/>
      <c r="C137" s="12" t="s">
        <v>202</v>
      </c>
      <c r="D137" s="52"/>
      <c r="E137" s="52"/>
      <c r="F137" s="52"/>
      <c r="G137" s="191">
        <v>1.7E7</v>
      </c>
      <c r="H137" s="78">
        <v>40000.0</v>
      </c>
      <c r="I137" s="78">
        <v>15000.0</v>
      </c>
      <c r="J137" s="52">
        <f t="shared" ref="J137:J143" si="64">4680000*30.5%</f>
        <v>1427400</v>
      </c>
      <c r="K137" s="52">
        <f t="shared" si="60"/>
        <v>653846.1538</v>
      </c>
      <c r="L137" s="52">
        <f t="shared" si="61"/>
        <v>1416666.667</v>
      </c>
      <c r="M137" s="52">
        <f t="shared" si="62"/>
        <v>20552912.82</v>
      </c>
      <c r="N137" s="190">
        <v>1.0</v>
      </c>
      <c r="O137" s="23">
        <f t="shared" si="63"/>
        <v>20552912.82</v>
      </c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</row>
    <row r="138" ht="13.5" customHeight="1" outlineLevel="1">
      <c r="A138" s="1"/>
      <c r="B138" s="63"/>
      <c r="C138" s="12" t="s">
        <v>203</v>
      </c>
      <c r="D138" s="52"/>
      <c r="E138" s="52"/>
      <c r="F138" s="52"/>
      <c r="G138" s="191">
        <v>1.5E7</v>
      </c>
      <c r="H138" s="78">
        <v>40000.0</v>
      </c>
      <c r="I138" s="78">
        <v>15000.0</v>
      </c>
      <c r="J138" s="52">
        <f t="shared" si="64"/>
        <v>1427400</v>
      </c>
      <c r="K138" s="52">
        <f t="shared" si="60"/>
        <v>576923.0769</v>
      </c>
      <c r="L138" s="52">
        <f t="shared" si="61"/>
        <v>1250000</v>
      </c>
      <c r="M138" s="52">
        <f t="shared" si="62"/>
        <v>18309323.08</v>
      </c>
      <c r="N138" s="190">
        <v>1.0</v>
      </c>
      <c r="O138" s="23">
        <f t="shared" si="63"/>
        <v>18309323.08</v>
      </c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</row>
    <row r="139" ht="13.5" customHeight="1" outlineLevel="1">
      <c r="A139" s="1"/>
      <c r="B139" s="63"/>
      <c r="C139" s="12" t="s">
        <v>204</v>
      </c>
      <c r="D139" s="52"/>
      <c r="E139" s="52"/>
      <c r="F139" s="52"/>
      <c r="G139" s="191">
        <v>8000000.0</v>
      </c>
      <c r="H139" s="78">
        <v>40000.0</v>
      </c>
      <c r="I139" s="78">
        <v>15000.0</v>
      </c>
      <c r="J139" s="52">
        <f t="shared" si="64"/>
        <v>1427400</v>
      </c>
      <c r="K139" s="52">
        <f t="shared" si="60"/>
        <v>307692.3077</v>
      </c>
      <c r="L139" s="52">
        <f t="shared" si="61"/>
        <v>666666.6667</v>
      </c>
      <c r="M139" s="52">
        <f t="shared" si="62"/>
        <v>10456758.97</v>
      </c>
      <c r="N139" s="192">
        <v>3.0</v>
      </c>
      <c r="O139" s="23">
        <f t="shared" si="63"/>
        <v>31370276.92</v>
      </c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</row>
    <row r="140" outlineLevel="1">
      <c r="A140" s="1"/>
      <c r="B140" s="63"/>
      <c r="C140" s="12" t="s">
        <v>205</v>
      </c>
      <c r="D140" s="52"/>
      <c r="E140" s="52"/>
      <c r="F140" s="52"/>
      <c r="G140" s="189">
        <v>8000000.0</v>
      </c>
      <c r="H140" s="78">
        <v>40000.0</v>
      </c>
      <c r="I140" s="78">
        <v>15000.0</v>
      </c>
      <c r="J140" s="52">
        <f t="shared" si="64"/>
        <v>1427400</v>
      </c>
      <c r="K140" s="52">
        <f t="shared" si="60"/>
        <v>307692.3077</v>
      </c>
      <c r="L140" s="52">
        <f t="shared" si="61"/>
        <v>666666.6667</v>
      </c>
      <c r="M140" s="52">
        <f t="shared" si="62"/>
        <v>10456758.97</v>
      </c>
      <c r="N140" s="190">
        <v>1.0</v>
      </c>
      <c r="O140" s="23">
        <f t="shared" si="63"/>
        <v>10456758.97</v>
      </c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</row>
    <row r="141" ht="13.5" customHeight="1" outlineLevel="1">
      <c r="A141" s="1"/>
      <c r="B141" s="63"/>
      <c r="C141" s="12" t="s">
        <v>206</v>
      </c>
      <c r="D141" s="52"/>
      <c r="E141" s="52"/>
      <c r="F141" s="52"/>
      <c r="G141" s="189">
        <v>6500000.0</v>
      </c>
      <c r="H141" s="78">
        <v>40000.0</v>
      </c>
      <c r="I141" s="78">
        <v>15000.0</v>
      </c>
      <c r="J141" s="52">
        <f t="shared" si="64"/>
        <v>1427400</v>
      </c>
      <c r="K141" s="52">
        <f t="shared" si="60"/>
        <v>250000</v>
      </c>
      <c r="L141" s="52">
        <f t="shared" si="61"/>
        <v>541666.6667</v>
      </c>
      <c r="M141" s="52">
        <f t="shared" si="62"/>
        <v>8774066.667</v>
      </c>
      <c r="N141" s="192">
        <v>2.0</v>
      </c>
      <c r="O141" s="23">
        <f t="shared" si="63"/>
        <v>17548133.33</v>
      </c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</row>
    <row r="142" ht="13.5" customHeight="1" outlineLevel="1">
      <c r="A142" s="1"/>
      <c r="B142" s="63"/>
      <c r="C142" s="12" t="s">
        <v>207</v>
      </c>
      <c r="D142" s="52"/>
      <c r="E142" s="52"/>
      <c r="F142" s="52"/>
      <c r="G142" s="191">
        <v>1.2E7</v>
      </c>
      <c r="H142" s="78">
        <v>40000.0</v>
      </c>
      <c r="I142" s="78">
        <v>15000.0</v>
      </c>
      <c r="J142" s="52">
        <f t="shared" si="64"/>
        <v>1427400</v>
      </c>
      <c r="K142" s="52">
        <f t="shared" si="60"/>
        <v>461538.4615</v>
      </c>
      <c r="L142" s="52">
        <f t="shared" si="61"/>
        <v>1000000</v>
      </c>
      <c r="M142" s="52">
        <f t="shared" si="62"/>
        <v>14943938.46</v>
      </c>
      <c r="N142" s="192">
        <v>1.0</v>
      </c>
      <c r="O142" s="23">
        <f t="shared" si="63"/>
        <v>14943938.46</v>
      </c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</row>
    <row r="143" ht="13.5" customHeight="1" outlineLevel="1">
      <c r="A143" s="1"/>
      <c r="B143" s="63"/>
      <c r="C143" s="12" t="s">
        <v>208</v>
      </c>
      <c r="D143" s="52"/>
      <c r="E143" s="52"/>
      <c r="F143" s="52"/>
      <c r="G143" s="189">
        <v>1.0E7</v>
      </c>
      <c r="H143" s="78">
        <v>40000.0</v>
      </c>
      <c r="I143" s="78">
        <v>15000.0</v>
      </c>
      <c r="J143" s="52">
        <f t="shared" si="64"/>
        <v>1427400</v>
      </c>
      <c r="K143" s="52">
        <f t="shared" si="60"/>
        <v>384615.3846</v>
      </c>
      <c r="L143" s="52">
        <f t="shared" si="61"/>
        <v>833333.3333</v>
      </c>
      <c r="M143" s="52">
        <f t="shared" si="62"/>
        <v>12700348.72</v>
      </c>
      <c r="N143" s="190">
        <v>2.0</v>
      </c>
      <c r="O143" s="23">
        <f t="shared" si="63"/>
        <v>25400697.44</v>
      </c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</row>
    <row r="144">
      <c r="B144" s="193"/>
      <c r="C144" s="146" t="s">
        <v>209</v>
      </c>
      <c r="G144" s="194"/>
      <c r="N144" s="146">
        <f t="shared" ref="N144:O144" si="65">SUM(N135:N143)</f>
        <v>13</v>
      </c>
      <c r="O144" s="195">
        <f t="shared" si="65"/>
        <v>225320851.3</v>
      </c>
      <c r="BO144" s="141"/>
    </row>
    <row r="145">
      <c r="B145" s="193"/>
      <c r="C145" s="196"/>
      <c r="BO145" s="141"/>
    </row>
    <row r="146" ht="13.5" customHeight="1" outlineLevel="1">
      <c r="A146" s="138"/>
      <c r="B146" s="197">
        <v>2.0</v>
      </c>
      <c r="C146" s="198" t="s">
        <v>210</v>
      </c>
      <c r="D146" s="199"/>
      <c r="E146" s="199"/>
      <c r="F146" s="199"/>
      <c r="G146" s="199"/>
      <c r="H146" s="199"/>
      <c r="I146" s="199"/>
      <c r="J146" s="199"/>
      <c r="K146" s="199"/>
      <c r="L146" s="199"/>
      <c r="M146" s="200"/>
      <c r="N146" s="200"/>
      <c r="O146" s="200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41"/>
      <c r="AY146" s="141"/>
      <c r="AZ146" s="141"/>
      <c r="BA146" s="141"/>
      <c r="BB146" s="141"/>
      <c r="BC146" s="141"/>
      <c r="BD146" s="141"/>
      <c r="BE146" s="141"/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</row>
    <row r="147" ht="13.5" customHeight="1" outlineLevel="1">
      <c r="A147" s="1"/>
      <c r="B147" s="35"/>
      <c r="C147" s="12" t="s">
        <v>211</v>
      </c>
      <c r="D147" s="1"/>
      <c r="E147" s="1"/>
      <c r="F147" s="1"/>
      <c r="G147" s="17">
        <v>4.0E7</v>
      </c>
      <c r="H147" s="52">
        <v>0.0</v>
      </c>
      <c r="I147" s="52">
        <v>0.0</v>
      </c>
      <c r="J147" s="52">
        <v>0.0</v>
      </c>
      <c r="K147" s="52">
        <v>0.0</v>
      </c>
      <c r="L147" s="52">
        <v>0.0</v>
      </c>
      <c r="M147" s="52">
        <f t="shared" ref="M147:M151" si="66">SUM(G147:L147)</f>
        <v>40000000</v>
      </c>
      <c r="N147" s="201">
        <v>1.0</v>
      </c>
      <c r="O147" s="23">
        <f t="shared" ref="O147:O151" si="67">M147*N147</f>
        <v>40000000</v>
      </c>
      <c r="P147" s="1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</row>
    <row r="148" ht="14.25" customHeight="1" outlineLevel="1">
      <c r="A148" s="1"/>
      <c r="B148" s="35"/>
      <c r="C148" s="12" t="s">
        <v>212</v>
      </c>
      <c r="D148" s="52"/>
      <c r="E148" s="1"/>
      <c r="F148" s="52"/>
      <c r="G148" s="190">
        <v>2.0E7</v>
      </c>
      <c r="H148" s="52">
        <v>0.0</v>
      </c>
      <c r="I148" s="52">
        <v>0.0</v>
      </c>
      <c r="J148" s="52">
        <v>0.0</v>
      </c>
      <c r="K148" s="52">
        <v>0.0</v>
      </c>
      <c r="L148" s="52">
        <v>0.0</v>
      </c>
      <c r="M148" s="52">
        <f t="shared" si="66"/>
        <v>20000000</v>
      </c>
      <c r="N148" s="190">
        <v>1.0</v>
      </c>
      <c r="O148" s="23">
        <f t="shared" si="67"/>
        <v>20000000</v>
      </c>
      <c r="P148" s="78" t="s">
        <v>213</v>
      </c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</row>
    <row r="149" ht="13.5" customHeight="1" outlineLevel="1">
      <c r="A149" s="1"/>
      <c r="B149" s="63"/>
      <c r="C149" s="12" t="s">
        <v>214</v>
      </c>
      <c r="D149" s="52"/>
      <c r="E149" s="52"/>
      <c r="F149" s="52"/>
      <c r="G149" s="17">
        <v>9000000.0</v>
      </c>
      <c r="H149" s="52">
        <v>0.0</v>
      </c>
      <c r="I149" s="52">
        <v>0.0</v>
      </c>
      <c r="J149" s="52">
        <v>0.0</v>
      </c>
      <c r="K149" s="52">
        <v>0.0</v>
      </c>
      <c r="L149" s="52">
        <v>0.0</v>
      </c>
      <c r="M149" s="52">
        <f t="shared" si="66"/>
        <v>9000000</v>
      </c>
      <c r="N149" s="190">
        <v>2.0</v>
      </c>
      <c r="O149" s="23">
        <f t="shared" si="67"/>
        <v>18000000</v>
      </c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</row>
    <row r="150" ht="13.5" customHeight="1" outlineLevel="1">
      <c r="A150" s="1"/>
      <c r="B150" s="63"/>
      <c r="C150" s="12" t="s">
        <v>215</v>
      </c>
      <c r="D150" s="52"/>
      <c r="E150" s="52"/>
      <c r="F150" s="52"/>
      <c r="G150" s="88">
        <v>0.0</v>
      </c>
      <c r="H150" s="52">
        <v>0.0</v>
      </c>
      <c r="I150" s="52">
        <v>0.0</v>
      </c>
      <c r="J150" s="52">
        <v>0.0</v>
      </c>
      <c r="K150" s="52">
        <v>0.0</v>
      </c>
      <c r="L150" s="52">
        <v>0.0</v>
      </c>
      <c r="M150" s="52">
        <f t="shared" si="66"/>
        <v>0</v>
      </c>
      <c r="N150" s="192">
        <v>0.0</v>
      </c>
      <c r="O150" s="23">
        <f t="shared" si="67"/>
        <v>0</v>
      </c>
      <c r="P150" s="78" t="s">
        <v>216</v>
      </c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</row>
    <row r="151" ht="13.5" customHeight="1" outlineLevel="1">
      <c r="A151" s="1"/>
      <c r="B151" s="63"/>
      <c r="C151" s="12" t="s">
        <v>217</v>
      </c>
      <c r="D151" s="6"/>
      <c r="E151" s="6"/>
      <c r="F151" s="6"/>
      <c r="G151" s="17">
        <v>7000000.0</v>
      </c>
      <c r="H151" s="52">
        <v>0.0</v>
      </c>
      <c r="I151" s="52">
        <v>0.0</v>
      </c>
      <c r="J151" s="52">
        <v>0.0</v>
      </c>
      <c r="K151" s="52">
        <v>0.0</v>
      </c>
      <c r="L151" s="52">
        <v>0.0</v>
      </c>
      <c r="M151" s="52">
        <f t="shared" si="66"/>
        <v>7000000</v>
      </c>
      <c r="N151" s="201">
        <v>2.0</v>
      </c>
      <c r="O151" s="23">
        <f t="shared" si="67"/>
        <v>14000000</v>
      </c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</row>
    <row r="152" ht="14.25" customHeight="1" outlineLevel="1">
      <c r="A152" s="138"/>
      <c r="B152" s="83"/>
      <c r="C152" s="202" t="s">
        <v>209</v>
      </c>
      <c r="D152" s="202"/>
      <c r="E152" s="202"/>
      <c r="F152" s="202"/>
      <c r="G152" s="202"/>
      <c r="H152" s="202">
        <f t="shared" ref="H152:L152" si="68">SUM(H145:H148)</f>
        <v>0</v>
      </c>
      <c r="I152" s="202">
        <f t="shared" si="68"/>
        <v>0</v>
      </c>
      <c r="J152" s="202">
        <f t="shared" si="68"/>
        <v>0</v>
      </c>
      <c r="K152" s="202">
        <f t="shared" si="68"/>
        <v>0</v>
      </c>
      <c r="L152" s="202">
        <f t="shared" si="68"/>
        <v>0</v>
      </c>
      <c r="M152" s="202">
        <f t="shared" ref="M152:O152" si="69">SUM(M147:M151)</f>
        <v>76000000</v>
      </c>
      <c r="N152" s="202">
        <f t="shared" si="69"/>
        <v>6</v>
      </c>
      <c r="O152" s="203">
        <f t="shared" si="69"/>
        <v>92000000</v>
      </c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  <c r="AH152" s="141"/>
      <c r="AI152" s="141"/>
      <c r="AJ152" s="141"/>
      <c r="AK152" s="141"/>
      <c r="AL152" s="141"/>
      <c r="AM152" s="141"/>
      <c r="AN152" s="141"/>
      <c r="AO152" s="141"/>
      <c r="AP152" s="141"/>
      <c r="AQ152" s="141"/>
      <c r="AR152" s="141"/>
      <c r="AS152" s="141"/>
      <c r="AT152" s="141"/>
      <c r="AU152" s="141"/>
      <c r="AV152" s="141"/>
      <c r="AW152" s="141"/>
      <c r="AX152" s="141"/>
      <c r="AY152" s="141"/>
      <c r="AZ152" s="141"/>
      <c r="BA152" s="141"/>
      <c r="BB152" s="141"/>
      <c r="BC152" s="141"/>
      <c r="BD152" s="141"/>
      <c r="BE152" s="141"/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</row>
    <row r="153" ht="14.25" customHeight="1" outlineLevel="1">
      <c r="A153" s="138"/>
      <c r="B153" s="204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6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</row>
    <row r="154" ht="13.5" customHeight="1" outlineLevel="1">
      <c r="A154" s="138"/>
      <c r="B154" s="139"/>
      <c r="C154" s="138"/>
      <c r="D154" s="138"/>
      <c r="E154" s="140"/>
      <c r="F154" s="141"/>
      <c r="G154" s="141"/>
      <c r="H154" s="141"/>
      <c r="I154" s="141"/>
      <c r="J154" s="141"/>
      <c r="K154" s="141"/>
      <c r="L154" s="141"/>
      <c r="M154" s="141"/>
      <c r="N154" s="141"/>
      <c r="O154" s="207">
        <f>SUM(O144,O152)</f>
        <v>317320851.3</v>
      </c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</row>
    <row r="155" ht="13.5" customHeight="1" outlineLevel="1">
      <c r="A155" s="138"/>
      <c r="B155" s="139"/>
      <c r="C155" s="138"/>
      <c r="D155" s="138"/>
      <c r="E155" s="140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141"/>
      <c r="AV155" s="141"/>
      <c r="AW155" s="141"/>
      <c r="AX155" s="141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</row>
    <row r="156" ht="13.5" customHeight="1">
      <c r="A156" s="138"/>
      <c r="B156" s="139"/>
      <c r="C156" s="138"/>
      <c r="D156" s="138"/>
      <c r="E156" s="140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1"/>
      <c r="AS156" s="141"/>
      <c r="AT156" s="141"/>
      <c r="AU156" s="141"/>
      <c r="AV156" s="141"/>
      <c r="AW156" s="141"/>
      <c r="AX156" s="141"/>
      <c r="AY156" s="141"/>
      <c r="AZ156" s="141"/>
      <c r="BA156" s="141"/>
      <c r="BB156" s="141"/>
      <c r="BC156" s="141"/>
      <c r="BD156" s="141"/>
      <c r="BE156" s="141"/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</row>
    <row r="157" ht="13.5" customHeight="1">
      <c r="A157" s="138"/>
      <c r="B157" s="139"/>
      <c r="C157" s="138"/>
      <c r="D157" s="138"/>
      <c r="E157" s="140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141"/>
      <c r="AV157" s="141"/>
      <c r="AW157" s="141"/>
      <c r="AX157" s="141"/>
      <c r="AY157" s="141"/>
      <c r="AZ157" s="141"/>
      <c r="BA157" s="141"/>
      <c r="BB157" s="141"/>
      <c r="BC157" s="141"/>
      <c r="BD157" s="141"/>
      <c r="BE157" s="141"/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</row>
    <row r="158" ht="13.5" customHeight="1">
      <c r="A158" s="138"/>
      <c r="B158" s="139"/>
      <c r="C158" s="138"/>
      <c r="D158" s="138"/>
      <c r="E158" s="140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141"/>
      <c r="AV158" s="141"/>
      <c r="AW158" s="141"/>
      <c r="AX158" s="141"/>
      <c r="AY158" s="141"/>
      <c r="AZ158" s="141"/>
      <c r="BA158" s="141"/>
      <c r="BB158" s="141"/>
      <c r="BC158" s="141"/>
      <c r="BD158" s="141"/>
      <c r="BE158" s="141"/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</row>
    <row r="159" ht="13.5" customHeight="1">
      <c r="A159" s="138"/>
      <c r="B159" s="139"/>
      <c r="C159" s="138"/>
      <c r="D159" s="138"/>
      <c r="E159" s="140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41"/>
      <c r="AY159" s="141"/>
      <c r="AZ159" s="141"/>
      <c r="BA159" s="141"/>
      <c r="BB159" s="141"/>
      <c r="BC159" s="141"/>
      <c r="BD159" s="141"/>
      <c r="BE159" s="141"/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</row>
    <row r="160" ht="13.5" customHeight="1">
      <c r="A160" s="138"/>
      <c r="B160" s="139"/>
      <c r="C160" s="138"/>
      <c r="D160" s="138"/>
      <c r="E160" s="140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41"/>
      <c r="AJ160" s="141"/>
      <c r="AK160" s="141"/>
      <c r="AL160" s="141"/>
      <c r="AM160" s="141"/>
      <c r="AN160" s="141"/>
      <c r="AO160" s="141"/>
      <c r="AP160" s="141"/>
      <c r="AQ160" s="141"/>
      <c r="AR160" s="141"/>
      <c r="AS160" s="141"/>
      <c r="AT160" s="141"/>
      <c r="AU160" s="141"/>
      <c r="AV160" s="141"/>
      <c r="AW160" s="141"/>
      <c r="AX160" s="141"/>
      <c r="AY160" s="141"/>
      <c r="AZ160" s="141"/>
      <c r="BA160" s="141"/>
      <c r="BB160" s="141"/>
      <c r="BC160" s="141"/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</row>
    <row r="161" ht="13.5" customHeight="1">
      <c r="A161" s="138"/>
      <c r="B161" s="139"/>
      <c r="C161" s="138"/>
      <c r="D161" s="138"/>
      <c r="E161" s="140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1"/>
      <c r="AM161" s="141"/>
      <c r="AN161" s="141"/>
      <c r="AO161" s="141"/>
      <c r="AP161" s="141"/>
      <c r="AQ161" s="141"/>
      <c r="AR161" s="141"/>
      <c r="AS161" s="141"/>
      <c r="AT161" s="141"/>
      <c r="AU161" s="141"/>
      <c r="AV161" s="141"/>
      <c r="AW161" s="141"/>
      <c r="AX161" s="141"/>
      <c r="AY161" s="141"/>
      <c r="AZ161" s="141"/>
      <c r="BA161" s="141"/>
      <c r="BB161" s="141"/>
      <c r="BC161" s="141"/>
      <c r="BD161" s="141"/>
      <c r="BE161" s="141"/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</row>
    <row r="162" ht="13.5" customHeight="1">
      <c r="A162" s="138"/>
      <c r="B162" s="139"/>
      <c r="C162" s="138"/>
      <c r="D162" s="138"/>
      <c r="E162" s="140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41"/>
      <c r="AJ162" s="141"/>
      <c r="AK162" s="141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  <c r="AW162" s="141"/>
      <c r="AX162" s="141"/>
      <c r="AY162" s="141"/>
      <c r="AZ162" s="141"/>
      <c r="BA162" s="141"/>
      <c r="BB162" s="141"/>
      <c r="BC162" s="141"/>
      <c r="BD162" s="141"/>
      <c r="BE162" s="141"/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</row>
    <row r="163" ht="13.5" customHeight="1">
      <c r="A163" s="138"/>
      <c r="B163" s="139"/>
      <c r="C163" s="138"/>
      <c r="D163" s="138"/>
      <c r="E163" s="140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1"/>
      <c r="AM163" s="141"/>
      <c r="AN163" s="141"/>
      <c r="AO163" s="141"/>
      <c r="AP163" s="141"/>
      <c r="AQ163" s="141"/>
      <c r="AR163" s="141"/>
      <c r="AS163" s="141"/>
      <c r="AT163" s="141"/>
      <c r="AU163" s="141"/>
      <c r="AV163" s="141"/>
      <c r="AW163" s="141"/>
      <c r="AX163" s="141"/>
      <c r="AY163" s="141"/>
      <c r="AZ163" s="141"/>
      <c r="BA163" s="141"/>
      <c r="BB163" s="141"/>
      <c r="BC163" s="141"/>
      <c r="BD163" s="141"/>
      <c r="BE163" s="141"/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</row>
    <row r="164" ht="13.5" customHeight="1">
      <c r="A164" s="138"/>
      <c r="B164" s="139"/>
      <c r="C164" s="138"/>
      <c r="D164" s="138"/>
      <c r="E164" s="140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41"/>
      <c r="AJ164" s="141"/>
      <c r="AK164" s="141"/>
      <c r="AL164" s="141"/>
      <c r="AM164" s="141"/>
      <c r="AN164" s="141"/>
      <c r="AO164" s="141"/>
      <c r="AP164" s="141"/>
      <c r="AQ164" s="141"/>
      <c r="AR164" s="141"/>
      <c r="AS164" s="141"/>
      <c r="AT164" s="141"/>
      <c r="AU164" s="141"/>
      <c r="AV164" s="141"/>
      <c r="AW164" s="141"/>
      <c r="AX164" s="141"/>
      <c r="AY164" s="141"/>
      <c r="AZ164" s="141"/>
      <c r="BA164" s="141"/>
      <c r="BB164" s="141"/>
      <c r="BC164" s="141"/>
      <c r="BD164" s="141"/>
      <c r="BE164" s="141"/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</row>
    <row r="165" ht="13.5" customHeight="1">
      <c r="A165" s="138"/>
      <c r="B165" s="139"/>
      <c r="C165" s="138"/>
      <c r="D165" s="138"/>
      <c r="E165" s="140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1"/>
      <c r="AM165" s="141"/>
      <c r="AN165" s="141"/>
      <c r="AO165" s="141"/>
      <c r="AP165" s="141"/>
      <c r="AQ165" s="141"/>
      <c r="AR165" s="141"/>
      <c r="AS165" s="141"/>
      <c r="AT165" s="141"/>
      <c r="AU165" s="141"/>
      <c r="AV165" s="141"/>
      <c r="AW165" s="141"/>
      <c r="AX165" s="141"/>
      <c r="AY165" s="141"/>
      <c r="AZ165" s="141"/>
      <c r="BA165" s="141"/>
      <c r="BB165" s="141"/>
      <c r="BC165" s="141"/>
      <c r="BD165" s="141"/>
      <c r="BE165" s="141"/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</row>
    <row r="166" ht="13.5" customHeight="1">
      <c r="A166" s="138"/>
      <c r="B166" s="139"/>
      <c r="C166" s="138"/>
      <c r="D166" s="138"/>
      <c r="E166" s="140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41"/>
      <c r="AJ166" s="141"/>
      <c r="AK166" s="141"/>
      <c r="AL166" s="141"/>
      <c r="AM166" s="141"/>
      <c r="AN166" s="141"/>
      <c r="AO166" s="141"/>
      <c r="AP166" s="141"/>
      <c r="AQ166" s="141"/>
      <c r="AR166" s="141"/>
      <c r="AS166" s="141"/>
      <c r="AT166" s="141"/>
      <c r="AU166" s="141"/>
      <c r="AV166" s="141"/>
      <c r="AW166" s="141"/>
      <c r="AX166" s="141"/>
      <c r="AY166" s="141"/>
      <c r="AZ166" s="141"/>
      <c r="BA166" s="141"/>
      <c r="BB166" s="141"/>
      <c r="BC166" s="141"/>
      <c r="BD166" s="141"/>
      <c r="BE166" s="141"/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</row>
    <row r="167" ht="13.5" customHeight="1">
      <c r="A167" s="138"/>
      <c r="B167" s="139"/>
      <c r="C167" s="138"/>
      <c r="D167" s="138"/>
      <c r="E167" s="140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41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1"/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</row>
    <row r="168" ht="13.5" customHeight="1">
      <c r="A168" s="138"/>
      <c r="B168" s="139"/>
      <c r="C168" s="138"/>
      <c r="D168" s="138"/>
      <c r="E168" s="140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41"/>
      <c r="AJ168" s="141"/>
      <c r="AK168" s="141"/>
      <c r="AL168" s="141"/>
      <c r="AM168" s="141"/>
      <c r="AN168" s="141"/>
      <c r="AO168" s="141"/>
      <c r="AP168" s="141"/>
      <c r="AQ168" s="141"/>
      <c r="AR168" s="141"/>
      <c r="AS168" s="141"/>
      <c r="AT168" s="141"/>
      <c r="AU168" s="141"/>
      <c r="AV168" s="141"/>
      <c r="AW168" s="141"/>
      <c r="AX168" s="141"/>
      <c r="AY168" s="141"/>
      <c r="AZ168" s="141"/>
      <c r="BA168" s="141"/>
      <c r="BB168" s="141"/>
      <c r="BC168" s="141"/>
      <c r="BD168" s="141"/>
      <c r="BE168" s="141"/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</row>
    <row r="169" ht="13.5" customHeight="1">
      <c r="A169" s="138"/>
      <c r="B169" s="139"/>
      <c r="C169" s="138"/>
      <c r="D169" s="138"/>
      <c r="E169" s="140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1"/>
      <c r="AM169" s="141"/>
      <c r="AN169" s="141"/>
      <c r="AO169" s="141"/>
      <c r="AP169" s="141"/>
      <c r="AQ169" s="141"/>
      <c r="AR169" s="141"/>
      <c r="AS169" s="141"/>
      <c r="AT169" s="141"/>
      <c r="AU169" s="141"/>
      <c r="AV169" s="141"/>
      <c r="AW169" s="141"/>
      <c r="AX169" s="141"/>
      <c r="AY169" s="141"/>
      <c r="AZ169" s="141"/>
      <c r="BA169" s="141"/>
      <c r="BB169" s="141"/>
      <c r="BC169" s="141"/>
      <c r="BD169" s="141"/>
      <c r="BE169" s="141"/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</row>
    <row r="170" ht="13.5" customHeight="1">
      <c r="A170" s="138"/>
      <c r="B170" s="139"/>
      <c r="C170" s="138"/>
      <c r="D170" s="138"/>
      <c r="E170" s="140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1"/>
      <c r="AS170" s="141"/>
      <c r="AT170" s="141"/>
      <c r="AU170" s="141"/>
      <c r="AV170" s="141"/>
      <c r="AW170" s="141"/>
      <c r="AX170" s="141"/>
      <c r="AY170" s="141"/>
      <c r="AZ170" s="141"/>
      <c r="BA170" s="141"/>
      <c r="BB170" s="141"/>
      <c r="BC170" s="141"/>
      <c r="BD170" s="141"/>
      <c r="BE170" s="141"/>
      <c r="BF170" s="141"/>
      <c r="BG170" s="141"/>
      <c r="BH170" s="141"/>
      <c r="BI170" s="141"/>
      <c r="BJ170" s="141"/>
      <c r="BK170" s="141"/>
      <c r="BL170" s="141"/>
      <c r="BM170" s="141"/>
      <c r="BN170" s="141"/>
      <c r="BO170" s="141"/>
    </row>
    <row r="171" ht="13.5" customHeight="1">
      <c r="A171" s="138"/>
      <c r="B171" s="139"/>
      <c r="C171" s="138"/>
      <c r="D171" s="138"/>
      <c r="E171" s="140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1"/>
      <c r="AM171" s="141"/>
      <c r="AN171" s="141"/>
      <c r="AO171" s="141"/>
      <c r="AP171" s="141"/>
      <c r="AQ171" s="141"/>
      <c r="AR171" s="141"/>
      <c r="AS171" s="141"/>
      <c r="AT171" s="141"/>
      <c r="AU171" s="141"/>
      <c r="AV171" s="141"/>
      <c r="AW171" s="141"/>
      <c r="AX171" s="141"/>
      <c r="AY171" s="141"/>
      <c r="AZ171" s="141"/>
      <c r="BA171" s="141"/>
      <c r="BB171" s="141"/>
      <c r="BC171" s="141"/>
      <c r="BD171" s="141"/>
      <c r="BE171" s="141"/>
      <c r="BF171" s="141"/>
      <c r="BG171" s="141"/>
      <c r="BH171" s="141"/>
      <c r="BI171" s="141"/>
      <c r="BJ171" s="141"/>
      <c r="BK171" s="141"/>
      <c r="BL171" s="141"/>
      <c r="BM171" s="141"/>
      <c r="BN171" s="141"/>
      <c r="BO171" s="141"/>
    </row>
    <row r="172" ht="13.5" customHeight="1">
      <c r="A172" s="138"/>
      <c r="B172" s="139"/>
      <c r="C172" s="138"/>
      <c r="D172" s="138"/>
      <c r="E172" s="140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41"/>
      <c r="AJ172" s="141"/>
      <c r="AK172" s="141"/>
      <c r="AL172" s="141"/>
      <c r="AM172" s="141"/>
      <c r="AN172" s="141"/>
      <c r="AO172" s="141"/>
      <c r="AP172" s="141"/>
      <c r="AQ172" s="141"/>
      <c r="AR172" s="141"/>
      <c r="AS172" s="141"/>
      <c r="AT172" s="141"/>
      <c r="AU172" s="141"/>
      <c r="AV172" s="141"/>
      <c r="AW172" s="141"/>
      <c r="AX172" s="141"/>
      <c r="AY172" s="141"/>
      <c r="AZ172" s="141"/>
      <c r="BA172" s="141"/>
      <c r="BB172" s="141"/>
      <c r="BC172" s="141"/>
      <c r="BD172" s="141"/>
      <c r="BE172" s="141"/>
      <c r="BF172" s="141"/>
      <c r="BG172" s="141"/>
      <c r="BH172" s="141"/>
      <c r="BI172" s="141"/>
      <c r="BJ172" s="141"/>
      <c r="BK172" s="141"/>
      <c r="BL172" s="141"/>
      <c r="BM172" s="141"/>
      <c r="BN172" s="141"/>
      <c r="BO172" s="141"/>
    </row>
    <row r="173" ht="13.5" customHeight="1">
      <c r="A173" s="138"/>
      <c r="B173" s="139"/>
      <c r="C173" s="138"/>
      <c r="D173" s="138"/>
      <c r="E173" s="140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  <c r="AV173" s="141"/>
      <c r="AW173" s="141"/>
      <c r="AX173" s="141"/>
      <c r="AY173" s="141"/>
      <c r="AZ173" s="141"/>
      <c r="BA173" s="141"/>
      <c r="BB173" s="141"/>
      <c r="BC173" s="141"/>
      <c r="BD173" s="141"/>
      <c r="BE173" s="141"/>
      <c r="BF173" s="141"/>
      <c r="BG173" s="141"/>
      <c r="BH173" s="141"/>
      <c r="BI173" s="141"/>
      <c r="BJ173" s="141"/>
      <c r="BK173" s="141"/>
      <c r="BL173" s="141"/>
      <c r="BM173" s="141"/>
      <c r="BN173" s="141"/>
      <c r="BO173" s="141"/>
    </row>
    <row r="174" ht="13.5" customHeight="1">
      <c r="A174" s="138"/>
      <c r="B174" s="139"/>
      <c r="C174" s="138"/>
      <c r="D174" s="138"/>
      <c r="E174" s="140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41"/>
      <c r="AJ174" s="141"/>
      <c r="AK174" s="141"/>
      <c r="AL174" s="141"/>
      <c r="AM174" s="141"/>
      <c r="AN174" s="141"/>
      <c r="AO174" s="141"/>
      <c r="AP174" s="141"/>
      <c r="AQ174" s="141"/>
      <c r="AR174" s="141"/>
      <c r="AS174" s="141"/>
      <c r="AT174" s="141"/>
      <c r="AU174" s="141"/>
      <c r="AV174" s="141"/>
      <c r="AW174" s="141"/>
      <c r="AX174" s="141"/>
      <c r="AY174" s="141"/>
      <c r="AZ174" s="141"/>
      <c r="BA174" s="141"/>
      <c r="BB174" s="141"/>
      <c r="BC174" s="141"/>
      <c r="BD174" s="141"/>
      <c r="BE174" s="141"/>
      <c r="BF174" s="141"/>
      <c r="BG174" s="141"/>
      <c r="BH174" s="141"/>
      <c r="BI174" s="141"/>
      <c r="BJ174" s="141"/>
      <c r="BK174" s="141"/>
      <c r="BL174" s="141"/>
      <c r="BM174" s="141"/>
      <c r="BN174" s="141"/>
      <c r="BO174" s="141"/>
    </row>
    <row r="175" ht="13.5" customHeight="1">
      <c r="A175" s="138"/>
      <c r="B175" s="139"/>
      <c r="C175" s="138"/>
      <c r="D175" s="138"/>
      <c r="E175" s="140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s="141"/>
      <c r="AV175" s="141"/>
      <c r="AW175" s="141"/>
      <c r="AX175" s="141"/>
      <c r="AY175" s="141"/>
      <c r="AZ175" s="141"/>
      <c r="BA175" s="141"/>
      <c r="BB175" s="141"/>
      <c r="BC175" s="141"/>
      <c r="BD175" s="141"/>
      <c r="BE175" s="141"/>
      <c r="BF175" s="141"/>
      <c r="BG175" s="141"/>
      <c r="BH175" s="141"/>
      <c r="BI175" s="141"/>
      <c r="BJ175" s="141"/>
      <c r="BK175" s="141"/>
      <c r="BL175" s="141"/>
      <c r="BM175" s="141"/>
      <c r="BN175" s="141"/>
      <c r="BO175" s="141"/>
    </row>
    <row r="176" ht="13.5" customHeight="1">
      <c r="A176" s="138"/>
      <c r="B176" s="139"/>
      <c r="C176" s="138"/>
      <c r="D176" s="138"/>
      <c r="E176" s="140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  <c r="BB176" s="141"/>
      <c r="BC176" s="141"/>
      <c r="BD176" s="141"/>
      <c r="BE176" s="141"/>
      <c r="BF176" s="141"/>
      <c r="BG176" s="141"/>
      <c r="BH176" s="141"/>
      <c r="BI176" s="141"/>
      <c r="BJ176" s="141"/>
      <c r="BK176" s="141"/>
      <c r="BL176" s="141"/>
      <c r="BM176" s="141"/>
      <c r="BN176" s="141"/>
      <c r="BO176" s="141"/>
    </row>
    <row r="177" ht="13.5" customHeight="1">
      <c r="A177" s="138"/>
      <c r="B177" s="139"/>
      <c r="C177" s="138"/>
      <c r="D177" s="138"/>
      <c r="E177" s="140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41"/>
      <c r="AZ177" s="141"/>
      <c r="BA177" s="141"/>
      <c r="BB177" s="141"/>
      <c r="BC177" s="141"/>
      <c r="BD177" s="141"/>
      <c r="BE177" s="141"/>
      <c r="BF177" s="141"/>
      <c r="BG177" s="141"/>
      <c r="BH177" s="141"/>
      <c r="BI177" s="141"/>
      <c r="BJ177" s="141"/>
      <c r="BK177" s="141"/>
      <c r="BL177" s="141"/>
      <c r="BM177" s="141"/>
      <c r="BN177" s="141"/>
      <c r="BO177" s="141"/>
    </row>
    <row r="178" ht="13.5" customHeight="1">
      <c r="A178" s="138"/>
      <c r="B178" s="139"/>
      <c r="C178" s="138"/>
      <c r="D178" s="138"/>
      <c r="E178" s="140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  <c r="BM178" s="141"/>
      <c r="BN178" s="141"/>
      <c r="BO178" s="141"/>
    </row>
    <row r="179" ht="13.5" customHeight="1">
      <c r="A179" s="138"/>
      <c r="B179" s="139"/>
      <c r="C179" s="138"/>
      <c r="D179" s="138"/>
      <c r="E179" s="140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  <c r="BO179" s="141"/>
    </row>
    <row r="180" ht="13.5" customHeight="1">
      <c r="A180" s="138"/>
      <c r="B180" s="139"/>
      <c r="C180" s="138"/>
      <c r="D180" s="138"/>
      <c r="E180" s="140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41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</row>
    <row r="181" ht="13.5" customHeight="1">
      <c r="A181" s="138"/>
      <c r="B181" s="139"/>
      <c r="C181" s="138"/>
      <c r="D181" s="138"/>
      <c r="E181" s="140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  <c r="BE181" s="141"/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</row>
    <row r="182" ht="13.5" customHeight="1">
      <c r="A182" s="138"/>
      <c r="B182" s="139"/>
      <c r="C182" s="138"/>
      <c r="D182" s="138"/>
      <c r="E182" s="140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141"/>
      <c r="AO182" s="141"/>
      <c r="AP182" s="141"/>
      <c r="AQ182" s="141"/>
      <c r="AR182" s="141"/>
      <c r="AS182" s="141"/>
      <c r="AT182" s="141"/>
      <c r="AU182" s="141"/>
      <c r="AV182" s="141"/>
      <c r="AW182" s="141"/>
      <c r="AX182" s="141"/>
      <c r="AY182" s="141"/>
      <c r="AZ182" s="141"/>
      <c r="BA182" s="141"/>
      <c r="BB182" s="141"/>
      <c r="BC182" s="141"/>
      <c r="BD182" s="141"/>
      <c r="BE182" s="141"/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</row>
    <row r="183" ht="13.5" customHeight="1">
      <c r="A183" s="138"/>
      <c r="B183" s="139"/>
      <c r="C183" s="138"/>
      <c r="D183" s="138"/>
      <c r="E183" s="140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  <c r="BE183" s="141"/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141"/>
    </row>
    <row r="184" ht="13.5" customHeight="1">
      <c r="A184" s="138"/>
      <c r="B184" s="139"/>
      <c r="C184" s="138"/>
      <c r="D184" s="138"/>
      <c r="E184" s="140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141"/>
      <c r="AO184" s="141"/>
      <c r="AP184" s="141"/>
      <c r="AQ184" s="141"/>
      <c r="AR184" s="141"/>
      <c r="AS184" s="141"/>
      <c r="AT184" s="141"/>
      <c r="AU184" s="141"/>
      <c r="AV184" s="141"/>
      <c r="AW184" s="141"/>
      <c r="AX184" s="141"/>
      <c r="AY184" s="141"/>
      <c r="AZ184" s="141"/>
      <c r="BA184" s="141"/>
      <c r="BB184" s="141"/>
      <c r="BC184" s="141"/>
      <c r="BD184" s="141"/>
      <c r="BE184" s="141"/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</row>
    <row r="185" ht="13.5" customHeight="1">
      <c r="A185" s="138"/>
      <c r="B185" s="139"/>
      <c r="C185" s="138"/>
      <c r="D185" s="138"/>
      <c r="E185" s="140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41"/>
      <c r="AK185" s="141"/>
      <c r="AL185" s="141"/>
      <c r="AM185" s="141"/>
      <c r="AN185" s="141"/>
      <c r="AO185" s="141"/>
      <c r="AP185" s="141"/>
      <c r="AQ185" s="141"/>
      <c r="AR185" s="141"/>
      <c r="AS185" s="141"/>
      <c r="AT185" s="141"/>
      <c r="AU185" s="141"/>
      <c r="AV185" s="141"/>
      <c r="AW185" s="141"/>
      <c r="AX185" s="141"/>
      <c r="AY185" s="141"/>
      <c r="AZ185" s="141"/>
      <c r="BA185" s="141"/>
      <c r="BB185" s="141"/>
      <c r="BC185" s="141"/>
      <c r="BD185" s="141"/>
      <c r="BE185" s="141"/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</row>
    <row r="186" ht="13.5" customHeight="1">
      <c r="A186" s="138"/>
      <c r="B186" s="139"/>
      <c r="C186" s="138"/>
      <c r="D186" s="138"/>
      <c r="E186" s="140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141"/>
      <c r="AO186" s="141"/>
      <c r="AP186" s="141"/>
      <c r="AQ186" s="141"/>
      <c r="AR186" s="141"/>
      <c r="AS186" s="141"/>
      <c r="AT186" s="141"/>
      <c r="AU186" s="141"/>
      <c r="AV186" s="141"/>
      <c r="AW186" s="141"/>
      <c r="AX186" s="141"/>
      <c r="AY186" s="141"/>
      <c r="AZ186" s="141"/>
      <c r="BA186" s="141"/>
      <c r="BB186" s="141"/>
      <c r="BC186" s="141"/>
      <c r="BD186" s="141"/>
      <c r="BE186" s="141"/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</row>
    <row r="187" ht="13.5" customHeight="1">
      <c r="A187" s="138"/>
      <c r="B187" s="139"/>
      <c r="C187" s="138"/>
      <c r="D187" s="138"/>
      <c r="E187" s="140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1"/>
      <c r="AS187" s="141"/>
      <c r="AT187" s="141"/>
      <c r="AU187" s="141"/>
      <c r="AV187" s="141"/>
      <c r="AW187" s="141"/>
      <c r="AX187" s="141"/>
      <c r="AY187" s="141"/>
      <c r="AZ187" s="141"/>
      <c r="BA187" s="141"/>
      <c r="BB187" s="141"/>
      <c r="BC187" s="141"/>
      <c r="BD187" s="141"/>
      <c r="BE187" s="141"/>
      <c r="BF187" s="141"/>
      <c r="BG187" s="141"/>
      <c r="BH187" s="141"/>
      <c r="BI187" s="141"/>
      <c r="BJ187" s="141"/>
      <c r="BK187" s="141"/>
      <c r="BL187" s="141"/>
      <c r="BM187" s="141"/>
      <c r="BN187" s="141"/>
      <c r="BO187" s="141"/>
    </row>
    <row r="188" ht="13.5" customHeight="1">
      <c r="A188" s="138"/>
      <c r="B188" s="139"/>
      <c r="C188" s="138"/>
      <c r="D188" s="138"/>
      <c r="E188" s="140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  <c r="BM188" s="141"/>
      <c r="BN188" s="141"/>
      <c r="BO188" s="141"/>
    </row>
    <row r="189" ht="13.5" customHeight="1">
      <c r="A189" s="138"/>
      <c r="B189" s="139"/>
      <c r="C189" s="138"/>
      <c r="D189" s="138"/>
      <c r="E189" s="140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  <c r="BE189" s="141"/>
      <c r="BF189" s="141"/>
      <c r="BG189" s="141"/>
      <c r="BH189" s="141"/>
      <c r="BI189" s="141"/>
      <c r="BJ189" s="141"/>
      <c r="BK189" s="141"/>
      <c r="BL189" s="141"/>
      <c r="BM189" s="141"/>
      <c r="BN189" s="141"/>
      <c r="BO189" s="141"/>
    </row>
    <row r="190" ht="13.5" customHeight="1">
      <c r="A190" s="138"/>
      <c r="B190" s="139"/>
      <c r="C190" s="138"/>
      <c r="D190" s="138"/>
      <c r="E190" s="140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41"/>
      <c r="AU190" s="141"/>
      <c r="AV190" s="141"/>
      <c r="AW190" s="141"/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</row>
    <row r="191" ht="13.5" customHeight="1">
      <c r="A191" s="138"/>
      <c r="B191" s="139"/>
      <c r="C191" s="138"/>
      <c r="D191" s="138"/>
      <c r="E191" s="140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41"/>
      <c r="AJ191" s="141"/>
      <c r="AK191" s="141"/>
      <c r="AL191" s="141"/>
      <c r="AM191" s="141"/>
      <c r="AN191" s="141"/>
      <c r="AO191" s="141"/>
      <c r="AP191" s="141"/>
      <c r="AQ191" s="141"/>
      <c r="AR191" s="141"/>
      <c r="AS191" s="141"/>
      <c r="AT191" s="141"/>
      <c r="AU191" s="141"/>
      <c r="AV191" s="141"/>
      <c r="AW191" s="141"/>
      <c r="AX191" s="141"/>
      <c r="AY191" s="141"/>
      <c r="AZ191" s="141"/>
      <c r="BA191" s="141"/>
      <c r="BB191" s="141"/>
      <c r="BC191" s="141"/>
      <c r="BD191" s="141"/>
      <c r="BE191" s="141"/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</row>
    <row r="192" ht="13.5" customHeight="1">
      <c r="A192" s="138"/>
      <c r="B192" s="139"/>
      <c r="C192" s="138"/>
      <c r="D192" s="138"/>
      <c r="E192" s="140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</row>
    <row r="193" ht="13.5" customHeight="1">
      <c r="A193" s="138"/>
      <c r="B193" s="139"/>
      <c r="C193" s="138"/>
      <c r="D193" s="138"/>
      <c r="E193" s="140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141"/>
      <c r="AN193" s="141"/>
      <c r="AO193" s="141"/>
      <c r="AP193" s="141"/>
      <c r="AQ193" s="141"/>
      <c r="AR193" s="141"/>
      <c r="AS193" s="141"/>
      <c r="AT193" s="141"/>
      <c r="AU193" s="141"/>
      <c r="AV193" s="141"/>
      <c r="AW193" s="141"/>
      <c r="AX193" s="141"/>
      <c r="AY193" s="141"/>
      <c r="AZ193" s="141"/>
      <c r="BA193" s="141"/>
      <c r="BB193" s="141"/>
      <c r="BC193" s="141"/>
      <c r="BD193" s="141"/>
      <c r="BE193" s="141"/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</row>
    <row r="194" ht="13.5" customHeight="1">
      <c r="A194" s="138"/>
      <c r="B194" s="139"/>
      <c r="C194" s="138"/>
      <c r="D194" s="138"/>
      <c r="E194" s="140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41"/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</row>
    <row r="195" ht="13.5" customHeight="1">
      <c r="A195" s="138"/>
      <c r="B195" s="139"/>
      <c r="C195" s="138"/>
      <c r="D195" s="138"/>
      <c r="E195" s="140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41"/>
      <c r="AJ195" s="141"/>
      <c r="AK195" s="141"/>
      <c r="AL195" s="141"/>
      <c r="AM195" s="141"/>
      <c r="AN195" s="141"/>
      <c r="AO195" s="141"/>
      <c r="AP195" s="141"/>
      <c r="AQ195" s="141"/>
      <c r="AR195" s="141"/>
      <c r="AS195" s="141"/>
      <c r="AT195" s="141"/>
      <c r="AU195" s="141"/>
      <c r="AV195" s="141"/>
      <c r="AW195" s="141"/>
      <c r="AX195" s="141"/>
      <c r="AY195" s="141"/>
      <c r="AZ195" s="141"/>
      <c r="BA195" s="141"/>
      <c r="BB195" s="141"/>
      <c r="BC195" s="141"/>
      <c r="BD195" s="141"/>
      <c r="BE195" s="141"/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</row>
    <row r="196" ht="13.5" customHeight="1">
      <c r="A196" s="138"/>
      <c r="B196" s="139"/>
      <c r="C196" s="138"/>
      <c r="D196" s="138"/>
      <c r="E196" s="140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</row>
    <row r="197" ht="13.5" customHeight="1">
      <c r="A197" s="138"/>
      <c r="B197" s="139"/>
      <c r="C197" s="138"/>
      <c r="D197" s="138"/>
      <c r="E197" s="140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1"/>
      <c r="AS197" s="141"/>
      <c r="AT197" s="141"/>
      <c r="AU197" s="141"/>
      <c r="AV197" s="141"/>
      <c r="AW197" s="141"/>
      <c r="AX197" s="141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</row>
    <row r="198" ht="13.5" customHeight="1">
      <c r="A198" s="138"/>
      <c r="B198" s="139"/>
      <c r="C198" s="138"/>
      <c r="D198" s="138"/>
      <c r="E198" s="140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</row>
    <row r="199" ht="13.5" customHeight="1">
      <c r="A199" s="138"/>
      <c r="B199" s="139"/>
      <c r="C199" s="138"/>
      <c r="D199" s="138"/>
      <c r="E199" s="140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41"/>
      <c r="AJ199" s="141"/>
      <c r="AK199" s="141"/>
      <c r="AL199" s="141"/>
      <c r="AM199" s="141"/>
      <c r="AN199" s="141"/>
      <c r="AO199" s="141"/>
      <c r="AP199" s="141"/>
      <c r="AQ199" s="141"/>
      <c r="AR199" s="141"/>
      <c r="AS199" s="141"/>
      <c r="AT199" s="141"/>
      <c r="AU199" s="141"/>
      <c r="AV199" s="141"/>
      <c r="AW199" s="141"/>
      <c r="AX199" s="141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</row>
    <row r="200" ht="13.5" customHeight="1">
      <c r="A200" s="138"/>
      <c r="B200" s="139"/>
      <c r="C200" s="138"/>
      <c r="D200" s="138"/>
      <c r="E200" s="140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</row>
    <row r="201" ht="13.5" customHeight="1">
      <c r="A201" s="138"/>
      <c r="B201" s="139"/>
      <c r="C201" s="138"/>
      <c r="D201" s="138"/>
      <c r="E201" s="140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41"/>
      <c r="AU201" s="141"/>
      <c r="AV201" s="141"/>
      <c r="AW201" s="141"/>
      <c r="AX201" s="141"/>
      <c r="AY201" s="141"/>
      <c r="AZ201" s="141"/>
      <c r="BA201" s="141"/>
      <c r="BB201" s="141"/>
      <c r="BC201" s="141"/>
      <c r="BD201" s="141"/>
      <c r="BE201" s="141"/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</row>
    <row r="202" ht="13.5" customHeight="1">
      <c r="A202" s="138"/>
      <c r="B202" s="139"/>
      <c r="C202" s="138"/>
      <c r="D202" s="138"/>
      <c r="E202" s="140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41"/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</row>
    <row r="203" ht="13.5" customHeight="1">
      <c r="A203" s="138"/>
      <c r="B203" s="139"/>
      <c r="C203" s="138"/>
      <c r="D203" s="138"/>
      <c r="E203" s="140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41"/>
      <c r="AJ203" s="141"/>
      <c r="AK203" s="141"/>
      <c r="AL203" s="141"/>
      <c r="AM203" s="141"/>
      <c r="AN203" s="141"/>
      <c r="AO203" s="141"/>
      <c r="AP203" s="141"/>
      <c r="AQ203" s="141"/>
      <c r="AR203" s="141"/>
      <c r="AS203" s="141"/>
      <c r="AT203" s="141"/>
      <c r="AU203" s="141"/>
      <c r="AV203" s="141"/>
      <c r="AW203" s="141"/>
      <c r="AX203" s="141"/>
      <c r="AY203" s="141"/>
      <c r="AZ203" s="141"/>
      <c r="BA203" s="141"/>
      <c r="BB203" s="141"/>
      <c r="BC203" s="141"/>
      <c r="BD203" s="141"/>
      <c r="BE203" s="141"/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</row>
    <row r="204" ht="13.5" customHeight="1">
      <c r="A204" s="138"/>
      <c r="B204" s="139"/>
      <c r="C204" s="138"/>
      <c r="D204" s="138"/>
      <c r="E204" s="140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41"/>
      <c r="BF204" s="141"/>
      <c r="BG204" s="141"/>
      <c r="BH204" s="141"/>
      <c r="BI204" s="141"/>
      <c r="BJ204" s="141"/>
      <c r="BK204" s="141"/>
      <c r="BL204" s="141"/>
      <c r="BM204" s="141"/>
      <c r="BN204" s="141"/>
      <c r="BO204" s="141"/>
    </row>
    <row r="205" ht="13.5" customHeight="1">
      <c r="A205" s="138"/>
      <c r="B205" s="139"/>
      <c r="C205" s="138"/>
      <c r="D205" s="138"/>
      <c r="E205" s="140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41"/>
      <c r="AJ205" s="141"/>
      <c r="AK205" s="141"/>
      <c r="AL205" s="141"/>
      <c r="AM205" s="141"/>
      <c r="AN205" s="141"/>
      <c r="AO205" s="141"/>
      <c r="AP205" s="141"/>
      <c r="AQ205" s="141"/>
      <c r="AR205" s="141"/>
      <c r="AS205" s="141"/>
      <c r="AT205" s="141"/>
      <c r="AU205" s="141"/>
      <c r="AV205" s="141"/>
      <c r="AW205" s="141"/>
      <c r="AX205" s="141"/>
      <c r="AY205" s="141"/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  <c r="BO205" s="141"/>
    </row>
    <row r="206" ht="13.5" customHeight="1">
      <c r="A206" s="138"/>
      <c r="B206" s="139"/>
      <c r="C206" s="138"/>
      <c r="D206" s="138"/>
      <c r="E206" s="140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41"/>
      <c r="AJ206" s="141"/>
      <c r="AK206" s="141"/>
      <c r="AL206" s="141"/>
      <c r="AM206" s="141"/>
      <c r="AN206" s="141"/>
      <c r="AO206" s="141"/>
      <c r="AP206" s="141"/>
      <c r="AQ206" s="141"/>
      <c r="AR206" s="141"/>
      <c r="AS206" s="141"/>
      <c r="AT206" s="141"/>
      <c r="AU206" s="141"/>
      <c r="AV206" s="141"/>
      <c r="AW206" s="141"/>
      <c r="AX206" s="141"/>
      <c r="AY206" s="141"/>
      <c r="AZ206" s="141"/>
      <c r="BA206" s="141"/>
      <c r="BB206" s="141"/>
      <c r="BC206" s="141"/>
      <c r="BD206" s="141"/>
      <c r="BE206" s="141"/>
      <c r="BF206" s="141"/>
      <c r="BG206" s="141"/>
      <c r="BH206" s="141"/>
      <c r="BI206" s="141"/>
      <c r="BJ206" s="141"/>
      <c r="BK206" s="141"/>
      <c r="BL206" s="141"/>
      <c r="BM206" s="141"/>
      <c r="BN206" s="141"/>
      <c r="BO206" s="141"/>
    </row>
    <row r="207" ht="13.5" customHeight="1">
      <c r="A207" s="138"/>
      <c r="B207" s="139"/>
      <c r="C207" s="138"/>
      <c r="D207" s="138"/>
      <c r="E207" s="140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s="141"/>
      <c r="AV207" s="141"/>
      <c r="AW207" s="141"/>
      <c r="AX207" s="141"/>
      <c r="AY207" s="141"/>
      <c r="AZ207" s="141"/>
      <c r="BA207" s="141"/>
      <c r="BB207" s="141"/>
      <c r="BC207" s="141"/>
      <c r="BD207" s="141"/>
      <c r="BE207" s="141"/>
      <c r="BF207" s="141"/>
      <c r="BG207" s="141"/>
      <c r="BH207" s="141"/>
      <c r="BI207" s="141"/>
      <c r="BJ207" s="141"/>
      <c r="BK207" s="141"/>
      <c r="BL207" s="141"/>
      <c r="BM207" s="141"/>
      <c r="BN207" s="141"/>
      <c r="BO207" s="141"/>
    </row>
    <row r="208" ht="13.5" customHeight="1">
      <c r="A208" s="138"/>
      <c r="B208" s="139"/>
      <c r="C208" s="138"/>
      <c r="D208" s="138"/>
      <c r="E208" s="140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s="141"/>
      <c r="AV208" s="141"/>
      <c r="AW208" s="141"/>
      <c r="AX208" s="141"/>
      <c r="AY208" s="141"/>
      <c r="AZ208" s="141"/>
      <c r="BA208" s="141"/>
      <c r="BB208" s="141"/>
      <c r="BC208" s="141"/>
      <c r="BD208" s="141"/>
      <c r="BE208" s="141"/>
      <c r="BF208" s="141"/>
      <c r="BG208" s="141"/>
      <c r="BH208" s="141"/>
      <c r="BI208" s="141"/>
      <c r="BJ208" s="141"/>
      <c r="BK208" s="141"/>
      <c r="BL208" s="141"/>
      <c r="BM208" s="141"/>
      <c r="BN208" s="141"/>
      <c r="BO208" s="141"/>
    </row>
    <row r="209" ht="13.5" customHeight="1">
      <c r="A209" s="138"/>
      <c r="B209" s="139"/>
      <c r="C209" s="138"/>
      <c r="D209" s="138"/>
      <c r="E209" s="140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41"/>
      <c r="AJ209" s="141"/>
      <c r="AK209" s="141"/>
      <c r="AL209" s="141"/>
      <c r="AM209" s="141"/>
      <c r="AN209" s="141"/>
      <c r="AO209" s="141"/>
      <c r="AP209" s="141"/>
      <c r="AQ209" s="141"/>
      <c r="AR209" s="141"/>
      <c r="AS209" s="141"/>
      <c r="AT209" s="141"/>
      <c r="AU209" s="141"/>
      <c r="AV209" s="141"/>
      <c r="AW209" s="141"/>
      <c r="AX209" s="141"/>
      <c r="AY209" s="141"/>
      <c r="AZ209" s="141"/>
      <c r="BA209" s="141"/>
      <c r="BB209" s="141"/>
      <c r="BC209" s="141"/>
      <c r="BD209" s="141"/>
      <c r="BE209" s="141"/>
      <c r="BF209" s="141"/>
      <c r="BG209" s="141"/>
      <c r="BH209" s="141"/>
      <c r="BI209" s="141"/>
      <c r="BJ209" s="141"/>
      <c r="BK209" s="141"/>
      <c r="BL209" s="141"/>
      <c r="BM209" s="141"/>
      <c r="BN209" s="141"/>
      <c r="BO209" s="141"/>
    </row>
    <row r="210" ht="13.5" customHeight="1">
      <c r="A210" s="138"/>
      <c r="B210" s="139"/>
      <c r="C210" s="138"/>
      <c r="D210" s="138"/>
      <c r="E210" s="140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41"/>
      <c r="AJ210" s="141"/>
      <c r="AK210" s="141"/>
      <c r="AL210" s="141"/>
      <c r="AM210" s="141"/>
      <c r="AN210" s="141"/>
      <c r="AO210" s="141"/>
      <c r="AP210" s="141"/>
      <c r="AQ210" s="141"/>
      <c r="AR210" s="141"/>
      <c r="AS210" s="141"/>
      <c r="AT210" s="141"/>
      <c r="AU210" s="141"/>
      <c r="AV210" s="141"/>
      <c r="AW210" s="141"/>
      <c r="AX210" s="141"/>
      <c r="AY210" s="141"/>
      <c r="AZ210" s="141"/>
      <c r="BA210" s="141"/>
      <c r="BB210" s="141"/>
      <c r="BC210" s="141"/>
      <c r="BD210" s="141"/>
      <c r="BE210" s="141"/>
      <c r="BF210" s="141"/>
      <c r="BG210" s="141"/>
      <c r="BH210" s="141"/>
      <c r="BI210" s="141"/>
      <c r="BJ210" s="141"/>
      <c r="BK210" s="141"/>
      <c r="BL210" s="141"/>
      <c r="BM210" s="141"/>
      <c r="BN210" s="141"/>
      <c r="BO210" s="141"/>
    </row>
    <row r="211" ht="13.5" customHeight="1">
      <c r="A211" s="138"/>
      <c r="B211" s="139"/>
      <c r="C211" s="138"/>
      <c r="D211" s="138"/>
      <c r="E211" s="140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41"/>
      <c r="AJ211" s="141"/>
      <c r="AK211" s="141"/>
      <c r="AL211" s="141"/>
      <c r="AM211" s="141"/>
      <c r="AN211" s="141"/>
      <c r="AO211" s="141"/>
      <c r="AP211" s="141"/>
      <c r="AQ211" s="141"/>
      <c r="AR211" s="141"/>
      <c r="AS211" s="141"/>
      <c r="AT211" s="141"/>
      <c r="AU211" s="141"/>
      <c r="AV211" s="141"/>
      <c r="AW211" s="141"/>
      <c r="AX211" s="141"/>
      <c r="AY211" s="141"/>
      <c r="AZ211" s="141"/>
      <c r="BA211" s="141"/>
      <c r="BB211" s="141"/>
      <c r="BC211" s="141"/>
      <c r="BD211" s="141"/>
      <c r="BE211" s="141"/>
      <c r="BF211" s="141"/>
      <c r="BG211" s="141"/>
      <c r="BH211" s="141"/>
      <c r="BI211" s="141"/>
      <c r="BJ211" s="141"/>
      <c r="BK211" s="141"/>
      <c r="BL211" s="141"/>
      <c r="BM211" s="141"/>
      <c r="BN211" s="141"/>
      <c r="BO211" s="141"/>
    </row>
    <row r="212" ht="13.5" customHeight="1">
      <c r="A212" s="138"/>
      <c r="B212" s="139"/>
      <c r="C212" s="138"/>
      <c r="D212" s="138"/>
      <c r="E212" s="140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41"/>
      <c r="AJ212" s="141"/>
      <c r="AK212" s="141"/>
      <c r="AL212" s="141"/>
      <c r="AM212" s="141"/>
      <c r="AN212" s="141"/>
      <c r="AO212" s="141"/>
      <c r="AP212" s="141"/>
      <c r="AQ212" s="141"/>
      <c r="AR212" s="141"/>
      <c r="AS212" s="141"/>
      <c r="AT212" s="141"/>
      <c r="AU212" s="141"/>
      <c r="AV212" s="141"/>
      <c r="AW212" s="141"/>
      <c r="AX212" s="141"/>
      <c r="AY212" s="141"/>
      <c r="AZ212" s="141"/>
      <c r="BA212" s="141"/>
      <c r="BB212" s="141"/>
      <c r="BC212" s="141"/>
      <c r="BD212" s="141"/>
      <c r="BE212" s="141"/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141"/>
    </row>
    <row r="213" ht="13.5" customHeight="1">
      <c r="A213" s="138"/>
      <c r="B213" s="139"/>
      <c r="C213" s="138"/>
      <c r="D213" s="138"/>
      <c r="E213" s="140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41"/>
      <c r="AJ213" s="141"/>
      <c r="AK213" s="141"/>
      <c r="AL213" s="141"/>
      <c r="AM213" s="141"/>
      <c r="AN213" s="141"/>
      <c r="AO213" s="141"/>
      <c r="AP213" s="141"/>
      <c r="AQ213" s="141"/>
      <c r="AR213" s="141"/>
      <c r="AS213" s="141"/>
      <c r="AT213" s="141"/>
      <c r="AU213" s="141"/>
      <c r="AV213" s="141"/>
      <c r="AW213" s="141"/>
      <c r="AX213" s="141"/>
      <c r="AY213" s="141"/>
      <c r="AZ213" s="141"/>
      <c r="BA213" s="141"/>
      <c r="BB213" s="141"/>
      <c r="BC213" s="141"/>
      <c r="BD213" s="141"/>
      <c r="BE213" s="141"/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</row>
    <row r="214" ht="13.5" customHeight="1">
      <c r="A214" s="138"/>
      <c r="B214" s="139"/>
      <c r="C214" s="138"/>
      <c r="D214" s="138"/>
      <c r="E214" s="140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41"/>
      <c r="AJ214" s="141"/>
      <c r="AK214" s="141"/>
      <c r="AL214" s="141"/>
      <c r="AM214" s="141"/>
      <c r="AN214" s="141"/>
      <c r="AO214" s="141"/>
      <c r="AP214" s="141"/>
      <c r="AQ214" s="141"/>
      <c r="AR214" s="141"/>
      <c r="AS214" s="141"/>
      <c r="AT214" s="141"/>
      <c r="AU214" s="141"/>
      <c r="AV214" s="141"/>
      <c r="AW214" s="141"/>
      <c r="AX214" s="141"/>
      <c r="AY214" s="141"/>
      <c r="AZ214" s="141"/>
      <c r="BA214" s="141"/>
      <c r="BB214" s="141"/>
      <c r="BC214" s="141"/>
      <c r="BD214" s="141"/>
      <c r="BE214" s="141"/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</row>
    <row r="215" ht="13.5" customHeight="1">
      <c r="A215" s="138"/>
      <c r="B215" s="139"/>
      <c r="C215" s="138"/>
      <c r="D215" s="138"/>
      <c r="E215" s="140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41"/>
      <c r="AJ215" s="141"/>
      <c r="AK215" s="141"/>
      <c r="AL215" s="141"/>
      <c r="AM215" s="141"/>
      <c r="AN215" s="141"/>
      <c r="AO215" s="141"/>
      <c r="AP215" s="141"/>
      <c r="AQ215" s="141"/>
      <c r="AR215" s="141"/>
      <c r="AS215" s="141"/>
      <c r="AT215" s="141"/>
      <c r="AU215" s="141"/>
      <c r="AV215" s="141"/>
      <c r="AW215" s="141"/>
      <c r="AX215" s="141"/>
      <c r="AY215" s="141"/>
      <c r="AZ215" s="141"/>
      <c r="BA215" s="141"/>
      <c r="BB215" s="141"/>
      <c r="BC215" s="141"/>
      <c r="BD215" s="141"/>
      <c r="BE215" s="141"/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</row>
    <row r="216" ht="13.5" customHeight="1">
      <c r="A216" s="138"/>
      <c r="B216" s="139"/>
      <c r="C216" s="138"/>
      <c r="D216" s="138"/>
      <c r="E216" s="140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41"/>
      <c r="AJ216" s="141"/>
      <c r="AK216" s="141"/>
      <c r="AL216" s="141"/>
      <c r="AM216" s="141"/>
      <c r="AN216" s="141"/>
      <c r="AO216" s="141"/>
      <c r="AP216" s="141"/>
      <c r="AQ216" s="141"/>
      <c r="AR216" s="141"/>
      <c r="AS216" s="141"/>
      <c r="AT216" s="141"/>
      <c r="AU216" s="141"/>
      <c r="AV216" s="141"/>
      <c r="AW216" s="141"/>
      <c r="AX216" s="141"/>
      <c r="AY216" s="141"/>
      <c r="AZ216" s="141"/>
      <c r="BA216" s="141"/>
      <c r="BB216" s="141"/>
      <c r="BC216" s="141"/>
      <c r="BD216" s="141"/>
      <c r="BE216" s="141"/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</row>
    <row r="217" ht="13.5" customHeight="1">
      <c r="A217" s="138"/>
      <c r="B217" s="139"/>
      <c r="C217" s="138"/>
      <c r="D217" s="138"/>
      <c r="E217" s="140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41"/>
      <c r="AJ217" s="141"/>
      <c r="AK217" s="141"/>
      <c r="AL217" s="141"/>
      <c r="AM217" s="141"/>
      <c r="AN217" s="141"/>
      <c r="AO217" s="141"/>
      <c r="AP217" s="141"/>
      <c r="AQ217" s="141"/>
      <c r="AR217" s="141"/>
      <c r="AS217" s="141"/>
      <c r="AT217" s="141"/>
      <c r="AU217" s="141"/>
      <c r="AV217" s="141"/>
      <c r="AW217" s="141"/>
      <c r="AX217" s="141"/>
      <c r="AY217" s="141"/>
      <c r="AZ217" s="141"/>
      <c r="BA217" s="141"/>
      <c r="BB217" s="141"/>
      <c r="BC217" s="141"/>
      <c r="BD217" s="141"/>
      <c r="BE217" s="141"/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</row>
    <row r="218" ht="13.5" customHeight="1">
      <c r="A218" s="138"/>
      <c r="B218" s="139"/>
      <c r="C218" s="138"/>
      <c r="D218" s="138"/>
      <c r="E218" s="140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41"/>
      <c r="AJ218" s="141"/>
      <c r="AK218" s="141"/>
      <c r="AL218" s="141"/>
      <c r="AM218" s="141"/>
      <c r="AN218" s="141"/>
      <c r="AO218" s="141"/>
      <c r="AP218" s="141"/>
      <c r="AQ218" s="141"/>
      <c r="AR218" s="141"/>
      <c r="AS218" s="141"/>
      <c r="AT218" s="141"/>
      <c r="AU218" s="141"/>
      <c r="AV218" s="141"/>
      <c r="AW218" s="141"/>
      <c r="AX218" s="141"/>
      <c r="AY218" s="141"/>
      <c r="AZ218" s="141"/>
      <c r="BA218" s="141"/>
      <c r="BB218" s="141"/>
      <c r="BC218" s="141"/>
      <c r="BD218" s="141"/>
      <c r="BE218" s="141"/>
      <c r="BF218" s="141"/>
      <c r="BG218" s="141"/>
      <c r="BH218" s="141"/>
      <c r="BI218" s="141"/>
      <c r="BJ218" s="141"/>
      <c r="BK218" s="141"/>
      <c r="BL218" s="141"/>
      <c r="BM218" s="141"/>
      <c r="BN218" s="141"/>
      <c r="BO218" s="141"/>
    </row>
    <row r="219" ht="13.5" customHeight="1">
      <c r="A219" s="138"/>
      <c r="B219" s="139"/>
      <c r="C219" s="138"/>
      <c r="D219" s="138"/>
      <c r="E219" s="140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41"/>
      <c r="AJ219" s="141"/>
      <c r="AK219" s="141"/>
      <c r="AL219" s="141"/>
      <c r="AM219" s="141"/>
      <c r="AN219" s="141"/>
      <c r="AO219" s="141"/>
      <c r="AP219" s="141"/>
      <c r="AQ219" s="141"/>
      <c r="AR219" s="141"/>
      <c r="AS219" s="141"/>
      <c r="AT219" s="141"/>
      <c r="AU219" s="141"/>
      <c r="AV219" s="141"/>
      <c r="AW219" s="141"/>
      <c r="AX219" s="141"/>
      <c r="AY219" s="141"/>
      <c r="AZ219" s="141"/>
      <c r="BA219" s="141"/>
      <c r="BB219" s="141"/>
      <c r="BC219" s="141"/>
      <c r="BD219" s="141"/>
      <c r="BE219" s="141"/>
      <c r="BF219" s="141"/>
      <c r="BG219" s="141"/>
      <c r="BH219" s="141"/>
      <c r="BI219" s="141"/>
      <c r="BJ219" s="141"/>
      <c r="BK219" s="141"/>
      <c r="BL219" s="141"/>
      <c r="BM219" s="141"/>
      <c r="BN219" s="141"/>
      <c r="BO219" s="141"/>
    </row>
    <row r="220" ht="13.5" customHeight="1">
      <c r="A220" s="138"/>
      <c r="B220" s="139"/>
      <c r="C220" s="138"/>
      <c r="D220" s="138"/>
      <c r="E220" s="140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41"/>
      <c r="AJ220" s="141"/>
      <c r="AK220" s="141"/>
      <c r="AL220" s="141"/>
      <c r="AM220" s="141"/>
      <c r="AN220" s="141"/>
      <c r="AO220" s="141"/>
      <c r="AP220" s="141"/>
      <c r="AQ220" s="141"/>
      <c r="AR220" s="141"/>
      <c r="AS220" s="141"/>
      <c r="AT220" s="141"/>
      <c r="AU220" s="141"/>
      <c r="AV220" s="141"/>
      <c r="AW220" s="141"/>
      <c r="AX220" s="141"/>
      <c r="AY220" s="141"/>
      <c r="AZ220" s="141"/>
      <c r="BA220" s="141"/>
      <c r="BB220" s="141"/>
      <c r="BC220" s="141"/>
      <c r="BD220" s="141"/>
      <c r="BE220" s="141"/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</row>
    <row r="221" ht="13.5" customHeight="1">
      <c r="A221" s="138"/>
      <c r="B221" s="139"/>
      <c r="C221" s="138"/>
      <c r="D221" s="138"/>
      <c r="E221" s="140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41"/>
      <c r="AJ221" s="141"/>
      <c r="AK221" s="141"/>
      <c r="AL221" s="141"/>
      <c r="AM221" s="141"/>
      <c r="AN221" s="141"/>
      <c r="AO221" s="141"/>
      <c r="AP221" s="141"/>
      <c r="AQ221" s="141"/>
      <c r="AR221" s="141"/>
      <c r="AS221" s="141"/>
      <c r="AT221" s="141"/>
      <c r="AU221" s="141"/>
      <c r="AV221" s="141"/>
      <c r="AW221" s="141"/>
      <c r="AX221" s="141"/>
      <c r="AY221" s="141"/>
      <c r="AZ221" s="141"/>
      <c r="BA221" s="141"/>
      <c r="BB221" s="141"/>
      <c r="BC221" s="141"/>
      <c r="BD221" s="141"/>
      <c r="BE221" s="141"/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</row>
    <row r="222" ht="13.5" customHeight="1">
      <c r="A222" s="138"/>
      <c r="B222" s="139"/>
      <c r="C222" s="138"/>
      <c r="D222" s="138"/>
      <c r="E222" s="140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41"/>
      <c r="AJ222" s="141"/>
      <c r="AK222" s="141"/>
      <c r="AL222" s="141"/>
      <c r="AM222" s="141"/>
      <c r="AN222" s="141"/>
      <c r="AO222" s="141"/>
      <c r="AP222" s="141"/>
      <c r="AQ222" s="141"/>
      <c r="AR222" s="141"/>
      <c r="AS222" s="141"/>
      <c r="AT222" s="141"/>
      <c r="AU222" s="141"/>
      <c r="AV222" s="141"/>
      <c r="AW222" s="141"/>
      <c r="AX222" s="141"/>
      <c r="AY222" s="141"/>
      <c r="AZ222" s="141"/>
      <c r="BA222" s="141"/>
      <c r="BB222" s="141"/>
      <c r="BC222" s="141"/>
      <c r="BD222" s="141"/>
      <c r="BE222" s="141"/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</row>
    <row r="223" ht="13.5" customHeight="1">
      <c r="A223" s="138"/>
      <c r="B223" s="139"/>
      <c r="C223" s="138"/>
      <c r="D223" s="138"/>
      <c r="E223" s="140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1"/>
      <c r="AS223" s="141"/>
      <c r="AT223" s="141"/>
      <c r="AU223" s="141"/>
      <c r="AV223" s="141"/>
      <c r="AW223" s="141"/>
      <c r="AX223" s="141"/>
      <c r="AY223" s="141"/>
      <c r="AZ223" s="141"/>
      <c r="BA223" s="141"/>
      <c r="BB223" s="141"/>
      <c r="BC223" s="141"/>
      <c r="BD223" s="141"/>
      <c r="BE223" s="141"/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</row>
    <row r="224" ht="13.5" customHeight="1">
      <c r="A224" s="138"/>
      <c r="B224" s="139"/>
      <c r="C224" s="138"/>
      <c r="D224" s="138"/>
      <c r="E224" s="140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41"/>
      <c r="AJ224" s="141"/>
      <c r="AK224" s="141"/>
      <c r="AL224" s="141"/>
      <c r="AM224" s="141"/>
      <c r="AN224" s="141"/>
      <c r="AO224" s="141"/>
      <c r="AP224" s="141"/>
      <c r="AQ224" s="141"/>
      <c r="AR224" s="141"/>
      <c r="AS224" s="141"/>
      <c r="AT224" s="141"/>
      <c r="AU224" s="141"/>
      <c r="AV224" s="141"/>
      <c r="AW224" s="141"/>
      <c r="AX224" s="141"/>
      <c r="AY224" s="141"/>
      <c r="AZ224" s="141"/>
      <c r="BA224" s="141"/>
      <c r="BB224" s="141"/>
      <c r="BC224" s="141"/>
      <c r="BD224" s="141"/>
      <c r="BE224" s="141"/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</row>
    <row r="225" ht="13.5" customHeight="1">
      <c r="A225" s="138"/>
      <c r="B225" s="139"/>
      <c r="C225" s="138"/>
      <c r="D225" s="138"/>
      <c r="E225" s="140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41"/>
      <c r="AJ225" s="141"/>
      <c r="AK225" s="141"/>
      <c r="AL225" s="141"/>
      <c r="AM225" s="141"/>
      <c r="AN225" s="141"/>
      <c r="AO225" s="141"/>
      <c r="AP225" s="141"/>
      <c r="AQ225" s="141"/>
      <c r="AR225" s="141"/>
      <c r="AS225" s="141"/>
      <c r="AT225" s="141"/>
      <c r="AU225" s="141"/>
      <c r="AV225" s="141"/>
      <c r="AW225" s="141"/>
      <c r="AX225" s="141"/>
      <c r="AY225" s="141"/>
      <c r="AZ225" s="141"/>
      <c r="BA225" s="141"/>
      <c r="BB225" s="141"/>
      <c r="BC225" s="141"/>
      <c r="BD225" s="141"/>
      <c r="BE225" s="141"/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</row>
    <row r="226" ht="13.5" customHeight="1">
      <c r="A226" s="138"/>
      <c r="B226" s="139"/>
      <c r="C226" s="138"/>
      <c r="D226" s="138"/>
      <c r="E226" s="140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141"/>
      <c r="AO226" s="141"/>
      <c r="AP226" s="141"/>
      <c r="AQ226" s="141"/>
      <c r="AR226" s="141"/>
      <c r="AS226" s="141"/>
      <c r="AT226" s="141"/>
      <c r="AU226" s="141"/>
      <c r="AV226" s="141"/>
      <c r="AW226" s="141"/>
      <c r="AX226" s="141"/>
      <c r="AY226" s="141"/>
      <c r="AZ226" s="141"/>
      <c r="BA226" s="141"/>
      <c r="BB226" s="141"/>
      <c r="BC226" s="141"/>
      <c r="BD226" s="141"/>
      <c r="BE226" s="141"/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</row>
    <row r="227" ht="13.5" customHeight="1">
      <c r="A227" s="138"/>
      <c r="B227" s="139"/>
      <c r="C227" s="138"/>
      <c r="D227" s="138"/>
      <c r="E227" s="140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141"/>
      <c r="AO227" s="141"/>
      <c r="AP227" s="141"/>
      <c r="AQ227" s="141"/>
      <c r="AR227" s="141"/>
      <c r="AS227" s="141"/>
      <c r="AT227" s="141"/>
      <c r="AU227" s="141"/>
      <c r="AV227" s="141"/>
      <c r="AW227" s="141"/>
      <c r="AX227" s="141"/>
      <c r="AY227" s="141"/>
      <c r="AZ227" s="141"/>
      <c r="BA227" s="141"/>
      <c r="BB227" s="141"/>
      <c r="BC227" s="141"/>
      <c r="BD227" s="141"/>
      <c r="BE227" s="141"/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</row>
    <row r="228" ht="13.5" customHeight="1">
      <c r="A228" s="138"/>
      <c r="B228" s="139"/>
      <c r="C228" s="138"/>
      <c r="D228" s="138"/>
      <c r="E228" s="140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  <c r="AG228" s="141"/>
      <c r="AH228" s="141"/>
      <c r="AI228" s="141"/>
      <c r="AJ228" s="141"/>
      <c r="AK228" s="141"/>
      <c r="AL228" s="141"/>
      <c r="AM228" s="141"/>
      <c r="AN228" s="141"/>
      <c r="AO228" s="141"/>
      <c r="AP228" s="141"/>
      <c r="AQ228" s="141"/>
      <c r="AR228" s="141"/>
      <c r="AS228" s="141"/>
      <c r="AT228" s="141"/>
      <c r="AU228" s="141"/>
      <c r="AV228" s="141"/>
      <c r="AW228" s="141"/>
      <c r="AX228" s="141"/>
      <c r="AY228" s="141"/>
      <c r="AZ228" s="141"/>
      <c r="BA228" s="141"/>
      <c r="BB228" s="141"/>
      <c r="BC228" s="141"/>
      <c r="BD228" s="141"/>
      <c r="BE228" s="141"/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</row>
    <row r="229" ht="13.5" customHeight="1">
      <c r="A229" s="138"/>
      <c r="B229" s="139"/>
      <c r="C229" s="138"/>
      <c r="D229" s="138"/>
      <c r="E229" s="140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41"/>
      <c r="AJ229" s="141"/>
      <c r="AK229" s="141"/>
      <c r="AL229" s="141"/>
      <c r="AM229" s="141"/>
      <c r="AN229" s="141"/>
      <c r="AO229" s="141"/>
      <c r="AP229" s="141"/>
      <c r="AQ229" s="141"/>
      <c r="AR229" s="141"/>
      <c r="AS229" s="141"/>
      <c r="AT229" s="141"/>
      <c r="AU229" s="141"/>
      <c r="AV229" s="141"/>
      <c r="AW229" s="141"/>
      <c r="AX229" s="141"/>
      <c r="AY229" s="141"/>
      <c r="AZ229" s="141"/>
      <c r="BA229" s="141"/>
      <c r="BB229" s="141"/>
      <c r="BC229" s="141"/>
      <c r="BD229" s="141"/>
      <c r="BE229" s="141"/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</row>
    <row r="230" ht="13.5" customHeight="1">
      <c r="A230" s="138"/>
      <c r="B230" s="139"/>
      <c r="C230" s="138"/>
      <c r="D230" s="138"/>
      <c r="E230" s="140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  <c r="AV230" s="141"/>
      <c r="AW230" s="141"/>
      <c r="AX230" s="141"/>
      <c r="AY230" s="141"/>
      <c r="AZ230" s="141"/>
      <c r="BA230" s="141"/>
      <c r="BB230" s="141"/>
      <c r="BC230" s="141"/>
      <c r="BD230" s="141"/>
      <c r="BE230" s="141"/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</row>
    <row r="231" ht="13.5" customHeight="1">
      <c r="A231" s="138"/>
      <c r="B231" s="139"/>
      <c r="C231" s="138"/>
      <c r="D231" s="138"/>
      <c r="E231" s="140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  <c r="AE231" s="141"/>
      <c r="AF231" s="141"/>
      <c r="AG231" s="141"/>
      <c r="AH231" s="141"/>
      <c r="AI231" s="141"/>
      <c r="AJ231" s="141"/>
      <c r="AK231" s="141"/>
      <c r="AL231" s="141"/>
      <c r="AM231" s="141"/>
      <c r="AN231" s="141"/>
      <c r="AO231" s="141"/>
      <c r="AP231" s="141"/>
      <c r="AQ231" s="141"/>
      <c r="AR231" s="141"/>
      <c r="AS231" s="141"/>
      <c r="AT231" s="141"/>
      <c r="AU231" s="141"/>
      <c r="AV231" s="141"/>
      <c r="AW231" s="141"/>
      <c r="AX231" s="141"/>
      <c r="AY231" s="141"/>
      <c r="AZ231" s="141"/>
      <c r="BA231" s="141"/>
      <c r="BB231" s="141"/>
      <c r="BC231" s="141"/>
      <c r="BD231" s="141"/>
      <c r="BE231" s="141"/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</row>
    <row r="232" ht="13.5" customHeight="1">
      <c r="A232" s="138"/>
      <c r="B232" s="139"/>
      <c r="C232" s="138"/>
      <c r="D232" s="138"/>
      <c r="E232" s="140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41"/>
      <c r="AJ232" s="141"/>
      <c r="AK232" s="141"/>
      <c r="AL232" s="141"/>
      <c r="AM232" s="141"/>
      <c r="AN232" s="141"/>
      <c r="AO232" s="141"/>
      <c r="AP232" s="141"/>
      <c r="AQ232" s="141"/>
      <c r="AR232" s="141"/>
      <c r="AS232" s="141"/>
      <c r="AT232" s="141"/>
      <c r="AU232" s="141"/>
      <c r="AV232" s="141"/>
      <c r="AW232" s="141"/>
      <c r="AX232" s="141"/>
      <c r="AY232" s="141"/>
      <c r="AZ232" s="141"/>
      <c r="BA232" s="141"/>
      <c r="BB232" s="141"/>
      <c r="BC232" s="141"/>
      <c r="BD232" s="141"/>
      <c r="BE232" s="141"/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</row>
    <row r="233" ht="13.5" customHeight="1">
      <c r="A233" s="138"/>
      <c r="B233" s="139"/>
      <c r="C233" s="138"/>
      <c r="D233" s="138"/>
      <c r="E233" s="140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  <c r="AL233" s="141"/>
      <c r="AM233" s="141"/>
      <c r="AN233" s="141"/>
      <c r="AO233" s="141"/>
      <c r="AP233" s="141"/>
      <c r="AQ233" s="141"/>
      <c r="AR233" s="141"/>
      <c r="AS233" s="141"/>
      <c r="AT233" s="141"/>
      <c r="AU233" s="141"/>
      <c r="AV233" s="141"/>
      <c r="AW233" s="141"/>
      <c r="AX233" s="141"/>
      <c r="AY233" s="141"/>
      <c r="AZ233" s="141"/>
      <c r="BA233" s="141"/>
      <c r="BB233" s="141"/>
      <c r="BC233" s="141"/>
      <c r="BD233" s="141"/>
      <c r="BE233" s="141"/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</row>
    <row r="234" ht="13.5" customHeight="1">
      <c r="A234" s="138"/>
      <c r="B234" s="139"/>
      <c r="C234" s="138"/>
      <c r="D234" s="138"/>
      <c r="E234" s="140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141"/>
      <c r="AO234" s="141"/>
      <c r="AP234" s="141"/>
      <c r="AQ234" s="141"/>
      <c r="AR234" s="141"/>
      <c r="AS234" s="141"/>
      <c r="AT234" s="141"/>
      <c r="AU234" s="141"/>
      <c r="AV234" s="141"/>
      <c r="AW234" s="141"/>
      <c r="AX234" s="141"/>
      <c r="AY234" s="141"/>
      <c r="AZ234" s="141"/>
      <c r="BA234" s="141"/>
      <c r="BB234" s="141"/>
      <c r="BC234" s="141"/>
      <c r="BD234" s="141"/>
      <c r="BE234" s="141"/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</row>
    <row r="235" ht="13.5" customHeight="1">
      <c r="A235" s="138"/>
      <c r="B235" s="139"/>
      <c r="C235" s="138"/>
      <c r="D235" s="138"/>
      <c r="E235" s="140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1"/>
      <c r="AS235" s="141"/>
      <c r="AT235" s="141"/>
      <c r="AU235" s="141"/>
      <c r="AV235" s="141"/>
      <c r="AW235" s="141"/>
      <c r="AX235" s="141"/>
      <c r="AY235" s="141"/>
      <c r="AZ235" s="141"/>
      <c r="BA235" s="141"/>
      <c r="BB235" s="141"/>
      <c r="BC235" s="141"/>
      <c r="BD235" s="141"/>
      <c r="BE235" s="141"/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</row>
    <row r="236" ht="13.5" customHeight="1">
      <c r="A236" s="138"/>
      <c r="B236" s="139"/>
      <c r="C236" s="138"/>
      <c r="D236" s="138"/>
      <c r="E236" s="140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41"/>
      <c r="AJ236" s="141"/>
      <c r="AK236" s="141"/>
      <c r="AL236" s="141"/>
      <c r="AM236" s="141"/>
      <c r="AN236" s="141"/>
      <c r="AO236" s="141"/>
      <c r="AP236" s="141"/>
      <c r="AQ236" s="141"/>
      <c r="AR236" s="141"/>
      <c r="AS236" s="141"/>
      <c r="AT236" s="141"/>
      <c r="AU236" s="141"/>
      <c r="AV236" s="141"/>
      <c r="AW236" s="141"/>
      <c r="AX236" s="141"/>
      <c r="AY236" s="141"/>
      <c r="AZ236" s="141"/>
      <c r="BA236" s="141"/>
      <c r="BB236" s="141"/>
      <c r="BC236" s="141"/>
      <c r="BD236" s="141"/>
      <c r="BE236" s="141"/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</row>
    <row r="237" ht="13.5" customHeight="1">
      <c r="A237" s="138"/>
      <c r="B237" s="139"/>
      <c r="C237" s="138"/>
      <c r="D237" s="138"/>
      <c r="E237" s="140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1"/>
      <c r="AS237" s="141"/>
      <c r="AT237" s="141"/>
      <c r="AU237" s="141"/>
      <c r="AV237" s="141"/>
      <c r="AW237" s="141"/>
      <c r="AX237" s="141"/>
      <c r="AY237" s="141"/>
      <c r="AZ237" s="141"/>
      <c r="BA237" s="141"/>
      <c r="BB237" s="141"/>
      <c r="BC237" s="141"/>
      <c r="BD237" s="141"/>
      <c r="BE237" s="141"/>
      <c r="BF237" s="141"/>
      <c r="BG237" s="141"/>
      <c r="BH237" s="141"/>
      <c r="BI237" s="141"/>
      <c r="BJ237" s="141"/>
      <c r="BK237" s="141"/>
      <c r="BL237" s="141"/>
      <c r="BM237" s="141"/>
      <c r="BN237" s="141"/>
      <c r="BO237" s="141"/>
    </row>
    <row r="238" ht="13.5" customHeight="1">
      <c r="A238" s="138"/>
      <c r="B238" s="139"/>
      <c r="C238" s="138"/>
      <c r="D238" s="138"/>
      <c r="E238" s="140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  <c r="AL238" s="141"/>
      <c r="AM238" s="141"/>
      <c r="AN238" s="141"/>
      <c r="AO238" s="141"/>
      <c r="AP238" s="141"/>
      <c r="AQ238" s="141"/>
      <c r="AR238" s="141"/>
      <c r="AS238" s="141"/>
      <c r="AT238" s="141"/>
      <c r="AU238" s="141"/>
      <c r="AV238" s="141"/>
      <c r="AW238" s="141"/>
      <c r="AX238" s="141"/>
      <c r="AY238" s="141"/>
      <c r="AZ238" s="141"/>
      <c r="BA238" s="141"/>
      <c r="BB238" s="141"/>
      <c r="BC238" s="141"/>
      <c r="BD238" s="141"/>
      <c r="BE238" s="141"/>
      <c r="BF238" s="141"/>
      <c r="BG238" s="141"/>
      <c r="BH238" s="141"/>
      <c r="BI238" s="141"/>
      <c r="BJ238" s="141"/>
      <c r="BK238" s="141"/>
      <c r="BL238" s="141"/>
      <c r="BM238" s="141"/>
      <c r="BN238" s="141"/>
      <c r="BO238" s="141"/>
    </row>
    <row r="239" ht="13.5" customHeight="1">
      <c r="A239" s="138"/>
      <c r="B239" s="139"/>
      <c r="C239" s="138"/>
      <c r="D239" s="138"/>
      <c r="E239" s="140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/>
      <c r="AU239" s="141"/>
      <c r="AV239" s="141"/>
      <c r="AW239" s="141"/>
      <c r="AX239" s="141"/>
      <c r="AY239" s="141"/>
      <c r="AZ239" s="141"/>
      <c r="BA239" s="141"/>
      <c r="BB239" s="141"/>
      <c r="BC239" s="141"/>
      <c r="BD239" s="141"/>
      <c r="BE239" s="141"/>
      <c r="BF239" s="141"/>
      <c r="BG239" s="141"/>
      <c r="BH239" s="141"/>
      <c r="BI239" s="141"/>
      <c r="BJ239" s="141"/>
      <c r="BK239" s="141"/>
      <c r="BL239" s="141"/>
      <c r="BM239" s="141"/>
      <c r="BN239" s="141"/>
      <c r="BO239" s="141"/>
    </row>
    <row r="240" ht="13.5" customHeight="1">
      <c r="A240" s="138"/>
      <c r="B240" s="139"/>
      <c r="C240" s="138"/>
      <c r="D240" s="138"/>
      <c r="E240" s="140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41"/>
      <c r="AJ240" s="141"/>
      <c r="AK240" s="141"/>
      <c r="AL240" s="141"/>
      <c r="AM240" s="141"/>
      <c r="AN240" s="141"/>
      <c r="AO240" s="141"/>
      <c r="AP240" s="141"/>
      <c r="AQ240" s="141"/>
      <c r="AR240" s="141"/>
      <c r="AS240" s="141"/>
      <c r="AT240" s="141"/>
      <c r="AU240" s="141"/>
      <c r="AV240" s="141"/>
      <c r="AW240" s="141"/>
      <c r="AX240" s="141"/>
      <c r="AY240" s="141"/>
      <c r="AZ240" s="141"/>
      <c r="BA240" s="141"/>
      <c r="BB240" s="141"/>
      <c r="BC240" s="141"/>
      <c r="BD240" s="141"/>
      <c r="BE240" s="141"/>
      <c r="BF240" s="141"/>
      <c r="BG240" s="141"/>
      <c r="BH240" s="141"/>
      <c r="BI240" s="141"/>
      <c r="BJ240" s="141"/>
      <c r="BK240" s="141"/>
      <c r="BL240" s="141"/>
      <c r="BM240" s="141"/>
      <c r="BN240" s="141"/>
      <c r="BO240" s="141"/>
    </row>
    <row r="241" ht="13.5" customHeight="1">
      <c r="A241" s="138"/>
      <c r="B241" s="139"/>
      <c r="C241" s="138"/>
      <c r="D241" s="138"/>
      <c r="E241" s="140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1"/>
      <c r="AS241" s="141"/>
      <c r="AT241" s="141"/>
      <c r="AU241" s="141"/>
      <c r="AV241" s="141"/>
      <c r="AW241" s="141"/>
      <c r="AX241" s="141"/>
      <c r="AY241" s="141"/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  <c r="BM241" s="141"/>
      <c r="BN241" s="141"/>
      <c r="BO241" s="141"/>
    </row>
    <row r="242" ht="13.5" customHeight="1">
      <c r="A242" s="138"/>
      <c r="B242" s="139"/>
      <c r="C242" s="138"/>
      <c r="D242" s="138"/>
      <c r="E242" s="140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41"/>
      <c r="AJ242" s="141"/>
      <c r="AK242" s="141"/>
      <c r="AL242" s="141"/>
      <c r="AM242" s="141"/>
      <c r="AN242" s="141"/>
      <c r="AO242" s="141"/>
      <c r="AP242" s="141"/>
      <c r="AQ242" s="141"/>
      <c r="AR242" s="141"/>
      <c r="AS242" s="141"/>
      <c r="AT242" s="141"/>
      <c r="AU242" s="141"/>
      <c r="AV242" s="141"/>
      <c r="AW242" s="141"/>
      <c r="AX242" s="141"/>
      <c r="AY242" s="141"/>
      <c r="AZ242" s="141"/>
      <c r="BA242" s="141"/>
      <c r="BB242" s="141"/>
      <c r="BC242" s="141"/>
      <c r="BD242" s="141"/>
      <c r="BE242" s="141"/>
      <c r="BF242" s="141"/>
      <c r="BG242" s="141"/>
      <c r="BH242" s="141"/>
      <c r="BI242" s="141"/>
      <c r="BJ242" s="141"/>
      <c r="BK242" s="141"/>
      <c r="BL242" s="141"/>
      <c r="BM242" s="141"/>
      <c r="BN242" s="141"/>
      <c r="BO242" s="141"/>
    </row>
    <row r="243" ht="13.5" customHeight="1">
      <c r="A243" s="138"/>
      <c r="B243" s="139"/>
      <c r="C243" s="138"/>
      <c r="D243" s="138"/>
      <c r="E243" s="140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  <c r="AL243" s="141"/>
      <c r="AM243" s="141"/>
      <c r="AN243" s="141"/>
      <c r="AO243" s="141"/>
      <c r="AP243" s="141"/>
      <c r="AQ243" s="141"/>
      <c r="AR243" s="141"/>
      <c r="AS243" s="141"/>
      <c r="AT243" s="141"/>
      <c r="AU243" s="141"/>
      <c r="AV243" s="141"/>
      <c r="AW243" s="141"/>
      <c r="AX243" s="141"/>
      <c r="AY243" s="141"/>
      <c r="AZ243" s="141"/>
      <c r="BA243" s="141"/>
      <c r="BB243" s="141"/>
      <c r="BC243" s="141"/>
      <c r="BD243" s="141"/>
      <c r="BE243" s="141"/>
      <c r="BF243" s="141"/>
      <c r="BG243" s="141"/>
      <c r="BH243" s="141"/>
      <c r="BI243" s="141"/>
      <c r="BJ243" s="141"/>
      <c r="BK243" s="141"/>
      <c r="BL243" s="141"/>
      <c r="BM243" s="141"/>
      <c r="BN243" s="141"/>
      <c r="BO243" s="141"/>
    </row>
    <row r="244" ht="13.5" customHeight="1">
      <c r="A244" s="138"/>
      <c r="B244" s="139"/>
      <c r="C244" s="138"/>
      <c r="D244" s="138"/>
      <c r="E244" s="140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  <c r="AJ244" s="141"/>
      <c r="AK244" s="141"/>
      <c r="AL244" s="141"/>
      <c r="AM244" s="141"/>
      <c r="AN244" s="141"/>
      <c r="AO244" s="141"/>
      <c r="AP244" s="141"/>
      <c r="AQ244" s="141"/>
      <c r="AR244" s="141"/>
      <c r="AS244" s="141"/>
      <c r="AT244" s="141"/>
      <c r="AU244" s="141"/>
      <c r="AV244" s="141"/>
      <c r="AW244" s="141"/>
      <c r="AX244" s="141"/>
      <c r="AY244" s="141"/>
      <c r="AZ244" s="141"/>
      <c r="BA244" s="141"/>
      <c r="BB244" s="141"/>
      <c r="BC244" s="141"/>
      <c r="BD244" s="141"/>
      <c r="BE244" s="141"/>
      <c r="BF244" s="141"/>
      <c r="BG244" s="141"/>
      <c r="BH244" s="141"/>
      <c r="BI244" s="141"/>
      <c r="BJ244" s="141"/>
      <c r="BK244" s="141"/>
      <c r="BL244" s="141"/>
      <c r="BM244" s="141"/>
      <c r="BN244" s="141"/>
      <c r="BO244" s="141"/>
    </row>
    <row r="245" ht="13.5" customHeight="1">
      <c r="A245" s="138"/>
      <c r="B245" s="139"/>
      <c r="C245" s="138"/>
      <c r="D245" s="138"/>
      <c r="E245" s="140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  <c r="AL245" s="141"/>
      <c r="AM245" s="141"/>
      <c r="AN245" s="141"/>
      <c r="AO245" s="141"/>
      <c r="AP245" s="141"/>
      <c r="AQ245" s="141"/>
      <c r="AR245" s="141"/>
      <c r="AS245" s="141"/>
      <c r="AT245" s="141"/>
      <c r="AU245" s="141"/>
      <c r="AV245" s="141"/>
      <c r="AW245" s="141"/>
      <c r="AX245" s="141"/>
      <c r="AY245" s="141"/>
      <c r="AZ245" s="141"/>
      <c r="BA245" s="141"/>
      <c r="BB245" s="141"/>
      <c r="BC245" s="141"/>
      <c r="BD245" s="141"/>
      <c r="BE245" s="141"/>
      <c r="BF245" s="141"/>
      <c r="BG245" s="141"/>
      <c r="BH245" s="141"/>
      <c r="BI245" s="141"/>
      <c r="BJ245" s="141"/>
      <c r="BK245" s="141"/>
      <c r="BL245" s="141"/>
      <c r="BM245" s="141"/>
      <c r="BN245" s="141"/>
      <c r="BO245" s="141"/>
    </row>
    <row r="246" ht="13.5" customHeight="1">
      <c r="A246" s="138"/>
      <c r="B246" s="139"/>
      <c r="C246" s="138"/>
      <c r="D246" s="138"/>
      <c r="E246" s="140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  <c r="AJ246" s="141"/>
      <c r="AK246" s="141"/>
      <c r="AL246" s="141"/>
      <c r="AM246" s="141"/>
      <c r="AN246" s="141"/>
      <c r="AO246" s="141"/>
      <c r="AP246" s="141"/>
      <c r="AQ246" s="141"/>
      <c r="AR246" s="141"/>
      <c r="AS246" s="141"/>
      <c r="AT246" s="141"/>
      <c r="AU246" s="141"/>
      <c r="AV246" s="141"/>
      <c r="AW246" s="141"/>
      <c r="AX246" s="141"/>
      <c r="AY246" s="141"/>
      <c r="AZ246" s="141"/>
      <c r="BA246" s="141"/>
      <c r="BB246" s="141"/>
      <c r="BC246" s="141"/>
      <c r="BD246" s="141"/>
      <c r="BE246" s="141"/>
      <c r="BF246" s="141"/>
      <c r="BG246" s="141"/>
      <c r="BH246" s="141"/>
      <c r="BI246" s="141"/>
      <c r="BJ246" s="141"/>
      <c r="BK246" s="141"/>
      <c r="BL246" s="141"/>
      <c r="BM246" s="141"/>
      <c r="BN246" s="141"/>
      <c r="BO246" s="141"/>
    </row>
    <row r="247" ht="13.5" customHeight="1">
      <c r="A247" s="138"/>
      <c r="B247" s="139"/>
      <c r="C247" s="138"/>
      <c r="D247" s="138"/>
      <c r="E247" s="140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  <c r="AL247" s="141"/>
      <c r="AM247" s="141"/>
      <c r="AN247" s="141"/>
      <c r="AO247" s="141"/>
      <c r="AP247" s="141"/>
      <c r="AQ247" s="141"/>
      <c r="AR247" s="141"/>
      <c r="AS247" s="141"/>
      <c r="AT247" s="141"/>
      <c r="AU247" s="141"/>
      <c r="AV247" s="141"/>
      <c r="AW247" s="141"/>
      <c r="AX247" s="141"/>
      <c r="AY247" s="141"/>
      <c r="AZ247" s="141"/>
      <c r="BA247" s="141"/>
      <c r="BB247" s="141"/>
      <c r="BC247" s="141"/>
      <c r="BD247" s="141"/>
      <c r="BE247" s="141"/>
      <c r="BF247" s="141"/>
      <c r="BG247" s="141"/>
      <c r="BH247" s="141"/>
      <c r="BI247" s="141"/>
      <c r="BJ247" s="141"/>
      <c r="BK247" s="141"/>
      <c r="BL247" s="141"/>
      <c r="BM247" s="141"/>
      <c r="BN247" s="141"/>
      <c r="BO247" s="141"/>
    </row>
    <row r="248" ht="13.5" customHeight="1">
      <c r="A248" s="138"/>
      <c r="B248" s="139"/>
      <c r="C248" s="138"/>
      <c r="D248" s="138"/>
      <c r="E248" s="140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  <c r="AL248" s="141"/>
      <c r="AM248" s="141"/>
      <c r="AN248" s="141"/>
      <c r="AO248" s="141"/>
      <c r="AP248" s="141"/>
      <c r="AQ248" s="141"/>
      <c r="AR248" s="141"/>
      <c r="AS248" s="141"/>
      <c r="AT248" s="141"/>
      <c r="AU248" s="141"/>
      <c r="AV248" s="141"/>
      <c r="AW248" s="141"/>
      <c r="AX248" s="141"/>
      <c r="AY248" s="141"/>
      <c r="AZ248" s="141"/>
      <c r="BA248" s="141"/>
      <c r="BB248" s="141"/>
      <c r="BC248" s="141"/>
      <c r="BD248" s="141"/>
      <c r="BE248" s="141"/>
      <c r="BF248" s="141"/>
      <c r="BG248" s="141"/>
      <c r="BH248" s="141"/>
      <c r="BI248" s="141"/>
      <c r="BJ248" s="141"/>
      <c r="BK248" s="141"/>
      <c r="BL248" s="141"/>
      <c r="BM248" s="141"/>
      <c r="BN248" s="141"/>
      <c r="BO248" s="141"/>
    </row>
    <row r="249" ht="13.5" customHeight="1">
      <c r="A249" s="138"/>
      <c r="B249" s="139"/>
      <c r="C249" s="138"/>
      <c r="D249" s="138"/>
      <c r="E249" s="140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141"/>
      <c r="AO249" s="141"/>
      <c r="AP249" s="141"/>
      <c r="AQ249" s="141"/>
      <c r="AR249" s="141"/>
      <c r="AS249" s="141"/>
      <c r="AT249" s="141"/>
      <c r="AU249" s="141"/>
      <c r="AV249" s="141"/>
      <c r="AW249" s="141"/>
      <c r="AX249" s="141"/>
      <c r="AY249" s="141"/>
      <c r="AZ249" s="141"/>
      <c r="BA249" s="141"/>
      <c r="BB249" s="141"/>
      <c r="BC249" s="141"/>
      <c r="BD249" s="141"/>
      <c r="BE249" s="141"/>
      <c r="BF249" s="141"/>
      <c r="BG249" s="141"/>
      <c r="BH249" s="141"/>
      <c r="BI249" s="141"/>
      <c r="BJ249" s="141"/>
      <c r="BK249" s="141"/>
      <c r="BL249" s="141"/>
      <c r="BM249" s="141"/>
      <c r="BN249" s="141"/>
      <c r="BO249" s="141"/>
    </row>
    <row r="250" ht="13.5" customHeight="1">
      <c r="A250" s="138"/>
      <c r="B250" s="139"/>
      <c r="C250" s="138"/>
      <c r="D250" s="138"/>
      <c r="E250" s="140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  <c r="AL250" s="141"/>
      <c r="AM250" s="141"/>
      <c r="AN250" s="141"/>
      <c r="AO250" s="141"/>
      <c r="AP250" s="141"/>
      <c r="AQ250" s="141"/>
      <c r="AR250" s="141"/>
      <c r="AS250" s="141"/>
      <c r="AT250" s="141"/>
      <c r="AU250" s="141"/>
      <c r="AV250" s="141"/>
      <c r="AW250" s="141"/>
      <c r="AX250" s="141"/>
      <c r="AY250" s="141"/>
      <c r="AZ250" s="141"/>
      <c r="BA250" s="141"/>
      <c r="BB250" s="141"/>
      <c r="BC250" s="141"/>
      <c r="BD250" s="141"/>
      <c r="BE250" s="141"/>
      <c r="BF250" s="141"/>
      <c r="BG250" s="141"/>
      <c r="BH250" s="141"/>
      <c r="BI250" s="141"/>
      <c r="BJ250" s="141"/>
      <c r="BK250" s="141"/>
      <c r="BL250" s="141"/>
      <c r="BM250" s="141"/>
      <c r="BN250" s="141"/>
      <c r="BO250" s="141"/>
    </row>
    <row r="251" ht="13.5" customHeight="1">
      <c r="A251" s="138"/>
      <c r="B251" s="139"/>
      <c r="C251" s="138"/>
      <c r="D251" s="138"/>
      <c r="E251" s="140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141"/>
      <c r="AO251" s="141"/>
      <c r="AP251" s="141"/>
      <c r="AQ251" s="141"/>
      <c r="AR251" s="141"/>
      <c r="AS251" s="141"/>
      <c r="AT251" s="141"/>
      <c r="AU251" s="141"/>
      <c r="AV251" s="141"/>
      <c r="AW251" s="141"/>
      <c r="AX251" s="141"/>
      <c r="AY251" s="141"/>
      <c r="AZ251" s="141"/>
      <c r="BA251" s="141"/>
      <c r="BB251" s="141"/>
      <c r="BC251" s="141"/>
      <c r="BD251" s="141"/>
      <c r="BE251" s="141"/>
      <c r="BF251" s="141"/>
      <c r="BG251" s="141"/>
      <c r="BH251" s="141"/>
      <c r="BI251" s="141"/>
      <c r="BJ251" s="141"/>
      <c r="BK251" s="141"/>
      <c r="BL251" s="141"/>
      <c r="BM251" s="141"/>
      <c r="BN251" s="141"/>
      <c r="BO251" s="141"/>
    </row>
    <row r="252" ht="13.5" customHeight="1">
      <c r="A252" s="138"/>
      <c r="B252" s="139"/>
      <c r="C252" s="138"/>
      <c r="D252" s="138"/>
      <c r="E252" s="140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41"/>
      <c r="AM252" s="141"/>
      <c r="AN252" s="141"/>
      <c r="AO252" s="141"/>
      <c r="AP252" s="141"/>
      <c r="AQ252" s="141"/>
      <c r="AR252" s="141"/>
      <c r="AS252" s="141"/>
      <c r="AT252" s="141"/>
      <c r="AU252" s="141"/>
      <c r="AV252" s="141"/>
      <c r="AW252" s="141"/>
      <c r="AX252" s="141"/>
      <c r="AY252" s="141"/>
      <c r="AZ252" s="141"/>
      <c r="BA252" s="141"/>
      <c r="BB252" s="141"/>
      <c r="BC252" s="141"/>
      <c r="BD252" s="141"/>
      <c r="BE252" s="141"/>
      <c r="BF252" s="141"/>
      <c r="BG252" s="141"/>
      <c r="BH252" s="141"/>
      <c r="BI252" s="141"/>
      <c r="BJ252" s="141"/>
      <c r="BK252" s="141"/>
      <c r="BL252" s="141"/>
      <c r="BM252" s="141"/>
      <c r="BN252" s="141"/>
      <c r="BO252" s="141"/>
    </row>
    <row r="253" ht="13.5" customHeight="1">
      <c r="A253" s="138"/>
      <c r="B253" s="139"/>
      <c r="C253" s="138"/>
      <c r="D253" s="138"/>
      <c r="E253" s="140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141"/>
      <c r="AO253" s="141"/>
      <c r="AP253" s="141"/>
      <c r="AQ253" s="141"/>
      <c r="AR253" s="141"/>
      <c r="AS253" s="141"/>
      <c r="AT253" s="141"/>
      <c r="AU253" s="141"/>
      <c r="AV253" s="141"/>
      <c r="AW253" s="141"/>
      <c r="AX253" s="141"/>
      <c r="AY253" s="141"/>
      <c r="AZ253" s="141"/>
      <c r="BA253" s="141"/>
      <c r="BB253" s="141"/>
      <c r="BC253" s="141"/>
      <c r="BD253" s="141"/>
      <c r="BE253" s="141"/>
      <c r="BF253" s="141"/>
      <c r="BG253" s="141"/>
      <c r="BH253" s="141"/>
      <c r="BI253" s="141"/>
      <c r="BJ253" s="141"/>
      <c r="BK253" s="141"/>
      <c r="BL253" s="141"/>
      <c r="BM253" s="141"/>
      <c r="BN253" s="141"/>
      <c r="BO253" s="141"/>
    </row>
    <row r="254" ht="13.5" customHeight="1">
      <c r="A254" s="138"/>
      <c r="B254" s="139"/>
      <c r="C254" s="138"/>
      <c r="D254" s="138"/>
      <c r="E254" s="140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141"/>
      <c r="AO254" s="141"/>
      <c r="AP254" s="141"/>
      <c r="AQ254" s="141"/>
      <c r="AR254" s="141"/>
      <c r="AS254" s="141"/>
      <c r="AT254" s="141"/>
      <c r="AU254" s="141"/>
      <c r="AV254" s="141"/>
      <c r="AW254" s="141"/>
      <c r="AX254" s="141"/>
      <c r="AY254" s="141"/>
      <c r="AZ254" s="141"/>
      <c r="BA254" s="141"/>
      <c r="BB254" s="141"/>
      <c r="BC254" s="141"/>
      <c r="BD254" s="141"/>
      <c r="BE254" s="141"/>
      <c r="BF254" s="141"/>
      <c r="BG254" s="141"/>
      <c r="BH254" s="141"/>
      <c r="BI254" s="141"/>
      <c r="BJ254" s="141"/>
      <c r="BK254" s="141"/>
      <c r="BL254" s="141"/>
      <c r="BM254" s="141"/>
      <c r="BN254" s="141"/>
      <c r="BO254" s="141"/>
    </row>
    <row r="255" ht="13.5" customHeight="1">
      <c r="A255" s="138"/>
      <c r="B255" s="139"/>
      <c r="C255" s="138"/>
      <c r="D255" s="138"/>
      <c r="E255" s="140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  <c r="AM255" s="141"/>
      <c r="AN255" s="141"/>
      <c r="AO255" s="141"/>
      <c r="AP255" s="141"/>
      <c r="AQ255" s="141"/>
      <c r="AR255" s="141"/>
      <c r="AS255" s="141"/>
      <c r="AT255" s="141"/>
      <c r="AU255" s="141"/>
      <c r="AV255" s="141"/>
      <c r="AW255" s="141"/>
      <c r="AX255" s="141"/>
      <c r="AY255" s="141"/>
      <c r="AZ255" s="141"/>
      <c r="BA255" s="141"/>
      <c r="BB255" s="141"/>
      <c r="BC255" s="141"/>
      <c r="BD255" s="141"/>
      <c r="BE255" s="141"/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</row>
    <row r="256" ht="13.5" customHeight="1">
      <c r="A256" s="138"/>
      <c r="B256" s="139"/>
      <c r="C256" s="138"/>
      <c r="D256" s="138"/>
      <c r="E256" s="140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141"/>
      <c r="AO256" s="141"/>
      <c r="AP256" s="141"/>
      <c r="AQ256" s="141"/>
      <c r="AR256" s="141"/>
      <c r="AS256" s="141"/>
      <c r="AT256" s="141"/>
      <c r="AU256" s="141"/>
      <c r="AV256" s="141"/>
      <c r="AW256" s="141"/>
      <c r="AX256" s="141"/>
      <c r="AY256" s="141"/>
      <c r="AZ256" s="141"/>
      <c r="BA256" s="141"/>
      <c r="BB256" s="141"/>
      <c r="BC256" s="141"/>
      <c r="BD256" s="141"/>
      <c r="BE256" s="141"/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</row>
    <row r="257" ht="13.5" customHeight="1">
      <c r="A257" s="138"/>
      <c r="B257" s="139"/>
      <c r="C257" s="138"/>
      <c r="D257" s="138"/>
      <c r="E257" s="140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  <c r="AM257" s="141"/>
      <c r="AN257" s="141"/>
      <c r="AO257" s="141"/>
      <c r="AP257" s="141"/>
      <c r="AQ257" s="141"/>
      <c r="AR257" s="141"/>
      <c r="AS257" s="141"/>
      <c r="AT257" s="141"/>
      <c r="AU257" s="141"/>
      <c r="AV257" s="141"/>
      <c r="AW257" s="141"/>
      <c r="AX257" s="141"/>
      <c r="AY257" s="141"/>
      <c r="AZ257" s="141"/>
      <c r="BA257" s="141"/>
      <c r="BB257" s="141"/>
      <c r="BC257" s="141"/>
      <c r="BD257" s="141"/>
      <c r="BE257" s="141"/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</row>
    <row r="258" ht="13.5" customHeight="1">
      <c r="A258" s="138"/>
      <c r="B258" s="139"/>
      <c r="C258" s="138"/>
      <c r="D258" s="138"/>
      <c r="E258" s="140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  <c r="AM258" s="141"/>
      <c r="AN258" s="141"/>
      <c r="AO258" s="141"/>
      <c r="AP258" s="141"/>
      <c r="AQ258" s="141"/>
      <c r="AR258" s="141"/>
      <c r="AS258" s="141"/>
      <c r="AT258" s="141"/>
      <c r="AU258" s="141"/>
      <c r="AV258" s="141"/>
      <c r="AW258" s="141"/>
      <c r="AX258" s="141"/>
      <c r="AY258" s="141"/>
      <c r="AZ258" s="141"/>
      <c r="BA258" s="141"/>
      <c r="BB258" s="141"/>
      <c r="BC258" s="141"/>
      <c r="BD258" s="141"/>
      <c r="BE258" s="141"/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</row>
    <row r="259" ht="13.5" customHeight="1">
      <c r="A259" s="138"/>
      <c r="B259" s="139"/>
      <c r="C259" s="138"/>
      <c r="D259" s="138"/>
      <c r="E259" s="140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  <c r="AL259" s="141"/>
      <c r="AM259" s="141"/>
      <c r="AN259" s="141"/>
      <c r="AO259" s="141"/>
      <c r="AP259" s="141"/>
      <c r="AQ259" s="141"/>
      <c r="AR259" s="141"/>
      <c r="AS259" s="141"/>
      <c r="AT259" s="141"/>
      <c r="AU259" s="141"/>
      <c r="AV259" s="141"/>
      <c r="AW259" s="141"/>
      <c r="AX259" s="141"/>
      <c r="AY259" s="141"/>
      <c r="AZ259" s="141"/>
      <c r="BA259" s="141"/>
      <c r="BB259" s="141"/>
      <c r="BC259" s="141"/>
      <c r="BD259" s="141"/>
      <c r="BE259" s="141"/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</row>
    <row r="260" ht="13.5" customHeight="1">
      <c r="A260" s="138"/>
      <c r="B260" s="139"/>
      <c r="C260" s="138"/>
      <c r="D260" s="138"/>
      <c r="E260" s="140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141"/>
      <c r="AO260" s="141"/>
      <c r="AP260" s="141"/>
      <c r="AQ260" s="141"/>
      <c r="AR260" s="141"/>
      <c r="AS260" s="141"/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41"/>
      <c r="BD260" s="141"/>
      <c r="BE260" s="141"/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</row>
    <row r="261" ht="13.5" customHeight="1">
      <c r="A261" s="138"/>
      <c r="B261" s="139"/>
      <c r="C261" s="138"/>
      <c r="D261" s="138"/>
      <c r="E261" s="140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  <c r="AM261" s="141"/>
      <c r="AN261" s="141"/>
      <c r="AO261" s="141"/>
      <c r="AP261" s="141"/>
      <c r="AQ261" s="141"/>
      <c r="AR261" s="141"/>
      <c r="AS261" s="141"/>
      <c r="AT261" s="141"/>
      <c r="AU261" s="141"/>
      <c r="AV261" s="141"/>
      <c r="AW261" s="141"/>
      <c r="AX261" s="141"/>
      <c r="AY261" s="141"/>
      <c r="AZ261" s="141"/>
      <c r="BA261" s="141"/>
      <c r="BB261" s="141"/>
      <c r="BC261" s="141"/>
      <c r="BD261" s="141"/>
      <c r="BE261" s="141"/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</row>
    <row r="262" ht="13.5" customHeight="1">
      <c r="A262" s="138"/>
      <c r="B262" s="139"/>
      <c r="C262" s="138"/>
      <c r="D262" s="138"/>
      <c r="E262" s="140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  <c r="AM262" s="141"/>
      <c r="AN262" s="141"/>
      <c r="AO262" s="141"/>
      <c r="AP262" s="141"/>
      <c r="AQ262" s="141"/>
      <c r="AR262" s="141"/>
      <c r="AS262" s="141"/>
      <c r="AT262" s="141"/>
      <c r="AU262" s="141"/>
      <c r="AV262" s="141"/>
      <c r="AW262" s="141"/>
      <c r="AX262" s="141"/>
      <c r="AY262" s="141"/>
      <c r="AZ262" s="141"/>
      <c r="BA262" s="141"/>
      <c r="BB262" s="141"/>
      <c r="BC262" s="141"/>
      <c r="BD262" s="141"/>
      <c r="BE262" s="141"/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</row>
    <row r="263" ht="13.5" customHeight="1">
      <c r="A263" s="138"/>
      <c r="B263" s="139"/>
      <c r="C263" s="138"/>
      <c r="D263" s="138"/>
      <c r="E263" s="140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  <c r="AM263" s="141"/>
      <c r="AN263" s="141"/>
      <c r="AO263" s="141"/>
      <c r="AP263" s="141"/>
      <c r="AQ263" s="141"/>
      <c r="AR263" s="141"/>
      <c r="AS263" s="141"/>
      <c r="AT263" s="141"/>
      <c r="AU263" s="141"/>
      <c r="AV263" s="141"/>
      <c r="AW263" s="141"/>
      <c r="AX263" s="141"/>
      <c r="AY263" s="141"/>
      <c r="AZ263" s="141"/>
      <c r="BA263" s="141"/>
      <c r="BB263" s="141"/>
      <c r="BC263" s="141"/>
      <c r="BD263" s="141"/>
      <c r="BE263" s="141"/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</row>
    <row r="264" ht="13.5" customHeight="1">
      <c r="A264" s="138"/>
      <c r="B264" s="139"/>
      <c r="C264" s="138"/>
      <c r="D264" s="138"/>
      <c r="E264" s="140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  <c r="AL264" s="141"/>
      <c r="AM264" s="141"/>
      <c r="AN264" s="141"/>
      <c r="AO264" s="141"/>
      <c r="AP264" s="141"/>
      <c r="AQ264" s="141"/>
      <c r="AR264" s="141"/>
      <c r="AS264" s="141"/>
      <c r="AT264" s="141"/>
      <c r="AU264" s="141"/>
      <c r="AV264" s="141"/>
      <c r="AW264" s="141"/>
      <c r="AX264" s="141"/>
      <c r="AY264" s="141"/>
      <c r="AZ264" s="141"/>
      <c r="BA264" s="141"/>
      <c r="BB264" s="141"/>
      <c r="BC264" s="141"/>
      <c r="BD264" s="141"/>
      <c r="BE264" s="141"/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</row>
    <row r="265" ht="13.5" customHeight="1">
      <c r="A265" s="138"/>
      <c r="B265" s="139"/>
      <c r="C265" s="138"/>
      <c r="D265" s="138"/>
      <c r="E265" s="140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  <c r="AM265" s="141"/>
      <c r="AN265" s="141"/>
      <c r="AO265" s="141"/>
      <c r="AP265" s="141"/>
      <c r="AQ265" s="141"/>
      <c r="AR265" s="141"/>
      <c r="AS265" s="141"/>
      <c r="AT265" s="141"/>
      <c r="AU265" s="141"/>
      <c r="AV265" s="141"/>
      <c r="AW265" s="141"/>
      <c r="AX265" s="141"/>
      <c r="AY265" s="141"/>
      <c r="AZ265" s="141"/>
      <c r="BA265" s="141"/>
      <c r="BB265" s="141"/>
      <c r="BC265" s="141"/>
      <c r="BD265" s="141"/>
      <c r="BE265" s="141"/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</row>
    <row r="266" ht="13.5" customHeight="1">
      <c r="A266" s="138"/>
      <c r="B266" s="139"/>
      <c r="C266" s="138"/>
      <c r="D266" s="138"/>
      <c r="E266" s="140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  <c r="AL266" s="141"/>
      <c r="AM266" s="141"/>
      <c r="AN266" s="141"/>
      <c r="AO266" s="141"/>
      <c r="AP266" s="141"/>
      <c r="AQ266" s="141"/>
      <c r="AR266" s="141"/>
      <c r="AS266" s="141"/>
      <c r="AT266" s="141"/>
      <c r="AU266" s="141"/>
      <c r="AV266" s="141"/>
      <c r="AW266" s="141"/>
      <c r="AX266" s="141"/>
      <c r="AY266" s="141"/>
      <c r="AZ266" s="141"/>
      <c r="BA266" s="141"/>
      <c r="BB266" s="141"/>
      <c r="BC266" s="141"/>
      <c r="BD266" s="141"/>
      <c r="BE266" s="141"/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</row>
    <row r="267" ht="13.5" customHeight="1">
      <c r="A267" s="138"/>
      <c r="B267" s="139"/>
      <c r="C267" s="138"/>
      <c r="D267" s="138"/>
      <c r="E267" s="140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141"/>
      <c r="AO267" s="141"/>
      <c r="AP267" s="141"/>
      <c r="AQ267" s="141"/>
      <c r="AR267" s="141"/>
      <c r="AS267" s="141"/>
      <c r="AT267" s="141"/>
      <c r="AU267" s="141"/>
      <c r="AV267" s="141"/>
      <c r="AW267" s="141"/>
      <c r="AX267" s="141"/>
      <c r="AY267" s="141"/>
      <c r="AZ267" s="141"/>
      <c r="BA267" s="141"/>
      <c r="BB267" s="141"/>
      <c r="BC267" s="141"/>
      <c r="BD267" s="141"/>
      <c r="BE267" s="141"/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</row>
    <row r="268" ht="13.5" customHeight="1">
      <c r="A268" s="138"/>
      <c r="B268" s="139"/>
      <c r="C268" s="138"/>
      <c r="D268" s="138"/>
      <c r="E268" s="140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141"/>
      <c r="AO268" s="141"/>
      <c r="AP268" s="141"/>
      <c r="AQ268" s="141"/>
      <c r="AR268" s="141"/>
      <c r="AS268" s="141"/>
      <c r="AT268" s="141"/>
      <c r="AU268" s="141"/>
      <c r="AV268" s="141"/>
      <c r="AW268" s="141"/>
      <c r="AX268" s="141"/>
      <c r="AY268" s="141"/>
      <c r="AZ268" s="141"/>
      <c r="BA268" s="141"/>
      <c r="BB268" s="141"/>
      <c r="BC268" s="141"/>
      <c r="BD268" s="141"/>
      <c r="BE268" s="141"/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</row>
    <row r="269" ht="13.5" customHeight="1">
      <c r="A269" s="138"/>
      <c r="B269" s="139"/>
      <c r="C269" s="138"/>
      <c r="D269" s="138"/>
      <c r="E269" s="140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  <c r="AM269" s="141"/>
      <c r="AN269" s="141"/>
      <c r="AO269" s="141"/>
      <c r="AP269" s="141"/>
      <c r="AQ269" s="141"/>
      <c r="AR269" s="141"/>
      <c r="AS269" s="141"/>
      <c r="AT269" s="141"/>
      <c r="AU269" s="141"/>
      <c r="AV269" s="141"/>
      <c r="AW269" s="141"/>
      <c r="AX269" s="141"/>
      <c r="AY269" s="141"/>
      <c r="AZ269" s="141"/>
      <c r="BA269" s="141"/>
      <c r="BB269" s="141"/>
      <c r="BC269" s="141"/>
      <c r="BD269" s="141"/>
      <c r="BE269" s="141"/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</row>
    <row r="270" ht="13.5" customHeight="1">
      <c r="A270" s="138"/>
      <c r="B270" s="139"/>
      <c r="C270" s="138"/>
      <c r="D270" s="138"/>
      <c r="E270" s="140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  <c r="AL270" s="141"/>
      <c r="AM270" s="141"/>
      <c r="AN270" s="141"/>
      <c r="AO270" s="141"/>
      <c r="AP270" s="141"/>
      <c r="AQ270" s="141"/>
      <c r="AR270" s="141"/>
      <c r="AS270" s="141"/>
      <c r="AT270" s="141"/>
      <c r="AU270" s="141"/>
      <c r="AV270" s="141"/>
      <c r="AW270" s="141"/>
      <c r="AX270" s="141"/>
      <c r="AY270" s="141"/>
      <c r="AZ270" s="141"/>
      <c r="BA270" s="141"/>
      <c r="BB270" s="141"/>
      <c r="BC270" s="141"/>
      <c r="BD270" s="141"/>
      <c r="BE270" s="141"/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</row>
    <row r="271" ht="13.5" customHeight="1">
      <c r="A271" s="138"/>
      <c r="B271" s="139"/>
      <c r="C271" s="138"/>
      <c r="D271" s="138"/>
      <c r="E271" s="140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  <c r="AM271" s="141"/>
      <c r="AN271" s="141"/>
      <c r="AO271" s="141"/>
      <c r="AP271" s="141"/>
      <c r="AQ271" s="141"/>
      <c r="AR271" s="141"/>
      <c r="AS271" s="141"/>
      <c r="AT271" s="141"/>
      <c r="AU271" s="141"/>
      <c r="AV271" s="141"/>
      <c r="AW271" s="141"/>
      <c r="AX271" s="141"/>
      <c r="AY271" s="141"/>
      <c r="AZ271" s="141"/>
      <c r="BA271" s="141"/>
      <c r="BB271" s="141"/>
      <c r="BC271" s="141"/>
      <c r="BD271" s="141"/>
      <c r="BE271" s="141"/>
      <c r="BF271" s="141"/>
      <c r="BG271" s="141"/>
      <c r="BH271" s="141"/>
      <c r="BI271" s="141"/>
      <c r="BJ271" s="141"/>
      <c r="BK271" s="141"/>
      <c r="BL271" s="141"/>
      <c r="BM271" s="141"/>
      <c r="BN271" s="141"/>
      <c r="BO271" s="141"/>
    </row>
    <row r="272" ht="13.5" customHeight="1">
      <c r="A272" s="138"/>
      <c r="B272" s="139"/>
      <c r="C272" s="138"/>
      <c r="D272" s="138"/>
      <c r="E272" s="140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/>
      <c r="AP272" s="141"/>
      <c r="AQ272" s="141"/>
      <c r="AR272" s="141"/>
      <c r="AS272" s="141"/>
      <c r="AT272" s="141"/>
      <c r="AU272" s="141"/>
      <c r="AV272" s="141"/>
      <c r="AW272" s="141"/>
      <c r="AX272" s="141"/>
      <c r="AY272" s="141"/>
      <c r="AZ272" s="141"/>
      <c r="BA272" s="141"/>
      <c r="BB272" s="141"/>
      <c r="BC272" s="141"/>
      <c r="BD272" s="141"/>
      <c r="BE272" s="141"/>
      <c r="BF272" s="141"/>
      <c r="BG272" s="141"/>
      <c r="BH272" s="141"/>
      <c r="BI272" s="141"/>
      <c r="BJ272" s="141"/>
      <c r="BK272" s="141"/>
      <c r="BL272" s="141"/>
      <c r="BM272" s="141"/>
      <c r="BN272" s="141"/>
      <c r="BO272" s="141"/>
    </row>
    <row r="273" ht="13.5" customHeight="1">
      <c r="A273" s="138"/>
      <c r="B273" s="139"/>
      <c r="C273" s="138"/>
      <c r="D273" s="138"/>
      <c r="E273" s="140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  <c r="AL273" s="141"/>
      <c r="AM273" s="141"/>
      <c r="AN273" s="141"/>
      <c r="AO273" s="141"/>
      <c r="AP273" s="141"/>
      <c r="AQ273" s="141"/>
      <c r="AR273" s="141"/>
      <c r="AS273" s="141"/>
      <c r="AT273" s="141"/>
      <c r="AU273" s="141"/>
      <c r="AV273" s="141"/>
      <c r="AW273" s="141"/>
      <c r="AX273" s="141"/>
      <c r="AY273" s="141"/>
      <c r="AZ273" s="141"/>
      <c r="BA273" s="141"/>
      <c r="BB273" s="141"/>
      <c r="BC273" s="141"/>
      <c r="BD273" s="141"/>
      <c r="BE273" s="141"/>
      <c r="BF273" s="141"/>
      <c r="BG273" s="141"/>
      <c r="BH273" s="141"/>
      <c r="BI273" s="141"/>
      <c r="BJ273" s="141"/>
      <c r="BK273" s="141"/>
      <c r="BL273" s="141"/>
      <c r="BM273" s="141"/>
      <c r="BN273" s="141"/>
      <c r="BO273" s="141"/>
    </row>
    <row r="274" ht="13.5" customHeight="1">
      <c r="A274" s="138"/>
      <c r="B274" s="139"/>
      <c r="C274" s="138"/>
      <c r="D274" s="138"/>
      <c r="E274" s="140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  <c r="AL274" s="141"/>
      <c r="AM274" s="141"/>
      <c r="AN274" s="141"/>
      <c r="AO274" s="141"/>
      <c r="AP274" s="141"/>
      <c r="AQ274" s="141"/>
      <c r="AR274" s="141"/>
      <c r="AS274" s="141"/>
      <c r="AT274" s="141"/>
      <c r="AU274" s="141"/>
      <c r="AV274" s="141"/>
      <c r="AW274" s="141"/>
      <c r="AX274" s="141"/>
      <c r="AY274" s="141"/>
      <c r="AZ274" s="141"/>
      <c r="BA274" s="141"/>
      <c r="BB274" s="141"/>
      <c r="BC274" s="141"/>
      <c r="BD274" s="141"/>
      <c r="BE274" s="141"/>
      <c r="BF274" s="141"/>
      <c r="BG274" s="141"/>
      <c r="BH274" s="141"/>
      <c r="BI274" s="141"/>
      <c r="BJ274" s="141"/>
      <c r="BK274" s="141"/>
      <c r="BL274" s="141"/>
      <c r="BM274" s="141"/>
      <c r="BN274" s="141"/>
      <c r="BO274" s="141"/>
    </row>
    <row r="275" ht="13.5" customHeight="1">
      <c r="A275" s="138"/>
      <c r="B275" s="139"/>
      <c r="C275" s="138"/>
      <c r="D275" s="138"/>
      <c r="E275" s="140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  <c r="AL275" s="141"/>
      <c r="AM275" s="141"/>
      <c r="AN275" s="141"/>
      <c r="AO275" s="141"/>
      <c r="AP275" s="141"/>
      <c r="AQ275" s="141"/>
      <c r="AR275" s="141"/>
      <c r="AS275" s="141"/>
      <c r="AT275" s="141"/>
      <c r="AU275" s="141"/>
      <c r="AV275" s="141"/>
      <c r="AW275" s="141"/>
      <c r="AX275" s="141"/>
      <c r="AY275" s="141"/>
      <c r="AZ275" s="141"/>
      <c r="BA275" s="141"/>
      <c r="BB275" s="141"/>
      <c r="BC275" s="141"/>
      <c r="BD275" s="141"/>
      <c r="BE275" s="141"/>
      <c r="BF275" s="141"/>
      <c r="BG275" s="141"/>
      <c r="BH275" s="141"/>
      <c r="BI275" s="141"/>
      <c r="BJ275" s="141"/>
      <c r="BK275" s="141"/>
      <c r="BL275" s="141"/>
      <c r="BM275" s="141"/>
      <c r="BN275" s="141"/>
      <c r="BO275" s="141"/>
    </row>
    <row r="276" ht="13.5" customHeight="1">
      <c r="A276" s="138"/>
      <c r="B276" s="139"/>
      <c r="C276" s="138"/>
      <c r="D276" s="138"/>
      <c r="E276" s="140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  <c r="AL276" s="141"/>
      <c r="AM276" s="141"/>
      <c r="AN276" s="141"/>
      <c r="AO276" s="141"/>
      <c r="AP276" s="141"/>
      <c r="AQ276" s="141"/>
      <c r="AR276" s="141"/>
      <c r="AS276" s="141"/>
      <c r="AT276" s="141"/>
      <c r="AU276" s="141"/>
      <c r="AV276" s="141"/>
      <c r="AW276" s="141"/>
      <c r="AX276" s="141"/>
      <c r="AY276" s="141"/>
      <c r="AZ276" s="141"/>
      <c r="BA276" s="141"/>
      <c r="BB276" s="141"/>
      <c r="BC276" s="141"/>
      <c r="BD276" s="141"/>
      <c r="BE276" s="141"/>
      <c r="BF276" s="141"/>
      <c r="BG276" s="141"/>
      <c r="BH276" s="141"/>
      <c r="BI276" s="141"/>
      <c r="BJ276" s="141"/>
      <c r="BK276" s="141"/>
      <c r="BL276" s="141"/>
      <c r="BM276" s="141"/>
      <c r="BN276" s="141"/>
      <c r="BO276" s="141"/>
    </row>
    <row r="277" ht="13.5" customHeight="1">
      <c r="A277" s="138"/>
      <c r="B277" s="139"/>
      <c r="C277" s="138"/>
      <c r="D277" s="138"/>
      <c r="E277" s="140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  <c r="AL277" s="141"/>
      <c r="AM277" s="141"/>
      <c r="AN277" s="141"/>
      <c r="AO277" s="141"/>
      <c r="AP277" s="141"/>
      <c r="AQ277" s="141"/>
      <c r="AR277" s="141"/>
      <c r="AS277" s="141"/>
      <c r="AT277" s="141"/>
      <c r="AU277" s="141"/>
      <c r="AV277" s="141"/>
      <c r="AW277" s="141"/>
      <c r="AX277" s="141"/>
      <c r="AY277" s="141"/>
      <c r="AZ277" s="141"/>
      <c r="BA277" s="141"/>
      <c r="BB277" s="141"/>
      <c r="BC277" s="141"/>
      <c r="BD277" s="141"/>
      <c r="BE277" s="141"/>
      <c r="BF277" s="141"/>
      <c r="BG277" s="141"/>
      <c r="BH277" s="141"/>
      <c r="BI277" s="141"/>
      <c r="BJ277" s="141"/>
      <c r="BK277" s="141"/>
      <c r="BL277" s="141"/>
      <c r="BM277" s="141"/>
      <c r="BN277" s="141"/>
      <c r="BO277" s="141"/>
    </row>
    <row r="278" ht="13.5" customHeight="1">
      <c r="A278" s="138"/>
      <c r="B278" s="139"/>
      <c r="C278" s="138"/>
      <c r="D278" s="138"/>
      <c r="E278" s="140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141"/>
      <c r="AO278" s="141"/>
      <c r="AP278" s="141"/>
      <c r="AQ278" s="141"/>
      <c r="AR278" s="141"/>
      <c r="AS278" s="141"/>
      <c r="AT278" s="141"/>
      <c r="AU278" s="141"/>
      <c r="AV278" s="141"/>
      <c r="AW278" s="141"/>
      <c r="AX278" s="141"/>
      <c r="AY278" s="141"/>
      <c r="AZ278" s="141"/>
      <c r="BA278" s="141"/>
      <c r="BB278" s="141"/>
      <c r="BC278" s="141"/>
      <c r="BD278" s="141"/>
      <c r="BE278" s="141"/>
      <c r="BF278" s="141"/>
      <c r="BG278" s="141"/>
      <c r="BH278" s="141"/>
      <c r="BI278" s="141"/>
      <c r="BJ278" s="141"/>
      <c r="BK278" s="141"/>
      <c r="BL278" s="141"/>
      <c r="BM278" s="141"/>
      <c r="BN278" s="141"/>
      <c r="BO278" s="141"/>
    </row>
    <row r="279" ht="13.5" customHeight="1">
      <c r="A279" s="138"/>
      <c r="B279" s="139"/>
      <c r="C279" s="138"/>
      <c r="D279" s="138"/>
      <c r="E279" s="140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  <c r="AL279" s="141"/>
      <c r="AM279" s="141"/>
      <c r="AN279" s="141"/>
      <c r="AO279" s="141"/>
      <c r="AP279" s="141"/>
      <c r="AQ279" s="141"/>
      <c r="AR279" s="141"/>
      <c r="AS279" s="141"/>
      <c r="AT279" s="141"/>
      <c r="AU279" s="141"/>
      <c r="AV279" s="141"/>
      <c r="AW279" s="141"/>
      <c r="AX279" s="141"/>
      <c r="AY279" s="141"/>
      <c r="AZ279" s="141"/>
      <c r="BA279" s="141"/>
      <c r="BB279" s="141"/>
      <c r="BC279" s="141"/>
      <c r="BD279" s="141"/>
      <c r="BE279" s="141"/>
      <c r="BF279" s="141"/>
      <c r="BG279" s="141"/>
      <c r="BH279" s="141"/>
      <c r="BI279" s="141"/>
      <c r="BJ279" s="141"/>
      <c r="BK279" s="141"/>
      <c r="BL279" s="141"/>
      <c r="BM279" s="141"/>
      <c r="BN279" s="141"/>
      <c r="BO279" s="141"/>
    </row>
    <row r="280" ht="13.5" customHeight="1">
      <c r="A280" s="138"/>
      <c r="B280" s="139"/>
      <c r="C280" s="138"/>
      <c r="D280" s="138"/>
      <c r="E280" s="140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141"/>
      <c r="AO280" s="141"/>
      <c r="AP280" s="141"/>
      <c r="AQ280" s="141"/>
      <c r="AR280" s="141"/>
      <c r="AS280" s="141"/>
      <c r="AT280" s="141"/>
      <c r="AU280" s="141"/>
      <c r="AV280" s="141"/>
      <c r="AW280" s="141"/>
      <c r="AX280" s="141"/>
      <c r="AY280" s="141"/>
      <c r="AZ280" s="141"/>
      <c r="BA280" s="141"/>
      <c r="BB280" s="141"/>
      <c r="BC280" s="141"/>
      <c r="BD280" s="141"/>
      <c r="BE280" s="141"/>
      <c r="BF280" s="141"/>
      <c r="BG280" s="141"/>
      <c r="BH280" s="141"/>
      <c r="BI280" s="141"/>
      <c r="BJ280" s="141"/>
      <c r="BK280" s="141"/>
      <c r="BL280" s="141"/>
      <c r="BM280" s="141"/>
      <c r="BN280" s="141"/>
      <c r="BO280" s="141"/>
    </row>
    <row r="281" ht="13.5" customHeight="1">
      <c r="A281" s="138"/>
      <c r="B281" s="139"/>
      <c r="C281" s="138"/>
      <c r="D281" s="138"/>
      <c r="E281" s="140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  <c r="AM281" s="141"/>
      <c r="AN281" s="141"/>
      <c r="AO281" s="141"/>
      <c r="AP281" s="141"/>
      <c r="AQ281" s="141"/>
      <c r="AR281" s="141"/>
      <c r="AS281" s="141"/>
      <c r="AT281" s="141"/>
      <c r="AU281" s="141"/>
      <c r="AV281" s="141"/>
      <c r="AW281" s="141"/>
      <c r="AX281" s="141"/>
      <c r="AY281" s="141"/>
      <c r="AZ281" s="141"/>
      <c r="BA281" s="141"/>
      <c r="BB281" s="141"/>
      <c r="BC281" s="141"/>
      <c r="BD281" s="141"/>
      <c r="BE281" s="141"/>
      <c r="BF281" s="141"/>
      <c r="BG281" s="141"/>
      <c r="BH281" s="141"/>
      <c r="BI281" s="141"/>
      <c r="BJ281" s="141"/>
      <c r="BK281" s="141"/>
      <c r="BL281" s="141"/>
      <c r="BM281" s="141"/>
      <c r="BN281" s="141"/>
      <c r="BO281" s="141"/>
    </row>
    <row r="282" ht="13.5" customHeight="1">
      <c r="A282" s="138"/>
      <c r="B282" s="139"/>
      <c r="C282" s="138"/>
      <c r="D282" s="138"/>
      <c r="E282" s="140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  <c r="AO282" s="141"/>
      <c r="AP282" s="141"/>
      <c r="AQ282" s="141"/>
      <c r="AR282" s="141"/>
      <c r="AS282" s="141"/>
      <c r="AT282" s="141"/>
      <c r="AU282" s="141"/>
      <c r="AV282" s="141"/>
      <c r="AW282" s="141"/>
      <c r="AX282" s="141"/>
      <c r="AY282" s="141"/>
      <c r="AZ282" s="141"/>
      <c r="BA282" s="141"/>
      <c r="BB282" s="141"/>
      <c r="BC282" s="141"/>
      <c r="BD282" s="141"/>
      <c r="BE282" s="141"/>
      <c r="BF282" s="141"/>
      <c r="BG282" s="141"/>
      <c r="BH282" s="141"/>
      <c r="BI282" s="141"/>
      <c r="BJ282" s="141"/>
      <c r="BK282" s="141"/>
      <c r="BL282" s="141"/>
      <c r="BM282" s="141"/>
      <c r="BN282" s="141"/>
      <c r="BO282" s="141"/>
    </row>
    <row r="283" ht="13.5" customHeight="1">
      <c r="A283" s="138"/>
      <c r="B283" s="139"/>
      <c r="C283" s="138"/>
      <c r="D283" s="138"/>
      <c r="E283" s="140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  <c r="AM283" s="141"/>
      <c r="AN283" s="141"/>
      <c r="AO283" s="141"/>
      <c r="AP283" s="141"/>
      <c r="AQ283" s="141"/>
      <c r="AR283" s="141"/>
      <c r="AS283" s="141"/>
      <c r="AT283" s="141"/>
      <c r="AU283" s="141"/>
      <c r="AV283" s="141"/>
      <c r="AW283" s="141"/>
      <c r="AX283" s="141"/>
      <c r="AY283" s="141"/>
      <c r="AZ283" s="141"/>
      <c r="BA283" s="141"/>
      <c r="BB283" s="141"/>
      <c r="BC283" s="141"/>
      <c r="BD283" s="141"/>
      <c r="BE283" s="141"/>
      <c r="BF283" s="141"/>
      <c r="BG283" s="141"/>
      <c r="BH283" s="141"/>
      <c r="BI283" s="141"/>
      <c r="BJ283" s="141"/>
      <c r="BK283" s="141"/>
      <c r="BL283" s="141"/>
      <c r="BM283" s="141"/>
      <c r="BN283" s="141"/>
      <c r="BO283" s="141"/>
    </row>
    <row r="284" ht="13.5" customHeight="1">
      <c r="A284" s="138"/>
      <c r="B284" s="139"/>
      <c r="C284" s="138"/>
      <c r="D284" s="138"/>
      <c r="E284" s="140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  <c r="AM284" s="141"/>
      <c r="AN284" s="141"/>
      <c r="AO284" s="141"/>
      <c r="AP284" s="141"/>
      <c r="AQ284" s="141"/>
      <c r="AR284" s="141"/>
      <c r="AS284" s="141"/>
      <c r="AT284" s="141"/>
      <c r="AU284" s="141"/>
      <c r="AV284" s="141"/>
      <c r="AW284" s="141"/>
      <c r="AX284" s="141"/>
      <c r="AY284" s="141"/>
      <c r="AZ284" s="141"/>
      <c r="BA284" s="141"/>
      <c r="BB284" s="141"/>
      <c r="BC284" s="141"/>
      <c r="BD284" s="141"/>
      <c r="BE284" s="141"/>
      <c r="BF284" s="141"/>
      <c r="BG284" s="141"/>
      <c r="BH284" s="141"/>
      <c r="BI284" s="141"/>
      <c r="BJ284" s="141"/>
      <c r="BK284" s="141"/>
      <c r="BL284" s="141"/>
      <c r="BM284" s="141"/>
      <c r="BN284" s="141"/>
      <c r="BO284" s="141"/>
    </row>
    <row r="285" ht="13.5" customHeight="1">
      <c r="A285" s="138"/>
      <c r="B285" s="139"/>
      <c r="C285" s="138"/>
      <c r="D285" s="138"/>
      <c r="E285" s="140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  <c r="AL285" s="141"/>
      <c r="AM285" s="141"/>
      <c r="AN285" s="141"/>
      <c r="AO285" s="141"/>
      <c r="AP285" s="141"/>
      <c r="AQ285" s="141"/>
      <c r="AR285" s="141"/>
      <c r="AS285" s="141"/>
      <c r="AT285" s="141"/>
      <c r="AU285" s="141"/>
      <c r="AV285" s="141"/>
      <c r="AW285" s="141"/>
      <c r="AX285" s="141"/>
      <c r="AY285" s="141"/>
      <c r="AZ285" s="141"/>
      <c r="BA285" s="141"/>
      <c r="BB285" s="141"/>
      <c r="BC285" s="141"/>
      <c r="BD285" s="141"/>
      <c r="BE285" s="141"/>
      <c r="BF285" s="141"/>
      <c r="BG285" s="141"/>
      <c r="BH285" s="141"/>
      <c r="BI285" s="141"/>
      <c r="BJ285" s="141"/>
      <c r="BK285" s="141"/>
      <c r="BL285" s="141"/>
      <c r="BM285" s="141"/>
      <c r="BN285" s="141"/>
      <c r="BO285" s="141"/>
    </row>
    <row r="286" ht="13.5" customHeight="1">
      <c r="A286" s="138"/>
      <c r="B286" s="139"/>
      <c r="C286" s="138"/>
      <c r="D286" s="138"/>
      <c r="E286" s="140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141"/>
      <c r="AO286" s="141"/>
      <c r="AP286" s="141"/>
      <c r="AQ286" s="141"/>
      <c r="AR286" s="141"/>
      <c r="AS286" s="141"/>
      <c r="AT286" s="141"/>
      <c r="AU286" s="141"/>
      <c r="AV286" s="141"/>
      <c r="AW286" s="141"/>
      <c r="AX286" s="141"/>
      <c r="AY286" s="141"/>
      <c r="AZ286" s="141"/>
      <c r="BA286" s="141"/>
      <c r="BB286" s="141"/>
      <c r="BC286" s="141"/>
      <c r="BD286" s="141"/>
      <c r="BE286" s="141"/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</row>
    <row r="287" ht="13.5" customHeight="1">
      <c r="A287" s="138"/>
      <c r="B287" s="139"/>
      <c r="C287" s="138"/>
      <c r="D287" s="138"/>
      <c r="E287" s="140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  <c r="AL287" s="141"/>
      <c r="AM287" s="141"/>
      <c r="AN287" s="141"/>
      <c r="AO287" s="141"/>
      <c r="AP287" s="141"/>
      <c r="AQ287" s="141"/>
      <c r="AR287" s="141"/>
      <c r="AS287" s="141"/>
      <c r="AT287" s="141"/>
      <c r="AU287" s="141"/>
      <c r="AV287" s="141"/>
      <c r="AW287" s="141"/>
      <c r="AX287" s="141"/>
      <c r="AY287" s="141"/>
      <c r="AZ287" s="141"/>
      <c r="BA287" s="141"/>
      <c r="BB287" s="141"/>
      <c r="BC287" s="141"/>
      <c r="BD287" s="141"/>
      <c r="BE287" s="141"/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</row>
    <row r="288" ht="13.5" customHeight="1">
      <c r="A288" s="138"/>
      <c r="B288" s="139"/>
      <c r="C288" s="138"/>
      <c r="D288" s="138"/>
      <c r="E288" s="140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  <c r="AM288" s="141"/>
      <c r="AN288" s="141"/>
      <c r="AO288" s="141"/>
      <c r="AP288" s="141"/>
      <c r="AQ288" s="141"/>
      <c r="AR288" s="141"/>
      <c r="AS288" s="141"/>
      <c r="AT288" s="141"/>
      <c r="AU288" s="141"/>
      <c r="AV288" s="141"/>
      <c r="AW288" s="141"/>
      <c r="AX288" s="141"/>
      <c r="AY288" s="141"/>
      <c r="AZ288" s="141"/>
      <c r="BA288" s="141"/>
      <c r="BB288" s="141"/>
      <c r="BC288" s="141"/>
      <c r="BD288" s="141"/>
      <c r="BE288" s="141"/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</row>
    <row r="289" ht="13.5" customHeight="1">
      <c r="A289" s="138"/>
      <c r="B289" s="139"/>
      <c r="C289" s="138"/>
      <c r="D289" s="138"/>
      <c r="E289" s="140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  <c r="AL289" s="141"/>
      <c r="AM289" s="141"/>
      <c r="AN289" s="141"/>
      <c r="AO289" s="141"/>
      <c r="AP289" s="141"/>
      <c r="AQ289" s="141"/>
      <c r="AR289" s="141"/>
      <c r="AS289" s="141"/>
      <c r="AT289" s="141"/>
      <c r="AU289" s="141"/>
      <c r="AV289" s="141"/>
      <c r="AW289" s="141"/>
      <c r="AX289" s="141"/>
      <c r="AY289" s="141"/>
      <c r="AZ289" s="141"/>
      <c r="BA289" s="141"/>
      <c r="BB289" s="141"/>
      <c r="BC289" s="141"/>
      <c r="BD289" s="141"/>
      <c r="BE289" s="141"/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</row>
    <row r="290" ht="13.5" customHeight="1">
      <c r="A290" s="138"/>
      <c r="B290" s="139"/>
      <c r="C290" s="138"/>
      <c r="D290" s="138"/>
      <c r="E290" s="140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  <c r="AO290" s="141"/>
      <c r="AP290" s="141"/>
      <c r="AQ290" s="141"/>
      <c r="AR290" s="141"/>
      <c r="AS290" s="141"/>
      <c r="AT290" s="141"/>
      <c r="AU290" s="141"/>
      <c r="AV290" s="141"/>
      <c r="AW290" s="141"/>
      <c r="AX290" s="141"/>
      <c r="AY290" s="141"/>
      <c r="AZ290" s="141"/>
      <c r="BA290" s="141"/>
      <c r="BB290" s="141"/>
      <c r="BC290" s="141"/>
      <c r="BD290" s="141"/>
      <c r="BE290" s="141"/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</row>
    <row r="291" ht="13.5" customHeight="1">
      <c r="A291" s="138"/>
      <c r="B291" s="139"/>
      <c r="C291" s="138"/>
      <c r="D291" s="138"/>
      <c r="E291" s="140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  <c r="AL291" s="141"/>
      <c r="AM291" s="141"/>
      <c r="AN291" s="141"/>
      <c r="AO291" s="141"/>
      <c r="AP291" s="141"/>
      <c r="AQ291" s="141"/>
      <c r="AR291" s="141"/>
      <c r="AS291" s="141"/>
      <c r="AT291" s="141"/>
      <c r="AU291" s="141"/>
      <c r="AV291" s="141"/>
      <c r="AW291" s="141"/>
      <c r="AX291" s="141"/>
      <c r="AY291" s="141"/>
      <c r="AZ291" s="141"/>
      <c r="BA291" s="141"/>
      <c r="BB291" s="141"/>
      <c r="BC291" s="141"/>
      <c r="BD291" s="141"/>
      <c r="BE291" s="141"/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</row>
    <row r="292" ht="13.5" customHeight="1">
      <c r="A292" s="138"/>
      <c r="B292" s="139"/>
      <c r="C292" s="138"/>
      <c r="D292" s="138"/>
      <c r="E292" s="140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  <c r="AM292" s="141"/>
      <c r="AN292" s="141"/>
      <c r="AO292" s="141"/>
      <c r="AP292" s="141"/>
      <c r="AQ292" s="141"/>
      <c r="AR292" s="141"/>
      <c r="AS292" s="141"/>
      <c r="AT292" s="141"/>
      <c r="AU292" s="141"/>
      <c r="AV292" s="141"/>
      <c r="AW292" s="141"/>
      <c r="AX292" s="141"/>
      <c r="AY292" s="141"/>
      <c r="AZ292" s="141"/>
      <c r="BA292" s="141"/>
      <c r="BB292" s="141"/>
      <c r="BC292" s="141"/>
      <c r="BD292" s="141"/>
      <c r="BE292" s="141"/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</row>
    <row r="293" ht="13.5" customHeight="1">
      <c r="A293" s="138"/>
      <c r="B293" s="139"/>
      <c r="C293" s="138"/>
      <c r="D293" s="138"/>
      <c r="E293" s="140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  <c r="AL293" s="141"/>
      <c r="AM293" s="141"/>
      <c r="AN293" s="141"/>
      <c r="AO293" s="141"/>
      <c r="AP293" s="141"/>
      <c r="AQ293" s="141"/>
      <c r="AR293" s="141"/>
      <c r="AS293" s="141"/>
      <c r="AT293" s="141"/>
      <c r="AU293" s="141"/>
      <c r="AV293" s="141"/>
      <c r="AW293" s="141"/>
      <c r="AX293" s="141"/>
      <c r="AY293" s="141"/>
      <c r="AZ293" s="141"/>
      <c r="BA293" s="141"/>
      <c r="BB293" s="141"/>
      <c r="BC293" s="141"/>
      <c r="BD293" s="141"/>
      <c r="BE293" s="141"/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</row>
    <row r="294" ht="13.5" customHeight="1">
      <c r="A294" s="138"/>
      <c r="B294" s="139"/>
      <c r="C294" s="138"/>
      <c r="D294" s="138"/>
      <c r="E294" s="140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  <c r="AL294" s="141"/>
      <c r="AM294" s="141"/>
      <c r="AN294" s="141"/>
      <c r="AO294" s="141"/>
      <c r="AP294" s="141"/>
      <c r="AQ294" s="141"/>
      <c r="AR294" s="141"/>
      <c r="AS294" s="141"/>
      <c r="AT294" s="141"/>
      <c r="AU294" s="141"/>
      <c r="AV294" s="141"/>
      <c r="AW294" s="141"/>
      <c r="AX294" s="141"/>
      <c r="AY294" s="141"/>
      <c r="AZ294" s="141"/>
      <c r="BA294" s="141"/>
      <c r="BB294" s="141"/>
      <c r="BC294" s="141"/>
      <c r="BD294" s="141"/>
      <c r="BE294" s="141"/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</row>
    <row r="295" ht="13.5" customHeight="1">
      <c r="A295" s="138"/>
      <c r="B295" s="139"/>
      <c r="C295" s="138"/>
      <c r="D295" s="138"/>
      <c r="E295" s="140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  <c r="AL295" s="141"/>
      <c r="AM295" s="141"/>
      <c r="AN295" s="141"/>
      <c r="AO295" s="141"/>
      <c r="AP295" s="141"/>
      <c r="AQ295" s="141"/>
      <c r="AR295" s="141"/>
      <c r="AS295" s="141"/>
      <c r="AT295" s="141"/>
      <c r="AU295" s="141"/>
      <c r="AV295" s="141"/>
      <c r="AW295" s="141"/>
      <c r="AX295" s="141"/>
      <c r="AY295" s="141"/>
      <c r="AZ295" s="141"/>
      <c r="BA295" s="141"/>
      <c r="BB295" s="141"/>
      <c r="BC295" s="141"/>
      <c r="BD295" s="141"/>
      <c r="BE295" s="141"/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</row>
    <row r="296" ht="13.5" customHeight="1">
      <c r="A296" s="138"/>
      <c r="B296" s="139"/>
      <c r="C296" s="138"/>
      <c r="D296" s="138"/>
      <c r="E296" s="140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  <c r="AO296" s="141"/>
      <c r="AP296" s="141"/>
      <c r="AQ296" s="141"/>
      <c r="AR296" s="141"/>
      <c r="AS296" s="141"/>
      <c r="AT296" s="141"/>
      <c r="AU296" s="141"/>
      <c r="AV296" s="141"/>
      <c r="AW296" s="141"/>
      <c r="AX296" s="141"/>
      <c r="AY296" s="141"/>
      <c r="AZ296" s="141"/>
      <c r="BA296" s="141"/>
      <c r="BB296" s="141"/>
      <c r="BC296" s="141"/>
      <c r="BD296" s="141"/>
      <c r="BE296" s="141"/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</row>
    <row r="297" ht="13.5" customHeight="1">
      <c r="A297" s="138"/>
      <c r="B297" s="139"/>
      <c r="C297" s="138"/>
      <c r="D297" s="138"/>
      <c r="E297" s="140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  <c r="AV297" s="141"/>
      <c r="AW297" s="141"/>
      <c r="AX297" s="141"/>
      <c r="AY297" s="141"/>
      <c r="AZ297" s="141"/>
      <c r="BA297" s="141"/>
      <c r="BB297" s="141"/>
      <c r="BC297" s="141"/>
      <c r="BD297" s="141"/>
      <c r="BE297" s="141"/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</row>
    <row r="298" ht="13.5" customHeight="1">
      <c r="A298" s="138"/>
      <c r="B298" s="139"/>
      <c r="C298" s="138"/>
      <c r="D298" s="138"/>
      <c r="E298" s="140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141"/>
      <c r="AO298" s="141"/>
      <c r="AP298" s="141"/>
      <c r="AQ298" s="141"/>
      <c r="AR298" s="141"/>
      <c r="AS298" s="141"/>
      <c r="AT298" s="141"/>
      <c r="AU298" s="141"/>
      <c r="AV298" s="141"/>
      <c r="AW298" s="141"/>
      <c r="AX298" s="141"/>
      <c r="AY298" s="141"/>
      <c r="AZ298" s="141"/>
      <c r="BA298" s="141"/>
      <c r="BB298" s="141"/>
      <c r="BC298" s="141"/>
      <c r="BD298" s="141"/>
      <c r="BE298" s="141"/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</row>
    <row r="299" ht="13.5" customHeight="1">
      <c r="A299" s="138"/>
      <c r="B299" s="139"/>
      <c r="C299" s="138"/>
      <c r="D299" s="138"/>
      <c r="E299" s="140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  <c r="AM299" s="141"/>
      <c r="AN299" s="141"/>
      <c r="AO299" s="141"/>
      <c r="AP299" s="141"/>
      <c r="AQ299" s="141"/>
      <c r="AR299" s="141"/>
      <c r="AS299" s="141"/>
      <c r="AT299" s="141"/>
      <c r="AU299" s="141"/>
      <c r="AV299" s="141"/>
      <c r="AW299" s="141"/>
      <c r="AX299" s="141"/>
      <c r="AY299" s="141"/>
      <c r="AZ299" s="141"/>
      <c r="BA299" s="141"/>
      <c r="BB299" s="141"/>
      <c r="BC299" s="141"/>
      <c r="BD299" s="141"/>
      <c r="BE299" s="141"/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</row>
    <row r="300" ht="13.5" customHeight="1">
      <c r="A300" s="138"/>
      <c r="B300" s="139"/>
      <c r="C300" s="138"/>
      <c r="D300" s="138"/>
      <c r="E300" s="140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141"/>
      <c r="AO300" s="141"/>
      <c r="AP300" s="141"/>
      <c r="AQ300" s="141"/>
      <c r="AR300" s="141"/>
      <c r="AS300" s="141"/>
      <c r="AT300" s="141"/>
      <c r="AU300" s="141"/>
      <c r="AV300" s="141"/>
      <c r="AW300" s="141"/>
      <c r="AX300" s="141"/>
      <c r="AY300" s="141"/>
      <c r="AZ300" s="141"/>
      <c r="BA300" s="141"/>
      <c r="BB300" s="141"/>
      <c r="BC300" s="141"/>
      <c r="BD300" s="141"/>
      <c r="BE300" s="141"/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</row>
    <row r="301" ht="13.5" customHeight="1">
      <c r="A301" s="138"/>
      <c r="B301" s="139"/>
      <c r="C301" s="138"/>
      <c r="D301" s="138"/>
      <c r="E301" s="140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141"/>
      <c r="AO301" s="141"/>
      <c r="AP301" s="141"/>
      <c r="AQ301" s="141"/>
      <c r="AR301" s="141"/>
      <c r="AS301" s="141"/>
      <c r="AT301" s="141"/>
      <c r="AU301" s="141"/>
      <c r="AV301" s="141"/>
      <c r="AW301" s="141"/>
      <c r="AX301" s="141"/>
      <c r="AY301" s="141"/>
      <c r="AZ301" s="141"/>
      <c r="BA301" s="141"/>
      <c r="BB301" s="141"/>
      <c r="BC301" s="141"/>
      <c r="BD301" s="141"/>
      <c r="BE301" s="141"/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</row>
    <row r="302" ht="13.5" customHeight="1">
      <c r="A302" s="138"/>
      <c r="B302" s="139"/>
      <c r="C302" s="138"/>
      <c r="D302" s="138"/>
      <c r="E302" s="140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141"/>
      <c r="AO302" s="141"/>
      <c r="AP302" s="141"/>
      <c r="AQ302" s="141"/>
      <c r="AR302" s="141"/>
      <c r="AS302" s="141"/>
      <c r="AT302" s="141"/>
      <c r="AU302" s="141"/>
      <c r="AV302" s="141"/>
      <c r="AW302" s="141"/>
      <c r="AX302" s="141"/>
      <c r="AY302" s="141"/>
      <c r="AZ302" s="141"/>
      <c r="BA302" s="141"/>
      <c r="BB302" s="141"/>
      <c r="BC302" s="141"/>
      <c r="BD302" s="141"/>
      <c r="BE302" s="141"/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</row>
    <row r="303" ht="13.5" customHeight="1">
      <c r="A303" s="138"/>
      <c r="B303" s="139"/>
      <c r="C303" s="138"/>
      <c r="D303" s="138"/>
      <c r="E303" s="140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  <c r="AL303" s="141"/>
      <c r="AM303" s="141"/>
      <c r="AN303" s="141"/>
      <c r="AO303" s="141"/>
      <c r="AP303" s="141"/>
      <c r="AQ303" s="141"/>
      <c r="AR303" s="141"/>
      <c r="AS303" s="141"/>
      <c r="AT303" s="141"/>
      <c r="AU303" s="141"/>
      <c r="AV303" s="141"/>
      <c r="AW303" s="141"/>
      <c r="AX303" s="141"/>
      <c r="AY303" s="141"/>
      <c r="AZ303" s="141"/>
      <c r="BA303" s="141"/>
      <c r="BB303" s="141"/>
      <c r="BC303" s="141"/>
      <c r="BD303" s="141"/>
      <c r="BE303" s="141"/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</row>
    <row r="304" ht="13.5" customHeight="1">
      <c r="A304" s="138"/>
      <c r="B304" s="139"/>
      <c r="C304" s="138"/>
      <c r="D304" s="138"/>
      <c r="E304" s="140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  <c r="AM304" s="141"/>
      <c r="AN304" s="141"/>
      <c r="AO304" s="141"/>
      <c r="AP304" s="141"/>
      <c r="AQ304" s="141"/>
      <c r="AR304" s="141"/>
      <c r="AS304" s="141"/>
      <c r="AT304" s="141"/>
      <c r="AU304" s="141"/>
      <c r="AV304" s="141"/>
      <c r="AW304" s="141"/>
      <c r="AX304" s="141"/>
      <c r="AY304" s="141"/>
      <c r="AZ304" s="141"/>
      <c r="BA304" s="141"/>
      <c r="BB304" s="141"/>
      <c r="BC304" s="141"/>
      <c r="BD304" s="141"/>
      <c r="BE304" s="141"/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</row>
    <row r="305" ht="13.5" customHeight="1">
      <c r="A305" s="138"/>
      <c r="B305" s="139"/>
      <c r="C305" s="138"/>
      <c r="D305" s="138"/>
      <c r="E305" s="140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  <c r="AL305" s="141"/>
      <c r="AM305" s="141"/>
      <c r="AN305" s="141"/>
      <c r="AO305" s="141"/>
      <c r="AP305" s="141"/>
      <c r="AQ305" s="141"/>
      <c r="AR305" s="141"/>
      <c r="AS305" s="141"/>
      <c r="AT305" s="141"/>
      <c r="AU305" s="141"/>
      <c r="AV305" s="141"/>
      <c r="AW305" s="141"/>
      <c r="AX305" s="141"/>
      <c r="AY305" s="141"/>
      <c r="AZ305" s="141"/>
      <c r="BA305" s="141"/>
      <c r="BB305" s="141"/>
      <c r="BC305" s="141"/>
      <c r="BD305" s="141"/>
      <c r="BE305" s="141"/>
      <c r="BF305" s="141"/>
      <c r="BG305" s="141"/>
      <c r="BH305" s="141"/>
      <c r="BI305" s="141"/>
      <c r="BJ305" s="141"/>
      <c r="BK305" s="141"/>
      <c r="BL305" s="141"/>
      <c r="BM305" s="141"/>
      <c r="BN305" s="141"/>
      <c r="BO305" s="141"/>
    </row>
    <row r="306" ht="13.5" customHeight="1">
      <c r="A306" s="138"/>
      <c r="B306" s="139"/>
      <c r="C306" s="138"/>
      <c r="D306" s="138"/>
      <c r="E306" s="140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  <c r="AM306" s="141"/>
      <c r="AN306" s="141"/>
      <c r="AO306" s="141"/>
      <c r="AP306" s="141"/>
      <c r="AQ306" s="141"/>
      <c r="AR306" s="141"/>
      <c r="AS306" s="141"/>
      <c r="AT306" s="141"/>
      <c r="AU306" s="141"/>
      <c r="AV306" s="141"/>
      <c r="AW306" s="141"/>
      <c r="AX306" s="141"/>
      <c r="AY306" s="141"/>
      <c r="AZ306" s="141"/>
      <c r="BA306" s="141"/>
      <c r="BB306" s="141"/>
      <c r="BC306" s="141"/>
      <c r="BD306" s="141"/>
      <c r="BE306" s="141"/>
      <c r="BF306" s="141"/>
      <c r="BG306" s="141"/>
      <c r="BH306" s="141"/>
      <c r="BI306" s="141"/>
      <c r="BJ306" s="141"/>
      <c r="BK306" s="141"/>
      <c r="BL306" s="141"/>
      <c r="BM306" s="141"/>
      <c r="BN306" s="141"/>
      <c r="BO306" s="141"/>
    </row>
    <row r="307" ht="13.5" customHeight="1">
      <c r="A307" s="138"/>
      <c r="B307" s="139"/>
      <c r="C307" s="138"/>
      <c r="D307" s="138"/>
      <c r="E307" s="140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  <c r="AL307" s="141"/>
      <c r="AM307" s="141"/>
      <c r="AN307" s="141"/>
      <c r="AO307" s="141"/>
      <c r="AP307" s="141"/>
      <c r="AQ307" s="141"/>
      <c r="AR307" s="141"/>
      <c r="AS307" s="141"/>
      <c r="AT307" s="141"/>
      <c r="AU307" s="141"/>
      <c r="AV307" s="141"/>
      <c r="AW307" s="141"/>
      <c r="AX307" s="141"/>
      <c r="AY307" s="141"/>
      <c r="AZ307" s="141"/>
      <c r="BA307" s="141"/>
      <c r="BB307" s="141"/>
      <c r="BC307" s="141"/>
      <c r="BD307" s="141"/>
      <c r="BE307" s="141"/>
      <c r="BF307" s="141"/>
      <c r="BG307" s="141"/>
      <c r="BH307" s="141"/>
      <c r="BI307" s="141"/>
      <c r="BJ307" s="141"/>
      <c r="BK307" s="141"/>
      <c r="BL307" s="141"/>
      <c r="BM307" s="141"/>
      <c r="BN307" s="141"/>
      <c r="BO307" s="141"/>
    </row>
    <row r="308" ht="13.5" customHeight="1">
      <c r="A308" s="138"/>
      <c r="B308" s="139"/>
      <c r="C308" s="138"/>
      <c r="D308" s="138"/>
      <c r="E308" s="140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  <c r="AV308" s="141"/>
      <c r="AW308" s="141"/>
      <c r="AX308" s="141"/>
      <c r="AY308" s="141"/>
      <c r="AZ308" s="141"/>
      <c r="BA308" s="141"/>
      <c r="BB308" s="141"/>
      <c r="BC308" s="141"/>
      <c r="BD308" s="141"/>
      <c r="BE308" s="141"/>
      <c r="BF308" s="141"/>
      <c r="BG308" s="141"/>
      <c r="BH308" s="141"/>
      <c r="BI308" s="141"/>
      <c r="BJ308" s="141"/>
      <c r="BK308" s="141"/>
      <c r="BL308" s="141"/>
      <c r="BM308" s="141"/>
      <c r="BN308" s="141"/>
      <c r="BO308" s="141"/>
    </row>
    <row r="309" ht="13.5" customHeight="1">
      <c r="A309" s="138"/>
      <c r="B309" s="139"/>
      <c r="C309" s="138"/>
      <c r="D309" s="138"/>
      <c r="E309" s="140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  <c r="AL309" s="141"/>
      <c r="AM309" s="141"/>
      <c r="AN309" s="141"/>
      <c r="AO309" s="141"/>
      <c r="AP309" s="141"/>
      <c r="AQ309" s="141"/>
      <c r="AR309" s="141"/>
      <c r="AS309" s="141"/>
      <c r="AT309" s="141"/>
      <c r="AU309" s="141"/>
      <c r="AV309" s="141"/>
      <c r="AW309" s="141"/>
      <c r="AX309" s="141"/>
      <c r="AY309" s="141"/>
      <c r="AZ309" s="141"/>
      <c r="BA309" s="141"/>
      <c r="BB309" s="141"/>
      <c r="BC309" s="141"/>
      <c r="BD309" s="141"/>
      <c r="BE309" s="141"/>
      <c r="BF309" s="141"/>
      <c r="BG309" s="141"/>
      <c r="BH309" s="141"/>
      <c r="BI309" s="141"/>
      <c r="BJ309" s="141"/>
      <c r="BK309" s="141"/>
      <c r="BL309" s="141"/>
      <c r="BM309" s="141"/>
      <c r="BN309" s="141"/>
      <c r="BO309" s="141"/>
    </row>
    <row r="310" ht="13.5" customHeight="1">
      <c r="A310" s="138"/>
      <c r="B310" s="139"/>
      <c r="C310" s="138"/>
      <c r="D310" s="138"/>
      <c r="E310" s="140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N310" s="141"/>
      <c r="AO310" s="141"/>
      <c r="AP310" s="141"/>
      <c r="AQ310" s="141"/>
      <c r="AR310" s="141"/>
      <c r="AS310" s="141"/>
      <c r="AT310" s="141"/>
      <c r="AU310" s="141"/>
      <c r="AV310" s="141"/>
      <c r="AW310" s="141"/>
      <c r="AX310" s="141"/>
      <c r="AY310" s="141"/>
      <c r="AZ310" s="141"/>
      <c r="BA310" s="141"/>
      <c r="BB310" s="141"/>
      <c r="BC310" s="141"/>
      <c r="BD310" s="141"/>
      <c r="BE310" s="141"/>
      <c r="BF310" s="141"/>
      <c r="BG310" s="141"/>
      <c r="BH310" s="141"/>
      <c r="BI310" s="141"/>
      <c r="BJ310" s="141"/>
      <c r="BK310" s="141"/>
      <c r="BL310" s="141"/>
      <c r="BM310" s="141"/>
      <c r="BN310" s="141"/>
      <c r="BO310" s="141"/>
    </row>
    <row r="311" ht="13.5" customHeight="1">
      <c r="A311" s="138"/>
      <c r="B311" s="139"/>
      <c r="C311" s="138"/>
      <c r="D311" s="138"/>
      <c r="E311" s="140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  <c r="AL311" s="141"/>
      <c r="AM311" s="141"/>
      <c r="AN311" s="141"/>
      <c r="AO311" s="141"/>
      <c r="AP311" s="141"/>
      <c r="AQ311" s="141"/>
      <c r="AR311" s="141"/>
      <c r="AS311" s="141"/>
      <c r="AT311" s="141"/>
      <c r="AU311" s="141"/>
      <c r="AV311" s="141"/>
      <c r="AW311" s="141"/>
      <c r="AX311" s="141"/>
      <c r="AY311" s="141"/>
      <c r="AZ311" s="141"/>
      <c r="BA311" s="141"/>
      <c r="BB311" s="141"/>
      <c r="BC311" s="141"/>
      <c r="BD311" s="141"/>
      <c r="BE311" s="141"/>
      <c r="BF311" s="141"/>
      <c r="BG311" s="141"/>
      <c r="BH311" s="141"/>
      <c r="BI311" s="141"/>
      <c r="BJ311" s="141"/>
      <c r="BK311" s="141"/>
      <c r="BL311" s="141"/>
      <c r="BM311" s="141"/>
      <c r="BN311" s="141"/>
      <c r="BO311" s="141"/>
    </row>
    <row r="312" ht="13.5" customHeight="1">
      <c r="A312" s="138"/>
      <c r="B312" s="139"/>
      <c r="C312" s="138"/>
      <c r="D312" s="138"/>
      <c r="E312" s="140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  <c r="AL312" s="141"/>
      <c r="AM312" s="141"/>
      <c r="AN312" s="141"/>
      <c r="AO312" s="141"/>
      <c r="AP312" s="141"/>
      <c r="AQ312" s="141"/>
      <c r="AR312" s="141"/>
      <c r="AS312" s="141"/>
      <c r="AT312" s="141"/>
      <c r="AU312" s="141"/>
      <c r="AV312" s="141"/>
      <c r="AW312" s="141"/>
      <c r="AX312" s="141"/>
      <c r="AY312" s="141"/>
      <c r="AZ312" s="141"/>
      <c r="BA312" s="141"/>
      <c r="BB312" s="141"/>
      <c r="BC312" s="141"/>
      <c r="BD312" s="141"/>
      <c r="BE312" s="141"/>
      <c r="BF312" s="141"/>
      <c r="BG312" s="141"/>
      <c r="BH312" s="141"/>
      <c r="BI312" s="141"/>
      <c r="BJ312" s="141"/>
      <c r="BK312" s="141"/>
      <c r="BL312" s="141"/>
      <c r="BM312" s="141"/>
      <c r="BN312" s="141"/>
      <c r="BO312" s="141"/>
    </row>
    <row r="313" ht="13.5" customHeight="1">
      <c r="A313" s="138"/>
      <c r="B313" s="139"/>
      <c r="C313" s="138"/>
      <c r="D313" s="138"/>
      <c r="E313" s="140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  <c r="AL313" s="141"/>
      <c r="AM313" s="141"/>
      <c r="AN313" s="141"/>
      <c r="AO313" s="141"/>
      <c r="AP313" s="141"/>
      <c r="AQ313" s="141"/>
      <c r="AR313" s="141"/>
      <c r="AS313" s="141"/>
      <c r="AT313" s="141"/>
      <c r="AU313" s="141"/>
      <c r="AV313" s="141"/>
      <c r="AW313" s="141"/>
      <c r="AX313" s="141"/>
      <c r="AY313" s="141"/>
      <c r="AZ313" s="141"/>
      <c r="BA313" s="141"/>
      <c r="BB313" s="141"/>
      <c r="BC313" s="141"/>
      <c r="BD313" s="141"/>
      <c r="BE313" s="141"/>
      <c r="BF313" s="141"/>
      <c r="BG313" s="141"/>
      <c r="BH313" s="141"/>
      <c r="BI313" s="141"/>
      <c r="BJ313" s="141"/>
      <c r="BK313" s="141"/>
      <c r="BL313" s="141"/>
      <c r="BM313" s="141"/>
      <c r="BN313" s="141"/>
      <c r="BO313" s="141"/>
    </row>
    <row r="314" ht="13.5" customHeight="1">
      <c r="A314" s="138"/>
      <c r="B314" s="139"/>
      <c r="C314" s="138"/>
      <c r="D314" s="138"/>
      <c r="E314" s="140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  <c r="AL314" s="141"/>
      <c r="AM314" s="141"/>
      <c r="AN314" s="141"/>
      <c r="AO314" s="141"/>
      <c r="AP314" s="141"/>
      <c r="AQ314" s="141"/>
      <c r="AR314" s="141"/>
      <c r="AS314" s="141"/>
      <c r="AT314" s="141"/>
      <c r="AU314" s="141"/>
      <c r="AV314" s="141"/>
      <c r="AW314" s="141"/>
      <c r="AX314" s="141"/>
      <c r="AY314" s="141"/>
      <c r="AZ314" s="141"/>
      <c r="BA314" s="141"/>
      <c r="BB314" s="141"/>
      <c r="BC314" s="141"/>
      <c r="BD314" s="141"/>
      <c r="BE314" s="141"/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</row>
    <row r="315" ht="13.5" customHeight="1">
      <c r="A315" s="138"/>
      <c r="B315" s="139"/>
      <c r="C315" s="138"/>
      <c r="D315" s="138"/>
      <c r="E315" s="140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  <c r="AL315" s="141"/>
      <c r="AM315" s="141"/>
      <c r="AN315" s="141"/>
      <c r="AO315" s="141"/>
      <c r="AP315" s="141"/>
      <c r="AQ315" s="141"/>
      <c r="AR315" s="141"/>
      <c r="AS315" s="141"/>
      <c r="AT315" s="141"/>
      <c r="AU315" s="141"/>
      <c r="AV315" s="141"/>
      <c r="AW315" s="141"/>
      <c r="AX315" s="141"/>
      <c r="AY315" s="141"/>
      <c r="AZ315" s="141"/>
      <c r="BA315" s="141"/>
      <c r="BB315" s="141"/>
      <c r="BC315" s="141"/>
      <c r="BD315" s="141"/>
      <c r="BE315" s="141"/>
      <c r="BF315" s="141"/>
      <c r="BG315" s="141"/>
      <c r="BH315" s="141"/>
      <c r="BI315" s="141"/>
      <c r="BJ315" s="141"/>
      <c r="BK315" s="141"/>
      <c r="BL315" s="141"/>
      <c r="BM315" s="141"/>
      <c r="BN315" s="141"/>
      <c r="BO315" s="141"/>
    </row>
    <row r="316" ht="13.5" customHeight="1">
      <c r="A316" s="138"/>
      <c r="B316" s="139"/>
      <c r="C316" s="138"/>
      <c r="D316" s="138"/>
      <c r="E316" s="140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  <c r="AL316" s="141"/>
      <c r="AM316" s="141"/>
      <c r="AN316" s="141"/>
      <c r="AO316" s="141"/>
      <c r="AP316" s="141"/>
      <c r="AQ316" s="141"/>
      <c r="AR316" s="141"/>
      <c r="AS316" s="141"/>
      <c r="AT316" s="141"/>
      <c r="AU316" s="141"/>
      <c r="AV316" s="141"/>
      <c r="AW316" s="141"/>
      <c r="AX316" s="141"/>
      <c r="AY316" s="141"/>
      <c r="AZ316" s="141"/>
      <c r="BA316" s="141"/>
      <c r="BB316" s="141"/>
      <c r="BC316" s="141"/>
      <c r="BD316" s="141"/>
      <c r="BE316" s="141"/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</row>
    <row r="317" ht="13.5" customHeight="1">
      <c r="A317" s="138"/>
      <c r="B317" s="139"/>
      <c r="C317" s="138"/>
      <c r="D317" s="138"/>
      <c r="E317" s="140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  <c r="AL317" s="141"/>
      <c r="AM317" s="141"/>
      <c r="AN317" s="141"/>
      <c r="AO317" s="141"/>
      <c r="AP317" s="141"/>
      <c r="AQ317" s="141"/>
      <c r="AR317" s="141"/>
      <c r="AS317" s="141"/>
      <c r="AT317" s="141"/>
      <c r="AU317" s="141"/>
      <c r="AV317" s="141"/>
      <c r="AW317" s="141"/>
      <c r="AX317" s="141"/>
      <c r="AY317" s="141"/>
      <c r="AZ317" s="141"/>
      <c r="BA317" s="141"/>
      <c r="BB317" s="141"/>
      <c r="BC317" s="141"/>
      <c r="BD317" s="141"/>
      <c r="BE317" s="141"/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</row>
    <row r="318" ht="13.5" customHeight="1">
      <c r="A318" s="138"/>
      <c r="B318" s="139"/>
      <c r="C318" s="138"/>
      <c r="D318" s="138"/>
      <c r="E318" s="140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  <c r="AL318" s="141"/>
      <c r="AM318" s="141"/>
      <c r="AN318" s="141"/>
      <c r="AO318" s="141"/>
      <c r="AP318" s="141"/>
      <c r="AQ318" s="141"/>
      <c r="AR318" s="141"/>
      <c r="AS318" s="141"/>
      <c r="AT318" s="141"/>
      <c r="AU318" s="141"/>
      <c r="AV318" s="141"/>
      <c r="AW318" s="141"/>
      <c r="AX318" s="141"/>
      <c r="AY318" s="141"/>
      <c r="AZ318" s="141"/>
      <c r="BA318" s="141"/>
      <c r="BB318" s="141"/>
      <c r="BC318" s="141"/>
      <c r="BD318" s="141"/>
      <c r="BE318" s="141"/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</row>
    <row r="319" ht="13.5" customHeight="1">
      <c r="A319" s="138"/>
      <c r="B319" s="139"/>
      <c r="C319" s="138"/>
      <c r="D319" s="138"/>
      <c r="E319" s="140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  <c r="AL319" s="141"/>
      <c r="AM319" s="141"/>
      <c r="AN319" s="141"/>
      <c r="AO319" s="141"/>
      <c r="AP319" s="141"/>
      <c r="AQ319" s="141"/>
      <c r="AR319" s="141"/>
      <c r="AS319" s="141"/>
      <c r="AT319" s="141"/>
      <c r="AU319" s="141"/>
      <c r="AV319" s="141"/>
      <c r="AW319" s="141"/>
      <c r="AX319" s="141"/>
      <c r="AY319" s="141"/>
      <c r="AZ319" s="141"/>
      <c r="BA319" s="141"/>
      <c r="BB319" s="141"/>
      <c r="BC319" s="141"/>
      <c r="BD319" s="141"/>
      <c r="BE319" s="141"/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</row>
    <row r="320" ht="13.5" customHeight="1">
      <c r="A320" s="138"/>
      <c r="B320" s="139"/>
      <c r="C320" s="138"/>
      <c r="D320" s="138"/>
      <c r="E320" s="140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  <c r="AL320" s="141"/>
      <c r="AM320" s="141"/>
      <c r="AN320" s="141"/>
      <c r="AO320" s="141"/>
      <c r="AP320" s="141"/>
      <c r="AQ320" s="141"/>
      <c r="AR320" s="141"/>
      <c r="AS320" s="141"/>
      <c r="AT320" s="141"/>
      <c r="AU320" s="141"/>
      <c r="AV320" s="141"/>
      <c r="AW320" s="141"/>
      <c r="AX320" s="141"/>
      <c r="AY320" s="141"/>
      <c r="AZ320" s="141"/>
      <c r="BA320" s="141"/>
      <c r="BB320" s="141"/>
      <c r="BC320" s="141"/>
      <c r="BD320" s="141"/>
      <c r="BE320" s="141"/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</row>
    <row r="321" ht="13.5" customHeight="1">
      <c r="A321" s="138"/>
      <c r="B321" s="139"/>
      <c r="C321" s="138"/>
      <c r="D321" s="138"/>
      <c r="E321" s="140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  <c r="AL321" s="141"/>
      <c r="AM321" s="141"/>
      <c r="AN321" s="141"/>
      <c r="AO321" s="141"/>
      <c r="AP321" s="141"/>
      <c r="AQ321" s="141"/>
      <c r="AR321" s="141"/>
      <c r="AS321" s="141"/>
      <c r="AT321" s="141"/>
      <c r="AU321" s="141"/>
      <c r="AV321" s="141"/>
      <c r="AW321" s="141"/>
      <c r="AX321" s="141"/>
      <c r="AY321" s="141"/>
      <c r="AZ321" s="141"/>
      <c r="BA321" s="141"/>
      <c r="BB321" s="141"/>
      <c r="BC321" s="141"/>
      <c r="BD321" s="141"/>
      <c r="BE321" s="141"/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</row>
    <row r="322" ht="13.5" customHeight="1">
      <c r="A322" s="138"/>
      <c r="B322" s="139"/>
      <c r="C322" s="138"/>
      <c r="D322" s="138"/>
      <c r="E322" s="140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  <c r="AL322" s="141"/>
      <c r="AM322" s="141"/>
      <c r="AN322" s="141"/>
      <c r="AO322" s="141"/>
      <c r="AP322" s="141"/>
      <c r="AQ322" s="141"/>
      <c r="AR322" s="141"/>
      <c r="AS322" s="141"/>
      <c r="AT322" s="141"/>
      <c r="AU322" s="141"/>
      <c r="AV322" s="141"/>
      <c r="AW322" s="141"/>
      <c r="AX322" s="141"/>
      <c r="AY322" s="141"/>
      <c r="AZ322" s="141"/>
      <c r="BA322" s="141"/>
      <c r="BB322" s="141"/>
      <c r="BC322" s="141"/>
      <c r="BD322" s="141"/>
      <c r="BE322" s="141"/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</row>
    <row r="323" ht="13.5" customHeight="1">
      <c r="A323" s="138"/>
      <c r="B323" s="139"/>
      <c r="C323" s="138"/>
      <c r="D323" s="138"/>
      <c r="E323" s="140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  <c r="AL323" s="141"/>
      <c r="AM323" s="141"/>
      <c r="AN323" s="141"/>
      <c r="AO323" s="141"/>
      <c r="AP323" s="141"/>
      <c r="AQ323" s="141"/>
      <c r="AR323" s="141"/>
      <c r="AS323" s="141"/>
      <c r="AT323" s="141"/>
      <c r="AU323" s="141"/>
      <c r="AV323" s="141"/>
      <c r="AW323" s="141"/>
      <c r="AX323" s="141"/>
      <c r="AY323" s="141"/>
      <c r="AZ323" s="141"/>
      <c r="BA323" s="141"/>
      <c r="BB323" s="141"/>
      <c r="BC323" s="141"/>
      <c r="BD323" s="141"/>
      <c r="BE323" s="141"/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</row>
    <row r="324" ht="13.5" customHeight="1">
      <c r="A324" s="138"/>
      <c r="B324" s="139"/>
      <c r="C324" s="138"/>
      <c r="D324" s="138"/>
      <c r="E324" s="140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  <c r="AL324" s="141"/>
      <c r="AM324" s="141"/>
      <c r="AN324" s="141"/>
      <c r="AO324" s="141"/>
      <c r="AP324" s="141"/>
      <c r="AQ324" s="141"/>
      <c r="AR324" s="141"/>
      <c r="AS324" s="141"/>
      <c r="AT324" s="141"/>
      <c r="AU324" s="141"/>
      <c r="AV324" s="141"/>
      <c r="AW324" s="141"/>
      <c r="AX324" s="141"/>
      <c r="AY324" s="141"/>
      <c r="AZ324" s="141"/>
      <c r="BA324" s="141"/>
      <c r="BB324" s="141"/>
      <c r="BC324" s="141"/>
      <c r="BD324" s="141"/>
      <c r="BE324" s="141"/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</row>
    <row r="325" ht="13.5" customHeight="1">
      <c r="A325" s="138"/>
      <c r="B325" s="139"/>
      <c r="C325" s="138"/>
      <c r="D325" s="138"/>
      <c r="E325" s="140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/>
      <c r="AM325" s="141"/>
      <c r="AN325" s="141"/>
      <c r="AO325" s="141"/>
      <c r="AP325" s="141"/>
      <c r="AQ325" s="141"/>
      <c r="AR325" s="141"/>
      <c r="AS325" s="141"/>
      <c r="AT325" s="141"/>
      <c r="AU325" s="141"/>
      <c r="AV325" s="141"/>
      <c r="AW325" s="141"/>
      <c r="AX325" s="141"/>
      <c r="AY325" s="141"/>
      <c r="AZ325" s="141"/>
      <c r="BA325" s="141"/>
      <c r="BB325" s="141"/>
      <c r="BC325" s="141"/>
      <c r="BD325" s="141"/>
      <c r="BE325" s="141"/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</row>
    <row r="326" ht="13.5" customHeight="1">
      <c r="A326" s="138"/>
      <c r="B326" s="139"/>
      <c r="C326" s="138"/>
      <c r="D326" s="138"/>
      <c r="E326" s="140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  <c r="AM326" s="141"/>
      <c r="AN326" s="141"/>
      <c r="AO326" s="141"/>
      <c r="AP326" s="141"/>
      <c r="AQ326" s="141"/>
      <c r="AR326" s="141"/>
      <c r="AS326" s="141"/>
      <c r="AT326" s="141"/>
      <c r="AU326" s="141"/>
      <c r="AV326" s="141"/>
      <c r="AW326" s="141"/>
      <c r="AX326" s="141"/>
      <c r="AY326" s="141"/>
      <c r="AZ326" s="141"/>
      <c r="BA326" s="141"/>
      <c r="BB326" s="141"/>
      <c r="BC326" s="141"/>
      <c r="BD326" s="141"/>
      <c r="BE326" s="141"/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</row>
    <row r="327" ht="13.5" customHeight="1">
      <c r="A327" s="138"/>
      <c r="B327" s="139"/>
      <c r="C327" s="138"/>
      <c r="D327" s="138"/>
      <c r="E327" s="140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/>
      <c r="AM327" s="141"/>
      <c r="AN327" s="141"/>
      <c r="AO327" s="141"/>
      <c r="AP327" s="141"/>
      <c r="AQ327" s="141"/>
      <c r="AR327" s="141"/>
      <c r="AS327" s="141"/>
      <c r="AT327" s="141"/>
      <c r="AU327" s="141"/>
      <c r="AV327" s="141"/>
      <c r="AW327" s="141"/>
      <c r="AX327" s="141"/>
      <c r="AY327" s="141"/>
      <c r="AZ327" s="141"/>
      <c r="BA327" s="141"/>
      <c r="BB327" s="141"/>
      <c r="BC327" s="141"/>
      <c r="BD327" s="141"/>
      <c r="BE327" s="141"/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</row>
    <row r="328" ht="13.5" customHeight="1">
      <c r="A328" s="138"/>
      <c r="B328" s="139"/>
      <c r="C328" s="138"/>
      <c r="D328" s="138"/>
      <c r="E328" s="140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  <c r="AL328" s="141"/>
      <c r="AM328" s="141"/>
      <c r="AN328" s="141"/>
      <c r="AO328" s="141"/>
      <c r="AP328" s="141"/>
      <c r="AQ328" s="141"/>
      <c r="AR328" s="141"/>
      <c r="AS328" s="141"/>
      <c r="AT328" s="141"/>
      <c r="AU328" s="141"/>
      <c r="AV328" s="141"/>
      <c r="AW328" s="141"/>
      <c r="AX328" s="141"/>
      <c r="AY328" s="141"/>
      <c r="AZ328" s="141"/>
      <c r="BA328" s="141"/>
      <c r="BB328" s="141"/>
      <c r="BC328" s="141"/>
      <c r="BD328" s="141"/>
      <c r="BE328" s="141"/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</row>
    <row r="329" ht="13.5" customHeight="1">
      <c r="A329" s="138"/>
      <c r="B329" s="139"/>
      <c r="C329" s="138"/>
      <c r="D329" s="138"/>
      <c r="E329" s="140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  <c r="AL329" s="141"/>
      <c r="AM329" s="141"/>
      <c r="AN329" s="141"/>
      <c r="AO329" s="141"/>
      <c r="AP329" s="141"/>
      <c r="AQ329" s="141"/>
      <c r="AR329" s="141"/>
      <c r="AS329" s="141"/>
      <c r="AT329" s="141"/>
      <c r="AU329" s="141"/>
      <c r="AV329" s="141"/>
      <c r="AW329" s="141"/>
      <c r="AX329" s="141"/>
      <c r="AY329" s="141"/>
      <c r="AZ329" s="141"/>
      <c r="BA329" s="141"/>
      <c r="BB329" s="141"/>
      <c r="BC329" s="141"/>
      <c r="BD329" s="141"/>
      <c r="BE329" s="141"/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</row>
    <row r="330" ht="13.5" customHeight="1">
      <c r="A330" s="138"/>
      <c r="B330" s="139"/>
      <c r="C330" s="138"/>
      <c r="D330" s="138"/>
      <c r="E330" s="140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  <c r="AL330" s="141"/>
      <c r="AM330" s="141"/>
      <c r="AN330" s="141"/>
      <c r="AO330" s="141"/>
      <c r="AP330" s="141"/>
      <c r="AQ330" s="141"/>
      <c r="AR330" s="141"/>
      <c r="AS330" s="141"/>
      <c r="AT330" s="141"/>
      <c r="AU330" s="141"/>
      <c r="AV330" s="141"/>
      <c r="AW330" s="141"/>
      <c r="AX330" s="141"/>
      <c r="AY330" s="141"/>
      <c r="AZ330" s="141"/>
      <c r="BA330" s="141"/>
      <c r="BB330" s="141"/>
      <c r="BC330" s="141"/>
      <c r="BD330" s="141"/>
      <c r="BE330" s="141"/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</row>
    <row r="331" ht="13.5" customHeight="1">
      <c r="A331" s="138"/>
      <c r="B331" s="139"/>
      <c r="C331" s="138"/>
      <c r="D331" s="138"/>
      <c r="E331" s="140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/>
      <c r="AM331" s="141"/>
      <c r="AN331" s="141"/>
      <c r="AO331" s="141"/>
      <c r="AP331" s="141"/>
      <c r="AQ331" s="141"/>
      <c r="AR331" s="141"/>
      <c r="AS331" s="141"/>
      <c r="AT331" s="141"/>
      <c r="AU331" s="141"/>
      <c r="AV331" s="141"/>
      <c r="AW331" s="141"/>
      <c r="AX331" s="141"/>
      <c r="AY331" s="141"/>
      <c r="AZ331" s="141"/>
      <c r="BA331" s="141"/>
      <c r="BB331" s="141"/>
      <c r="BC331" s="141"/>
      <c r="BD331" s="141"/>
      <c r="BE331" s="141"/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</row>
    <row r="332" ht="13.5" customHeight="1">
      <c r="A332" s="138"/>
      <c r="B332" s="139"/>
      <c r="C332" s="138"/>
      <c r="D332" s="138"/>
      <c r="E332" s="140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  <c r="AM332" s="141"/>
      <c r="AN332" s="141"/>
      <c r="AO332" s="141"/>
      <c r="AP332" s="141"/>
      <c r="AQ332" s="141"/>
      <c r="AR332" s="141"/>
      <c r="AS332" s="141"/>
      <c r="AT332" s="141"/>
      <c r="AU332" s="141"/>
      <c r="AV332" s="141"/>
      <c r="AW332" s="141"/>
      <c r="AX332" s="141"/>
      <c r="AY332" s="141"/>
      <c r="AZ332" s="141"/>
      <c r="BA332" s="141"/>
      <c r="BB332" s="141"/>
      <c r="BC332" s="141"/>
      <c r="BD332" s="141"/>
      <c r="BE332" s="141"/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</row>
    <row r="333" ht="13.5" customHeight="1">
      <c r="A333" s="138"/>
      <c r="B333" s="139"/>
      <c r="C333" s="138"/>
      <c r="D333" s="138"/>
      <c r="E333" s="140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  <c r="AL333" s="141"/>
      <c r="AM333" s="141"/>
      <c r="AN333" s="141"/>
      <c r="AO333" s="141"/>
      <c r="AP333" s="141"/>
      <c r="AQ333" s="141"/>
      <c r="AR333" s="141"/>
      <c r="AS333" s="141"/>
      <c r="AT333" s="141"/>
      <c r="AU333" s="141"/>
      <c r="AV333" s="141"/>
      <c r="AW333" s="141"/>
      <c r="AX333" s="141"/>
      <c r="AY333" s="141"/>
      <c r="AZ333" s="141"/>
      <c r="BA333" s="141"/>
      <c r="BB333" s="141"/>
      <c r="BC333" s="141"/>
      <c r="BD333" s="141"/>
      <c r="BE333" s="141"/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</row>
    <row r="334" ht="13.5" customHeight="1">
      <c r="A334" s="138"/>
      <c r="B334" s="139"/>
      <c r="C334" s="138"/>
      <c r="D334" s="138"/>
      <c r="E334" s="140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  <c r="AL334" s="141"/>
      <c r="AM334" s="141"/>
      <c r="AN334" s="141"/>
      <c r="AO334" s="141"/>
      <c r="AP334" s="141"/>
      <c r="AQ334" s="141"/>
      <c r="AR334" s="141"/>
      <c r="AS334" s="141"/>
      <c r="AT334" s="141"/>
      <c r="AU334" s="141"/>
      <c r="AV334" s="141"/>
      <c r="AW334" s="141"/>
      <c r="AX334" s="141"/>
      <c r="AY334" s="141"/>
      <c r="AZ334" s="141"/>
      <c r="BA334" s="141"/>
      <c r="BB334" s="141"/>
      <c r="BC334" s="141"/>
      <c r="BD334" s="141"/>
      <c r="BE334" s="141"/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</row>
    <row r="335" ht="13.5" customHeight="1">
      <c r="A335" s="138"/>
      <c r="B335" s="139"/>
      <c r="C335" s="138"/>
      <c r="D335" s="138"/>
      <c r="E335" s="140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  <c r="AL335" s="141"/>
      <c r="AM335" s="141"/>
      <c r="AN335" s="141"/>
      <c r="AO335" s="141"/>
      <c r="AP335" s="141"/>
      <c r="AQ335" s="141"/>
      <c r="AR335" s="141"/>
      <c r="AS335" s="141"/>
      <c r="AT335" s="141"/>
      <c r="AU335" s="141"/>
      <c r="AV335" s="141"/>
      <c r="AW335" s="141"/>
      <c r="AX335" s="141"/>
      <c r="AY335" s="141"/>
      <c r="AZ335" s="141"/>
      <c r="BA335" s="141"/>
      <c r="BB335" s="141"/>
      <c r="BC335" s="141"/>
      <c r="BD335" s="141"/>
      <c r="BE335" s="141"/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</row>
    <row r="336" ht="13.5" customHeight="1">
      <c r="A336" s="138"/>
      <c r="B336" s="139"/>
      <c r="C336" s="138"/>
      <c r="D336" s="138"/>
      <c r="E336" s="140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  <c r="AL336" s="141"/>
      <c r="AM336" s="141"/>
      <c r="AN336" s="141"/>
      <c r="AO336" s="141"/>
      <c r="AP336" s="141"/>
      <c r="AQ336" s="141"/>
      <c r="AR336" s="141"/>
      <c r="AS336" s="141"/>
      <c r="AT336" s="141"/>
      <c r="AU336" s="141"/>
      <c r="AV336" s="141"/>
      <c r="AW336" s="141"/>
      <c r="AX336" s="141"/>
      <c r="AY336" s="141"/>
      <c r="AZ336" s="141"/>
      <c r="BA336" s="141"/>
      <c r="BB336" s="141"/>
      <c r="BC336" s="141"/>
      <c r="BD336" s="141"/>
      <c r="BE336" s="141"/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</row>
    <row r="337" ht="13.5" customHeight="1">
      <c r="A337" s="138"/>
      <c r="B337" s="139"/>
      <c r="C337" s="138"/>
      <c r="D337" s="138"/>
      <c r="E337" s="140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/>
      <c r="AM337" s="141"/>
      <c r="AN337" s="141"/>
      <c r="AO337" s="141"/>
      <c r="AP337" s="141"/>
      <c r="AQ337" s="141"/>
      <c r="AR337" s="141"/>
      <c r="AS337" s="141"/>
      <c r="AT337" s="141"/>
      <c r="AU337" s="141"/>
      <c r="AV337" s="141"/>
      <c r="AW337" s="141"/>
      <c r="AX337" s="141"/>
      <c r="AY337" s="141"/>
      <c r="AZ337" s="141"/>
      <c r="BA337" s="141"/>
      <c r="BB337" s="141"/>
      <c r="BC337" s="141"/>
      <c r="BD337" s="141"/>
      <c r="BE337" s="141"/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</row>
    <row r="338" ht="13.5" customHeight="1">
      <c r="A338" s="138"/>
      <c r="B338" s="139"/>
      <c r="C338" s="138"/>
      <c r="D338" s="138"/>
      <c r="E338" s="140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  <c r="AM338" s="141"/>
      <c r="AN338" s="141"/>
      <c r="AO338" s="141"/>
      <c r="AP338" s="141"/>
      <c r="AQ338" s="141"/>
      <c r="AR338" s="141"/>
      <c r="AS338" s="141"/>
      <c r="AT338" s="141"/>
      <c r="AU338" s="141"/>
      <c r="AV338" s="141"/>
      <c r="AW338" s="141"/>
      <c r="AX338" s="141"/>
      <c r="AY338" s="141"/>
      <c r="AZ338" s="141"/>
      <c r="BA338" s="141"/>
      <c r="BB338" s="141"/>
      <c r="BC338" s="141"/>
      <c r="BD338" s="141"/>
      <c r="BE338" s="141"/>
      <c r="BF338" s="141"/>
      <c r="BG338" s="141"/>
      <c r="BH338" s="141"/>
      <c r="BI338" s="141"/>
      <c r="BJ338" s="141"/>
      <c r="BK338" s="141"/>
      <c r="BL338" s="141"/>
      <c r="BM338" s="141"/>
      <c r="BN338" s="141"/>
      <c r="BO338" s="141"/>
    </row>
    <row r="339" ht="13.5" customHeight="1">
      <c r="A339" s="138"/>
      <c r="B339" s="139"/>
      <c r="C339" s="138"/>
      <c r="D339" s="138"/>
      <c r="E339" s="140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  <c r="AL339" s="141"/>
      <c r="AM339" s="141"/>
      <c r="AN339" s="141"/>
      <c r="AO339" s="141"/>
      <c r="AP339" s="141"/>
      <c r="AQ339" s="141"/>
      <c r="AR339" s="141"/>
      <c r="AS339" s="141"/>
      <c r="AT339" s="141"/>
      <c r="AU339" s="141"/>
      <c r="AV339" s="141"/>
      <c r="AW339" s="141"/>
      <c r="AX339" s="141"/>
      <c r="AY339" s="141"/>
      <c r="AZ339" s="141"/>
      <c r="BA339" s="141"/>
      <c r="BB339" s="141"/>
      <c r="BC339" s="141"/>
      <c r="BD339" s="141"/>
      <c r="BE339" s="141"/>
      <c r="BF339" s="141"/>
      <c r="BG339" s="141"/>
      <c r="BH339" s="141"/>
      <c r="BI339" s="141"/>
      <c r="BJ339" s="141"/>
      <c r="BK339" s="141"/>
      <c r="BL339" s="141"/>
      <c r="BM339" s="141"/>
      <c r="BN339" s="141"/>
      <c r="BO339" s="141"/>
    </row>
    <row r="340" ht="13.5" customHeight="1">
      <c r="A340" s="138"/>
      <c r="B340" s="139"/>
      <c r="C340" s="138"/>
      <c r="D340" s="138"/>
      <c r="E340" s="140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  <c r="AL340" s="141"/>
      <c r="AM340" s="141"/>
      <c r="AN340" s="141"/>
      <c r="AO340" s="141"/>
      <c r="AP340" s="141"/>
      <c r="AQ340" s="141"/>
      <c r="AR340" s="141"/>
      <c r="AS340" s="141"/>
      <c r="AT340" s="141"/>
      <c r="AU340" s="141"/>
      <c r="AV340" s="141"/>
      <c r="AW340" s="141"/>
      <c r="AX340" s="141"/>
      <c r="AY340" s="141"/>
      <c r="AZ340" s="141"/>
      <c r="BA340" s="141"/>
      <c r="BB340" s="141"/>
      <c r="BC340" s="141"/>
      <c r="BD340" s="141"/>
      <c r="BE340" s="141"/>
      <c r="BF340" s="141"/>
      <c r="BG340" s="141"/>
      <c r="BH340" s="141"/>
      <c r="BI340" s="141"/>
      <c r="BJ340" s="141"/>
      <c r="BK340" s="141"/>
      <c r="BL340" s="141"/>
      <c r="BM340" s="141"/>
      <c r="BN340" s="141"/>
      <c r="BO340" s="141"/>
    </row>
    <row r="341" ht="13.5" customHeight="1">
      <c r="A341" s="138"/>
      <c r="B341" s="139"/>
      <c r="C341" s="138"/>
      <c r="D341" s="138"/>
      <c r="E341" s="140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  <c r="AL341" s="141"/>
      <c r="AM341" s="141"/>
      <c r="AN341" s="141"/>
      <c r="AO341" s="141"/>
      <c r="AP341" s="141"/>
      <c r="AQ341" s="141"/>
      <c r="AR341" s="141"/>
      <c r="AS341" s="141"/>
      <c r="AT341" s="141"/>
      <c r="AU341" s="141"/>
      <c r="AV341" s="141"/>
      <c r="AW341" s="141"/>
      <c r="AX341" s="141"/>
      <c r="AY341" s="141"/>
      <c r="AZ341" s="141"/>
      <c r="BA341" s="141"/>
      <c r="BB341" s="141"/>
      <c r="BC341" s="141"/>
      <c r="BD341" s="141"/>
      <c r="BE341" s="141"/>
      <c r="BF341" s="141"/>
      <c r="BG341" s="141"/>
      <c r="BH341" s="141"/>
      <c r="BI341" s="141"/>
      <c r="BJ341" s="141"/>
      <c r="BK341" s="141"/>
      <c r="BL341" s="141"/>
      <c r="BM341" s="141"/>
      <c r="BN341" s="141"/>
      <c r="BO341" s="141"/>
    </row>
    <row r="342" ht="13.5" customHeight="1">
      <c r="A342" s="138"/>
      <c r="B342" s="139"/>
      <c r="C342" s="138"/>
      <c r="D342" s="138"/>
      <c r="E342" s="140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  <c r="AL342" s="141"/>
      <c r="AM342" s="141"/>
      <c r="AN342" s="141"/>
      <c r="AO342" s="141"/>
      <c r="AP342" s="141"/>
      <c r="AQ342" s="141"/>
      <c r="AR342" s="141"/>
      <c r="AS342" s="141"/>
      <c r="AT342" s="141"/>
      <c r="AU342" s="141"/>
      <c r="AV342" s="141"/>
      <c r="AW342" s="141"/>
      <c r="AX342" s="141"/>
      <c r="AY342" s="141"/>
      <c r="AZ342" s="141"/>
      <c r="BA342" s="141"/>
      <c r="BB342" s="141"/>
      <c r="BC342" s="141"/>
      <c r="BD342" s="141"/>
      <c r="BE342" s="141"/>
      <c r="BF342" s="141"/>
      <c r="BG342" s="141"/>
      <c r="BH342" s="141"/>
      <c r="BI342" s="141"/>
      <c r="BJ342" s="141"/>
      <c r="BK342" s="141"/>
      <c r="BL342" s="141"/>
      <c r="BM342" s="141"/>
      <c r="BN342" s="141"/>
      <c r="BO342" s="141"/>
    </row>
    <row r="343" ht="13.5" customHeight="1">
      <c r="A343" s="138"/>
      <c r="B343" s="139"/>
      <c r="C343" s="138"/>
      <c r="D343" s="138"/>
      <c r="E343" s="140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  <c r="AL343" s="141"/>
      <c r="AM343" s="141"/>
      <c r="AN343" s="141"/>
      <c r="AO343" s="141"/>
      <c r="AP343" s="141"/>
      <c r="AQ343" s="141"/>
      <c r="AR343" s="141"/>
      <c r="AS343" s="141"/>
      <c r="AT343" s="141"/>
      <c r="AU343" s="141"/>
      <c r="AV343" s="141"/>
      <c r="AW343" s="141"/>
      <c r="AX343" s="141"/>
      <c r="AY343" s="141"/>
      <c r="AZ343" s="141"/>
      <c r="BA343" s="141"/>
      <c r="BB343" s="141"/>
      <c r="BC343" s="141"/>
      <c r="BD343" s="141"/>
      <c r="BE343" s="141"/>
      <c r="BF343" s="141"/>
      <c r="BG343" s="141"/>
      <c r="BH343" s="141"/>
      <c r="BI343" s="141"/>
      <c r="BJ343" s="141"/>
      <c r="BK343" s="141"/>
      <c r="BL343" s="141"/>
      <c r="BM343" s="141"/>
      <c r="BN343" s="141"/>
      <c r="BO343" s="141"/>
    </row>
    <row r="344" ht="13.5" customHeight="1">
      <c r="A344" s="138"/>
      <c r="B344" s="139"/>
      <c r="C344" s="138"/>
      <c r="D344" s="138"/>
      <c r="E344" s="140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  <c r="AM344" s="141"/>
      <c r="AN344" s="141"/>
      <c r="AO344" s="141"/>
      <c r="AP344" s="141"/>
      <c r="AQ344" s="141"/>
      <c r="AR344" s="141"/>
      <c r="AS344" s="141"/>
      <c r="AT344" s="141"/>
      <c r="AU344" s="141"/>
      <c r="AV344" s="141"/>
      <c r="AW344" s="141"/>
      <c r="AX344" s="141"/>
      <c r="AY344" s="141"/>
      <c r="AZ344" s="141"/>
      <c r="BA344" s="141"/>
      <c r="BB344" s="141"/>
      <c r="BC344" s="141"/>
      <c r="BD344" s="141"/>
      <c r="BE344" s="141"/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</row>
    <row r="345" ht="13.5" customHeight="1">
      <c r="A345" s="138"/>
      <c r="B345" s="139"/>
      <c r="C345" s="138"/>
      <c r="D345" s="138"/>
      <c r="E345" s="140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  <c r="AM345" s="141"/>
      <c r="AN345" s="141"/>
      <c r="AO345" s="141"/>
      <c r="AP345" s="141"/>
      <c r="AQ345" s="141"/>
      <c r="AR345" s="141"/>
      <c r="AS345" s="141"/>
      <c r="AT345" s="141"/>
      <c r="AU345" s="141"/>
      <c r="AV345" s="141"/>
      <c r="AW345" s="141"/>
      <c r="AX345" s="141"/>
      <c r="AY345" s="141"/>
      <c r="AZ345" s="141"/>
      <c r="BA345" s="141"/>
      <c r="BB345" s="141"/>
      <c r="BC345" s="141"/>
      <c r="BD345" s="141"/>
      <c r="BE345" s="141"/>
      <c r="BF345" s="141"/>
      <c r="BG345" s="141"/>
      <c r="BH345" s="141"/>
      <c r="BI345" s="141"/>
      <c r="BJ345" s="141"/>
      <c r="BK345" s="141"/>
      <c r="BL345" s="141"/>
      <c r="BM345" s="141"/>
      <c r="BN345" s="141"/>
      <c r="BO345" s="141"/>
    </row>
    <row r="346" ht="13.5" customHeight="1">
      <c r="A346" s="138"/>
      <c r="B346" s="139"/>
      <c r="C346" s="138"/>
      <c r="D346" s="138"/>
      <c r="E346" s="140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  <c r="AM346" s="141"/>
      <c r="AN346" s="141"/>
      <c r="AO346" s="141"/>
      <c r="AP346" s="141"/>
      <c r="AQ346" s="141"/>
      <c r="AR346" s="141"/>
      <c r="AS346" s="141"/>
      <c r="AT346" s="141"/>
      <c r="AU346" s="141"/>
      <c r="AV346" s="141"/>
      <c r="AW346" s="141"/>
      <c r="AX346" s="141"/>
      <c r="AY346" s="141"/>
      <c r="AZ346" s="141"/>
      <c r="BA346" s="141"/>
      <c r="BB346" s="141"/>
      <c r="BC346" s="141"/>
      <c r="BD346" s="141"/>
      <c r="BE346" s="141"/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</row>
    <row r="347" ht="13.5" customHeight="1">
      <c r="A347" s="138"/>
      <c r="B347" s="139"/>
      <c r="C347" s="138"/>
      <c r="D347" s="138"/>
      <c r="E347" s="140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  <c r="AL347" s="141"/>
      <c r="AM347" s="141"/>
      <c r="AN347" s="141"/>
      <c r="AO347" s="141"/>
      <c r="AP347" s="141"/>
      <c r="AQ347" s="141"/>
      <c r="AR347" s="141"/>
      <c r="AS347" s="141"/>
      <c r="AT347" s="141"/>
      <c r="AU347" s="141"/>
      <c r="AV347" s="141"/>
      <c r="AW347" s="141"/>
      <c r="AX347" s="141"/>
      <c r="AY347" s="141"/>
      <c r="AZ347" s="141"/>
      <c r="BA347" s="141"/>
      <c r="BB347" s="141"/>
      <c r="BC347" s="141"/>
      <c r="BD347" s="141"/>
      <c r="BE347" s="141"/>
      <c r="BF347" s="141"/>
      <c r="BG347" s="141"/>
      <c r="BH347" s="141"/>
      <c r="BI347" s="141"/>
      <c r="BJ347" s="141"/>
      <c r="BK347" s="141"/>
      <c r="BL347" s="141"/>
      <c r="BM347" s="141"/>
      <c r="BN347" s="141"/>
      <c r="BO347" s="141"/>
    </row>
    <row r="348" ht="13.5" customHeight="1">
      <c r="A348" s="138"/>
      <c r="B348" s="139"/>
      <c r="C348" s="138"/>
      <c r="D348" s="138"/>
      <c r="E348" s="140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  <c r="AL348" s="141"/>
      <c r="AM348" s="141"/>
      <c r="AN348" s="141"/>
      <c r="AO348" s="141"/>
      <c r="AP348" s="141"/>
      <c r="AQ348" s="141"/>
      <c r="AR348" s="141"/>
      <c r="AS348" s="141"/>
      <c r="AT348" s="141"/>
      <c r="AU348" s="141"/>
      <c r="AV348" s="141"/>
      <c r="AW348" s="141"/>
      <c r="AX348" s="141"/>
      <c r="AY348" s="141"/>
      <c r="AZ348" s="141"/>
      <c r="BA348" s="141"/>
      <c r="BB348" s="141"/>
      <c r="BC348" s="141"/>
      <c r="BD348" s="141"/>
      <c r="BE348" s="141"/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</row>
    <row r="349" ht="13.5" customHeight="1">
      <c r="A349" s="138"/>
      <c r="B349" s="139"/>
      <c r="C349" s="138"/>
      <c r="D349" s="138"/>
      <c r="E349" s="140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/>
      <c r="AM349" s="141"/>
      <c r="AN349" s="141"/>
      <c r="AO349" s="141"/>
      <c r="AP349" s="141"/>
      <c r="AQ349" s="141"/>
      <c r="AR349" s="141"/>
      <c r="AS349" s="141"/>
      <c r="AT349" s="141"/>
      <c r="AU349" s="141"/>
      <c r="AV349" s="141"/>
      <c r="AW349" s="141"/>
      <c r="AX349" s="141"/>
      <c r="AY349" s="141"/>
      <c r="AZ349" s="141"/>
      <c r="BA349" s="141"/>
      <c r="BB349" s="141"/>
      <c r="BC349" s="141"/>
      <c r="BD349" s="141"/>
      <c r="BE349" s="141"/>
      <c r="BF349" s="141"/>
      <c r="BG349" s="141"/>
      <c r="BH349" s="141"/>
      <c r="BI349" s="141"/>
      <c r="BJ349" s="141"/>
      <c r="BK349" s="141"/>
      <c r="BL349" s="141"/>
      <c r="BM349" s="141"/>
      <c r="BN349" s="141"/>
      <c r="BO349" s="141"/>
    </row>
    <row r="350" ht="13.5" customHeight="1">
      <c r="A350" s="138"/>
      <c r="B350" s="139"/>
      <c r="C350" s="138"/>
      <c r="D350" s="138"/>
      <c r="E350" s="140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  <c r="AL350" s="141"/>
      <c r="AM350" s="141"/>
      <c r="AN350" s="141"/>
      <c r="AO350" s="141"/>
      <c r="AP350" s="141"/>
      <c r="AQ350" s="141"/>
      <c r="AR350" s="141"/>
      <c r="AS350" s="141"/>
      <c r="AT350" s="141"/>
      <c r="AU350" s="141"/>
      <c r="AV350" s="141"/>
      <c r="AW350" s="141"/>
      <c r="AX350" s="141"/>
      <c r="AY350" s="141"/>
      <c r="AZ350" s="141"/>
      <c r="BA350" s="141"/>
      <c r="BB350" s="141"/>
      <c r="BC350" s="141"/>
      <c r="BD350" s="141"/>
      <c r="BE350" s="141"/>
      <c r="BF350" s="141"/>
      <c r="BG350" s="141"/>
      <c r="BH350" s="141"/>
      <c r="BI350" s="141"/>
      <c r="BJ350" s="141"/>
      <c r="BK350" s="141"/>
      <c r="BL350" s="141"/>
      <c r="BM350" s="141"/>
      <c r="BN350" s="141"/>
      <c r="BO350" s="141"/>
    </row>
    <row r="351" ht="13.5" customHeight="1">
      <c r="A351" s="138"/>
      <c r="B351" s="139"/>
      <c r="C351" s="138"/>
      <c r="D351" s="138"/>
      <c r="E351" s="140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  <c r="AL351" s="141"/>
      <c r="AM351" s="141"/>
      <c r="AN351" s="141"/>
      <c r="AO351" s="141"/>
      <c r="AP351" s="141"/>
      <c r="AQ351" s="141"/>
      <c r="AR351" s="141"/>
      <c r="AS351" s="141"/>
      <c r="AT351" s="141"/>
      <c r="AU351" s="141"/>
      <c r="AV351" s="141"/>
      <c r="AW351" s="141"/>
      <c r="AX351" s="141"/>
      <c r="AY351" s="141"/>
      <c r="AZ351" s="141"/>
      <c r="BA351" s="141"/>
      <c r="BB351" s="141"/>
      <c r="BC351" s="141"/>
      <c r="BD351" s="141"/>
      <c r="BE351" s="141"/>
      <c r="BF351" s="141"/>
      <c r="BG351" s="141"/>
      <c r="BH351" s="141"/>
      <c r="BI351" s="141"/>
      <c r="BJ351" s="141"/>
      <c r="BK351" s="141"/>
      <c r="BL351" s="141"/>
      <c r="BM351" s="141"/>
      <c r="BN351" s="141"/>
      <c r="BO351" s="141"/>
    </row>
    <row r="352" ht="13.5" customHeight="1">
      <c r="A352" s="138"/>
      <c r="B352" s="139"/>
      <c r="C352" s="138"/>
      <c r="D352" s="138"/>
      <c r="E352" s="140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  <c r="AL352" s="141"/>
      <c r="AM352" s="141"/>
      <c r="AN352" s="141"/>
      <c r="AO352" s="141"/>
      <c r="AP352" s="141"/>
      <c r="AQ352" s="141"/>
      <c r="AR352" s="141"/>
      <c r="AS352" s="141"/>
      <c r="AT352" s="141"/>
      <c r="AU352" s="141"/>
      <c r="AV352" s="141"/>
      <c r="AW352" s="141"/>
      <c r="AX352" s="141"/>
      <c r="AY352" s="141"/>
      <c r="AZ352" s="141"/>
      <c r="BA352" s="141"/>
      <c r="BB352" s="141"/>
      <c r="BC352" s="141"/>
      <c r="BD352" s="141"/>
      <c r="BE352" s="141"/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</row>
    <row r="353" ht="13.5" customHeight="1">
      <c r="A353" s="138"/>
      <c r="B353" s="139"/>
      <c r="C353" s="138"/>
      <c r="D353" s="138"/>
      <c r="E353" s="140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  <c r="AL353" s="141"/>
      <c r="AM353" s="141"/>
      <c r="AN353" s="141"/>
      <c r="AO353" s="141"/>
      <c r="AP353" s="141"/>
      <c r="AQ353" s="141"/>
      <c r="AR353" s="141"/>
      <c r="AS353" s="141"/>
      <c r="AT353" s="141"/>
      <c r="AU353" s="141"/>
      <c r="AV353" s="141"/>
      <c r="AW353" s="141"/>
      <c r="AX353" s="141"/>
      <c r="AY353" s="141"/>
      <c r="AZ353" s="141"/>
      <c r="BA353" s="141"/>
      <c r="BB353" s="141"/>
      <c r="BC353" s="141"/>
      <c r="BD353" s="141"/>
      <c r="BE353" s="141"/>
      <c r="BF353" s="141"/>
      <c r="BG353" s="141"/>
      <c r="BH353" s="141"/>
      <c r="BI353" s="141"/>
      <c r="BJ353" s="141"/>
      <c r="BK353" s="141"/>
      <c r="BL353" s="141"/>
      <c r="BM353" s="141"/>
      <c r="BN353" s="141"/>
      <c r="BO353" s="141"/>
    </row>
    <row r="354" ht="13.5" customHeight="1">
      <c r="A354" s="138"/>
      <c r="B354" s="139"/>
      <c r="C354" s="138"/>
      <c r="D354" s="138"/>
      <c r="E354" s="140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  <c r="AL354" s="141"/>
      <c r="AM354" s="141"/>
      <c r="AN354" s="141"/>
      <c r="AO354" s="141"/>
      <c r="AP354" s="141"/>
      <c r="AQ354" s="141"/>
      <c r="AR354" s="141"/>
      <c r="AS354" s="141"/>
      <c r="AT354" s="141"/>
      <c r="AU354" s="141"/>
      <c r="AV354" s="141"/>
      <c r="AW354" s="141"/>
      <c r="AX354" s="141"/>
      <c r="AY354" s="141"/>
      <c r="AZ354" s="141"/>
      <c r="BA354" s="141"/>
      <c r="BB354" s="141"/>
      <c r="BC354" s="141"/>
      <c r="BD354" s="141"/>
      <c r="BE354" s="141"/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</row>
    <row r="355" ht="13.5" customHeight="1">
      <c r="A355" s="138"/>
      <c r="B355" s="139"/>
      <c r="C355" s="138"/>
      <c r="D355" s="138"/>
      <c r="E355" s="140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  <c r="AL355" s="141"/>
      <c r="AM355" s="141"/>
      <c r="AN355" s="141"/>
      <c r="AO355" s="141"/>
      <c r="AP355" s="141"/>
      <c r="AQ355" s="141"/>
      <c r="AR355" s="141"/>
      <c r="AS355" s="141"/>
      <c r="AT355" s="141"/>
      <c r="AU355" s="141"/>
      <c r="AV355" s="141"/>
      <c r="AW355" s="141"/>
      <c r="AX355" s="141"/>
      <c r="AY355" s="141"/>
      <c r="AZ355" s="141"/>
      <c r="BA355" s="141"/>
      <c r="BB355" s="141"/>
      <c r="BC355" s="141"/>
      <c r="BD355" s="141"/>
      <c r="BE355" s="141"/>
      <c r="BF355" s="141"/>
      <c r="BG355" s="141"/>
      <c r="BH355" s="141"/>
      <c r="BI355" s="141"/>
      <c r="BJ355" s="141"/>
      <c r="BK355" s="141"/>
      <c r="BL355" s="141"/>
      <c r="BM355" s="141"/>
      <c r="BN355" s="141"/>
      <c r="BO355" s="141"/>
    </row>
    <row r="356" ht="13.5" customHeight="1">
      <c r="A356" s="138"/>
      <c r="B356" s="139"/>
      <c r="C356" s="138"/>
      <c r="D356" s="138"/>
      <c r="E356" s="140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  <c r="AL356" s="141"/>
      <c r="AM356" s="141"/>
      <c r="AN356" s="141"/>
      <c r="AO356" s="141"/>
      <c r="AP356" s="141"/>
      <c r="AQ356" s="141"/>
      <c r="AR356" s="141"/>
      <c r="AS356" s="141"/>
      <c r="AT356" s="141"/>
      <c r="AU356" s="141"/>
      <c r="AV356" s="141"/>
      <c r="AW356" s="141"/>
      <c r="AX356" s="141"/>
      <c r="AY356" s="141"/>
      <c r="AZ356" s="141"/>
      <c r="BA356" s="141"/>
      <c r="BB356" s="141"/>
      <c r="BC356" s="141"/>
      <c r="BD356" s="141"/>
      <c r="BE356" s="141"/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</row>
    <row r="357" ht="13.5" customHeight="1">
      <c r="A357" s="138"/>
      <c r="B357" s="139"/>
      <c r="C357" s="138"/>
      <c r="D357" s="138"/>
      <c r="E357" s="140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  <c r="AL357" s="141"/>
      <c r="AM357" s="141"/>
      <c r="AN357" s="141"/>
      <c r="AO357" s="141"/>
      <c r="AP357" s="141"/>
      <c r="AQ357" s="141"/>
      <c r="AR357" s="141"/>
      <c r="AS357" s="141"/>
      <c r="AT357" s="141"/>
      <c r="AU357" s="141"/>
      <c r="AV357" s="141"/>
      <c r="AW357" s="141"/>
      <c r="AX357" s="141"/>
      <c r="AY357" s="141"/>
      <c r="AZ357" s="141"/>
      <c r="BA357" s="141"/>
      <c r="BB357" s="141"/>
      <c r="BC357" s="141"/>
      <c r="BD357" s="141"/>
      <c r="BE357" s="141"/>
      <c r="BF357" s="141"/>
      <c r="BG357" s="141"/>
      <c r="BH357" s="141"/>
      <c r="BI357" s="141"/>
      <c r="BJ357" s="141"/>
      <c r="BK357" s="141"/>
      <c r="BL357" s="141"/>
      <c r="BM357" s="141"/>
      <c r="BN357" s="141"/>
      <c r="BO357" s="141"/>
    </row>
    <row r="358" ht="13.5" customHeight="1">
      <c r="A358" s="138"/>
      <c r="B358" s="139"/>
      <c r="C358" s="138"/>
      <c r="D358" s="138"/>
      <c r="E358" s="140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  <c r="AL358" s="141"/>
      <c r="AM358" s="141"/>
      <c r="AN358" s="141"/>
      <c r="AO358" s="141"/>
      <c r="AP358" s="141"/>
      <c r="AQ358" s="141"/>
      <c r="AR358" s="141"/>
      <c r="AS358" s="141"/>
      <c r="AT358" s="141"/>
      <c r="AU358" s="141"/>
      <c r="AV358" s="141"/>
      <c r="AW358" s="141"/>
      <c r="AX358" s="141"/>
      <c r="AY358" s="141"/>
      <c r="AZ358" s="141"/>
      <c r="BA358" s="141"/>
      <c r="BB358" s="141"/>
      <c r="BC358" s="141"/>
      <c r="BD358" s="141"/>
      <c r="BE358" s="141"/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</row>
    <row r="359" ht="13.5" customHeight="1">
      <c r="A359" s="138"/>
      <c r="B359" s="139"/>
      <c r="C359" s="138"/>
      <c r="D359" s="138"/>
      <c r="E359" s="140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  <c r="AL359" s="141"/>
      <c r="AM359" s="141"/>
      <c r="AN359" s="141"/>
      <c r="AO359" s="141"/>
      <c r="AP359" s="141"/>
      <c r="AQ359" s="141"/>
      <c r="AR359" s="141"/>
      <c r="AS359" s="141"/>
      <c r="AT359" s="141"/>
      <c r="AU359" s="141"/>
      <c r="AV359" s="141"/>
      <c r="AW359" s="141"/>
      <c r="AX359" s="141"/>
      <c r="AY359" s="141"/>
      <c r="AZ359" s="141"/>
      <c r="BA359" s="141"/>
      <c r="BB359" s="141"/>
      <c r="BC359" s="141"/>
      <c r="BD359" s="141"/>
      <c r="BE359" s="141"/>
      <c r="BF359" s="141"/>
      <c r="BG359" s="141"/>
      <c r="BH359" s="141"/>
      <c r="BI359" s="141"/>
      <c r="BJ359" s="141"/>
      <c r="BK359" s="141"/>
      <c r="BL359" s="141"/>
      <c r="BM359" s="141"/>
      <c r="BN359" s="141"/>
      <c r="BO359" s="141"/>
    </row>
    <row r="360" ht="13.5" customHeight="1">
      <c r="A360" s="138"/>
      <c r="B360" s="139"/>
      <c r="C360" s="138"/>
      <c r="D360" s="138"/>
      <c r="E360" s="140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  <c r="AL360" s="141"/>
      <c r="AM360" s="141"/>
      <c r="AN360" s="141"/>
      <c r="AO360" s="141"/>
      <c r="AP360" s="141"/>
      <c r="AQ360" s="141"/>
      <c r="AR360" s="141"/>
      <c r="AS360" s="141"/>
      <c r="AT360" s="141"/>
      <c r="AU360" s="141"/>
      <c r="AV360" s="141"/>
      <c r="AW360" s="141"/>
      <c r="AX360" s="141"/>
      <c r="AY360" s="141"/>
      <c r="AZ360" s="141"/>
      <c r="BA360" s="141"/>
      <c r="BB360" s="141"/>
      <c r="BC360" s="141"/>
      <c r="BD360" s="141"/>
      <c r="BE360" s="141"/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</row>
    <row r="361" ht="13.5" customHeight="1">
      <c r="A361" s="138"/>
      <c r="B361" s="139"/>
      <c r="C361" s="138"/>
      <c r="D361" s="138"/>
      <c r="E361" s="140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  <c r="AL361" s="141"/>
      <c r="AM361" s="141"/>
      <c r="AN361" s="141"/>
      <c r="AO361" s="141"/>
      <c r="AP361" s="141"/>
      <c r="AQ361" s="141"/>
      <c r="AR361" s="141"/>
      <c r="AS361" s="141"/>
      <c r="AT361" s="141"/>
      <c r="AU361" s="141"/>
      <c r="AV361" s="141"/>
      <c r="AW361" s="141"/>
      <c r="AX361" s="141"/>
      <c r="AY361" s="141"/>
      <c r="AZ361" s="141"/>
      <c r="BA361" s="141"/>
      <c r="BB361" s="141"/>
      <c r="BC361" s="141"/>
      <c r="BD361" s="141"/>
      <c r="BE361" s="141"/>
      <c r="BF361" s="141"/>
      <c r="BG361" s="141"/>
      <c r="BH361" s="141"/>
      <c r="BI361" s="141"/>
      <c r="BJ361" s="141"/>
      <c r="BK361" s="141"/>
      <c r="BL361" s="141"/>
      <c r="BM361" s="141"/>
      <c r="BN361" s="141"/>
      <c r="BO361" s="141"/>
    </row>
    <row r="362" ht="13.5" customHeight="1">
      <c r="A362" s="138"/>
      <c r="B362" s="139"/>
      <c r="C362" s="138"/>
      <c r="D362" s="138"/>
      <c r="E362" s="140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41"/>
      <c r="AM362" s="141"/>
      <c r="AN362" s="141"/>
      <c r="AO362" s="141"/>
      <c r="AP362" s="141"/>
      <c r="AQ362" s="141"/>
      <c r="AR362" s="141"/>
      <c r="AS362" s="141"/>
      <c r="AT362" s="141"/>
      <c r="AU362" s="141"/>
      <c r="AV362" s="141"/>
      <c r="AW362" s="141"/>
      <c r="AX362" s="141"/>
      <c r="AY362" s="141"/>
      <c r="AZ362" s="141"/>
      <c r="BA362" s="141"/>
      <c r="BB362" s="141"/>
      <c r="BC362" s="141"/>
      <c r="BD362" s="141"/>
      <c r="BE362" s="141"/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</row>
    <row r="363" ht="13.5" customHeight="1">
      <c r="A363" s="138"/>
      <c r="B363" s="139"/>
      <c r="C363" s="138"/>
      <c r="D363" s="138"/>
      <c r="E363" s="140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1"/>
      <c r="AM363" s="141"/>
      <c r="AN363" s="141"/>
      <c r="AO363" s="141"/>
      <c r="AP363" s="141"/>
      <c r="AQ363" s="141"/>
      <c r="AR363" s="141"/>
      <c r="AS363" s="141"/>
      <c r="AT363" s="141"/>
      <c r="AU363" s="141"/>
      <c r="AV363" s="141"/>
      <c r="AW363" s="141"/>
      <c r="AX363" s="141"/>
      <c r="AY363" s="141"/>
      <c r="AZ363" s="141"/>
      <c r="BA363" s="141"/>
      <c r="BB363" s="141"/>
      <c r="BC363" s="141"/>
      <c r="BD363" s="141"/>
      <c r="BE363" s="141"/>
      <c r="BF363" s="141"/>
      <c r="BG363" s="141"/>
      <c r="BH363" s="141"/>
      <c r="BI363" s="141"/>
      <c r="BJ363" s="141"/>
      <c r="BK363" s="141"/>
      <c r="BL363" s="141"/>
      <c r="BM363" s="141"/>
      <c r="BN363" s="141"/>
      <c r="BO363" s="141"/>
    </row>
    <row r="364" ht="13.5" customHeight="1">
      <c r="A364" s="138"/>
      <c r="B364" s="139"/>
      <c r="C364" s="138"/>
      <c r="D364" s="138"/>
      <c r="E364" s="140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1"/>
      <c r="AM364" s="141"/>
      <c r="AN364" s="141"/>
      <c r="AO364" s="141"/>
      <c r="AP364" s="141"/>
      <c r="AQ364" s="141"/>
      <c r="AR364" s="141"/>
      <c r="AS364" s="141"/>
      <c r="AT364" s="141"/>
      <c r="AU364" s="141"/>
      <c r="AV364" s="141"/>
      <c r="AW364" s="141"/>
      <c r="AX364" s="141"/>
      <c r="AY364" s="141"/>
      <c r="AZ364" s="141"/>
      <c r="BA364" s="141"/>
      <c r="BB364" s="141"/>
      <c r="BC364" s="141"/>
      <c r="BD364" s="141"/>
      <c r="BE364" s="141"/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</row>
    <row r="365" ht="13.5" customHeight="1">
      <c r="A365" s="138"/>
      <c r="B365" s="139"/>
      <c r="C365" s="138"/>
      <c r="D365" s="138"/>
      <c r="E365" s="140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1"/>
      <c r="AM365" s="141"/>
      <c r="AN365" s="141"/>
      <c r="AO365" s="141"/>
      <c r="AP365" s="141"/>
      <c r="AQ365" s="141"/>
      <c r="AR365" s="141"/>
      <c r="AS365" s="141"/>
      <c r="AT365" s="141"/>
      <c r="AU365" s="141"/>
      <c r="AV365" s="141"/>
      <c r="AW365" s="141"/>
      <c r="AX365" s="141"/>
      <c r="AY365" s="141"/>
      <c r="AZ365" s="141"/>
      <c r="BA365" s="141"/>
      <c r="BB365" s="141"/>
      <c r="BC365" s="141"/>
      <c r="BD365" s="141"/>
      <c r="BE365" s="141"/>
      <c r="BF365" s="141"/>
      <c r="BG365" s="141"/>
      <c r="BH365" s="141"/>
      <c r="BI365" s="141"/>
      <c r="BJ365" s="141"/>
      <c r="BK365" s="141"/>
      <c r="BL365" s="141"/>
      <c r="BM365" s="141"/>
      <c r="BN365" s="141"/>
      <c r="BO365" s="141"/>
    </row>
    <row r="366" ht="13.5" customHeight="1">
      <c r="A366" s="138"/>
      <c r="B366" s="139"/>
      <c r="C366" s="138"/>
      <c r="D366" s="138"/>
      <c r="E366" s="140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41"/>
      <c r="AM366" s="141"/>
      <c r="AN366" s="141"/>
      <c r="AO366" s="141"/>
      <c r="AP366" s="141"/>
      <c r="AQ366" s="141"/>
      <c r="AR366" s="141"/>
      <c r="AS366" s="141"/>
      <c r="AT366" s="141"/>
      <c r="AU366" s="141"/>
      <c r="AV366" s="141"/>
      <c r="AW366" s="141"/>
      <c r="AX366" s="141"/>
      <c r="AY366" s="141"/>
      <c r="AZ366" s="141"/>
      <c r="BA366" s="141"/>
      <c r="BB366" s="141"/>
      <c r="BC366" s="141"/>
      <c r="BD366" s="141"/>
      <c r="BE366" s="141"/>
      <c r="BF366" s="141"/>
      <c r="BG366" s="141"/>
      <c r="BH366" s="141"/>
      <c r="BI366" s="141"/>
      <c r="BJ366" s="141"/>
      <c r="BK366" s="141"/>
      <c r="BL366" s="141"/>
      <c r="BM366" s="141"/>
      <c r="BN366" s="141"/>
      <c r="BO366" s="141"/>
    </row>
    <row r="367" ht="13.5" customHeight="1">
      <c r="A367" s="138"/>
      <c r="B367" s="139"/>
      <c r="C367" s="138"/>
      <c r="D367" s="138"/>
      <c r="E367" s="140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/>
      <c r="AM367" s="141"/>
      <c r="AN367" s="141"/>
      <c r="AO367" s="141"/>
      <c r="AP367" s="141"/>
      <c r="AQ367" s="141"/>
      <c r="AR367" s="141"/>
      <c r="AS367" s="141"/>
      <c r="AT367" s="141"/>
      <c r="AU367" s="141"/>
      <c r="AV367" s="141"/>
      <c r="AW367" s="141"/>
      <c r="AX367" s="141"/>
      <c r="AY367" s="141"/>
      <c r="AZ367" s="141"/>
      <c r="BA367" s="141"/>
      <c r="BB367" s="141"/>
      <c r="BC367" s="141"/>
      <c r="BD367" s="141"/>
      <c r="BE367" s="141"/>
      <c r="BF367" s="141"/>
      <c r="BG367" s="141"/>
      <c r="BH367" s="141"/>
      <c r="BI367" s="141"/>
      <c r="BJ367" s="141"/>
      <c r="BK367" s="141"/>
      <c r="BL367" s="141"/>
      <c r="BM367" s="141"/>
      <c r="BN367" s="141"/>
      <c r="BO367" s="141"/>
    </row>
    <row r="368" ht="13.5" customHeight="1">
      <c r="A368" s="138"/>
      <c r="B368" s="139"/>
      <c r="C368" s="138"/>
      <c r="D368" s="138"/>
      <c r="E368" s="140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41"/>
      <c r="AM368" s="141"/>
      <c r="AN368" s="141"/>
      <c r="AO368" s="141"/>
      <c r="AP368" s="141"/>
      <c r="AQ368" s="141"/>
      <c r="AR368" s="141"/>
      <c r="AS368" s="141"/>
      <c r="AT368" s="141"/>
      <c r="AU368" s="141"/>
      <c r="AV368" s="141"/>
      <c r="AW368" s="141"/>
      <c r="AX368" s="141"/>
      <c r="AY368" s="141"/>
      <c r="AZ368" s="141"/>
      <c r="BA368" s="141"/>
      <c r="BB368" s="141"/>
      <c r="BC368" s="141"/>
      <c r="BD368" s="141"/>
      <c r="BE368" s="141"/>
      <c r="BF368" s="141"/>
      <c r="BG368" s="141"/>
      <c r="BH368" s="141"/>
      <c r="BI368" s="141"/>
      <c r="BJ368" s="141"/>
      <c r="BK368" s="141"/>
      <c r="BL368" s="141"/>
      <c r="BM368" s="141"/>
      <c r="BN368" s="141"/>
      <c r="BO368" s="141"/>
    </row>
    <row r="369" ht="13.5" customHeight="1">
      <c r="A369" s="138"/>
      <c r="B369" s="139"/>
      <c r="C369" s="138"/>
      <c r="D369" s="138"/>
      <c r="E369" s="140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41"/>
      <c r="AM369" s="141"/>
      <c r="AN369" s="141"/>
      <c r="AO369" s="141"/>
      <c r="AP369" s="141"/>
      <c r="AQ369" s="141"/>
      <c r="AR369" s="141"/>
      <c r="AS369" s="141"/>
      <c r="AT369" s="141"/>
      <c r="AU369" s="141"/>
      <c r="AV369" s="141"/>
      <c r="AW369" s="141"/>
      <c r="AX369" s="141"/>
      <c r="AY369" s="141"/>
      <c r="AZ369" s="141"/>
      <c r="BA369" s="141"/>
      <c r="BB369" s="141"/>
      <c r="BC369" s="141"/>
      <c r="BD369" s="141"/>
      <c r="BE369" s="141"/>
      <c r="BF369" s="141"/>
      <c r="BG369" s="141"/>
      <c r="BH369" s="141"/>
      <c r="BI369" s="141"/>
      <c r="BJ369" s="141"/>
      <c r="BK369" s="141"/>
      <c r="BL369" s="141"/>
      <c r="BM369" s="141"/>
      <c r="BN369" s="141"/>
      <c r="BO369" s="141"/>
    </row>
    <row r="370" ht="13.5" customHeight="1">
      <c r="A370" s="138"/>
      <c r="B370" s="139"/>
      <c r="C370" s="138"/>
      <c r="D370" s="138"/>
      <c r="E370" s="140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  <c r="AM370" s="141"/>
      <c r="AN370" s="141"/>
      <c r="AO370" s="141"/>
      <c r="AP370" s="141"/>
      <c r="AQ370" s="141"/>
      <c r="AR370" s="141"/>
      <c r="AS370" s="141"/>
      <c r="AT370" s="141"/>
      <c r="AU370" s="141"/>
      <c r="AV370" s="141"/>
      <c r="AW370" s="141"/>
      <c r="AX370" s="141"/>
      <c r="AY370" s="141"/>
      <c r="AZ370" s="141"/>
      <c r="BA370" s="141"/>
      <c r="BB370" s="141"/>
      <c r="BC370" s="141"/>
      <c r="BD370" s="141"/>
      <c r="BE370" s="141"/>
      <c r="BF370" s="141"/>
      <c r="BG370" s="141"/>
      <c r="BH370" s="141"/>
      <c r="BI370" s="141"/>
      <c r="BJ370" s="141"/>
      <c r="BK370" s="141"/>
      <c r="BL370" s="141"/>
      <c r="BM370" s="141"/>
      <c r="BN370" s="141"/>
      <c r="BO370" s="141"/>
    </row>
    <row r="371" ht="13.5" customHeight="1">
      <c r="A371" s="138"/>
      <c r="B371" s="139"/>
      <c r="C371" s="138"/>
      <c r="D371" s="138"/>
      <c r="E371" s="140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  <c r="AL371" s="141"/>
      <c r="AM371" s="141"/>
      <c r="AN371" s="141"/>
      <c r="AO371" s="141"/>
      <c r="AP371" s="141"/>
      <c r="AQ371" s="141"/>
      <c r="AR371" s="141"/>
      <c r="AS371" s="141"/>
      <c r="AT371" s="141"/>
      <c r="AU371" s="141"/>
      <c r="AV371" s="141"/>
      <c r="AW371" s="141"/>
      <c r="AX371" s="141"/>
      <c r="AY371" s="141"/>
      <c r="AZ371" s="141"/>
      <c r="BA371" s="141"/>
      <c r="BB371" s="141"/>
      <c r="BC371" s="141"/>
      <c r="BD371" s="141"/>
      <c r="BE371" s="141"/>
      <c r="BF371" s="141"/>
      <c r="BG371" s="141"/>
      <c r="BH371" s="141"/>
      <c r="BI371" s="141"/>
      <c r="BJ371" s="141"/>
      <c r="BK371" s="141"/>
      <c r="BL371" s="141"/>
      <c r="BM371" s="141"/>
      <c r="BN371" s="141"/>
      <c r="BO371" s="141"/>
    </row>
    <row r="372" ht="13.5" customHeight="1">
      <c r="A372" s="138"/>
      <c r="B372" s="139"/>
      <c r="C372" s="138"/>
      <c r="D372" s="138"/>
      <c r="E372" s="140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  <c r="AL372" s="141"/>
      <c r="AM372" s="141"/>
      <c r="AN372" s="141"/>
      <c r="AO372" s="141"/>
      <c r="AP372" s="141"/>
      <c r="AQ372" s="141"/>
      <c r="AR372" s="141"/>
      <c r="AS372" s="141"/>
      <c r="AT372" s="141"/>
      <c r="AU372" s="141"/>
      <c r="AV372" s="141"/>
      <c r="AW372" s="141"/>
      <c r="AX372" s="141"/>
      <c r="AY372" s="141"/>
      <c r="AZ372" s="141"/>
      <c r="BA372" s="141"/>
      <c r="BB372" s="141"/>
      <c r="BC372" s="141"/>
      <c r="BD372" s="141"/>
      <c r="BE372" s="141"/>
      <c r="BF372" s="141"/>
      <c r="BG372" s="141"/>
      <c r="BH372" s="141"/>
      <c r="BI372" s="141"/>
      <c r="BJ372" s="141"/>
      <c r="BK372" s="141"/>
      <c r="BL372" s="141"/>
      <c r="BM372" s="141"/>
      <c r="BN372" s="141"/>
      <c r="BO372" s="141"/>
    </row>
    <row r="373" ht="13.5" customHeight="1">
      <c r="A373" s="138"/>
      <c r="B373" s="139"/>
      <c r="C373" s="138"/>
      <c r="D373" s="138"/>
      <c r="E373" s="140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  <c r="AL373" s="141"/>
      <c r="AM373" s="141"/>
      <c r="AN373" s="141"/>
      <c r="AO373" s="141"/>
      <c r="AP373" s="141"/>
      <c r="AQ373" s="141"/>
      <c r="AR373" s="141"/>
      <c r="AS373" s="141"/>
      <c r="AT373" s="141"/>
      <c r="AU373" s="141"/>
      <c r="AV373" s="141"/>
      <c r="AW373" s="141"/>
      <c r="AX373" s="141"/>
      <c r="AY373" s="141"/>
      <c r="AZ373" s="141"/>
      <c r="BA373" s="141"/>
      <c r="BB373" s="141"/>
      <c r="BC373" s="141"/>
      <c r="BD373" s="141"/>
      <c r="BE373" s="141"/>
      <c r="BF373" s="141"/>
      <c r="BG373" s="141"/>
      <c r="BH373" s="141"/>
      <c r="BI373" s="141"/>
      <c r="BJ373" s="141"/>
      <c r="BK373" s="141"/>
      <c r="BL373" s="141"/>
      <c r="BM373" s="141"/>
      <c r="BN373" s="141"/>
      <c r="BO373" s="141"/>
    </row>
    <row r="374" ht="13.5" customHeight="1">
      <c r="A374" s="138"/>
      <c r="B374" s="139"/>
      <c r="C374" s="138"/>
      <c r="D374" s="138"/>
      <c r="E374" s="140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  <c r="AL374" s="141"/>
      <c r="AM374" s="141"/>
      <c r="AN374" s="141"/>
      <c r="AO374" s="141"/>
      <c r="AP374" s="141"/>
      <c r="AQ374" s="141"/>
      <c r="AR374" s="141"/>
      <c r="AS374" s="141"/>
      <c r="AT374" s="141"/>
      <c r="AU374" s="141"/>
      <c r="AV374" s="141"/>
      <c r="AW374" s="141"/>
      <c r="AX374" s="141"/>
      <c r="AY374" s="141"/>
      <c r="AZ374" s="141"/>
      <c r="BA374" s="141"/>
      <c r="BB374" s="141"/>
      <c r="BC374" s="141"/>
      <c r="BD374" s="141"/>
      <c r="BE374" s="141"/>
      <c r="BF374" s="141"/>
      <c r="BG374" s="141"/>
      <c r="BH374" s="141"/>
      <c r="BI374" s="141"/>
      <c r="BJ374" s="141"/>
      <c r="BK374" s="141"/>
      <c r="BL374" s="141"/>
      <c r="BM374" s="141"/>
      <c r="BN374" s="141"/>
      <c r="BO374" s="141"/>
    </row>
    <row r="375" ht="13.5" customHeight="1">
      <c r="A375" s="138"/>
      <c r="B375" s="139"/>
      <c r="C375" s="138"/>
      <c r="D375" s="138"/>
      <c r="E375" s="140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  <c r="AL375" s="141"/>
      <c r="AM375" s="141"/>
      <c r="AN375" s="141"/>
      <c r="AO375" s="141"/>
      <c r="AP375" s="141"/>
      <c r="AQ375" s="141"/>
      <c r="AR375" s="141"/>
      <c r="AS375" s="141"/>
      <c r="AT375" s="141"/>
      <c r="AU375" s="141"/>
      <c r="AV375" s="141"/>
      <c r="AW375" s="141"/>
      <c r="AX375" s="141"/>
      <c r="AY375" s="141"/>
      <c r="AZ375" s="141"/>
      <c r="BA375" s="141"/>
      <c r="BB375" s="141"/>
      <c r="BC375" s="141"/>
      <c r="BD375" s="141"/>
      <c r="BE375" s="141"/>
      <c r="BF375" s="141"/>
      <c r="BG375" s="141"/>
      <c r="BH375" s="141"/>
      <c r="BI375" s="141"/>
      <c r="BJ375" s="141"/>
      <c r="BK375" s="141"/>
      <c r="BL375" s="141"/>
      <c r="BM375" s="141"/>
      <c r="BN375" s="141"/>
      <c r="BO375" s="141"/>
    </row>
    <row r="376" ht="13.5" customHeight="1">
      <c r="A376" s="138"/>
      <c r="B376" s="139"/>
      <c r="C376" s="138"/>
      <c r="D376" s="138"/>
      <c r="E376" s="140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  <c r="AL376" s="141"/>
      <c r="AM376" s="141"/>
      <c r="AN376" s="141"/>
      <c r="AO376" s="141"/>
      <c r="AP376" s="141"/>
      <c r="AQ376" s="141"/>
      <c r="AR376" s="141"/>
      <c r="AS376" s="141"/>
      <c r="AT376" s="141"/>
      <c r="AU376" s="141"/>
      <c r="AV376" s="141"/>
      <c r="AW376" s="141"/>
      <c r="AX376" s="141"/>
      <c r="AY376" s="141"/>
      <c r="AZ376" s="141"/>
      <c r="BA376" s="141"/>
      <c r="BB376" s="141"/>
      <c r="BC376" s="141"/>
      <c r="BD376" s="141"/>
      <c r="BE376" s="141"/>
      <c r="BF376" s="141"/>
      <c r="BG376" s="141"/>
      <c r="BH376" s="141"/>
      <c r="BI376" s="141"/>
      <c r="BJ376" s="141"/>
      <c r="BK376" s="141"/>
      <c r="BL376" s="141"/>
      <c r="BM376" s="141"/>
      <c r="BN376" s="141"/>
      <c r="BO376" s="141"/>
    </row>
    <row r="377" ht="13.5" customHeight="1">
      <c r="A377" s="138"/>
      <c r="B377" s="139"/>
      <c r="C377" s="138"/>
      <c r="D377" s="138"/>
      <c r="E377" s="140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  <c r="AL377" s="141"/>
      <c r="AM377" s="141"/>
      <c r="AN377" s="141"/>
      <c r="AO377" s="141"/>
      <c r="AP377" s="141"/>
      <c r="AQ377" s="141"/>
      <c r="AR377" s="141"/>
      <c r="AS377" s="141"/>
      <c r="AT377" s="141"/>
      <c r="AU377" s="141"/>
      <c r="AV377" s="141"/>
      <c r="AW377" s="141"/>
      <c r="AX377" s="141"/>
      <c r="AY377" s="141"/>
      <c r="AZ377" s="141"/>
      <c r="BA377" s="141"/>
      <c r="BB377" s="141"/>
      <c r="BC377" s="141"/>
      <c r="BD377" s="141"/>
      <c r="BE377" s="141"/>
      <c r="BF377" s="141"/>
      <c r="BG377" s="141"/>
      <c r="BH377" s="141"/>
      <c r="BI377" s="141"/>
      <c r="BJ377" s="141"/>
      <c r="BK377" s="141"/>
      <c r="BL377" s="141"/>
      <c r="BM377" s="141"/>
      <c r="BN377" s="141"/>
      <c r="BO377" s="141"/>
    </row>
    <row r="378" ht="13.5" customHeight="1">
      <c r="A378" s="138"/>
      <c r="B378" s="139"/>
      <c r="C378" s="138"/>
      <c r="D378" s="138"/>
      <c r="E378" s="140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  <c r="AL378" s="141"/>
      <c r="AM378" s="141"/>
      <c r="AN378" s="141"/>
      <c r="AO378" s="141"/>
      <c r="AP378" s="141"/>
      <c r="AQ378" s="141"/>
      <c r="AR378" s="141"/>
      <c r="AS378" s="141"/>
      <c r="AT378" s="141"/>
      <c r="AU378" s="141"/>
      <c r="AV378" s="141"/>
      <c r="AW378" s="141"/>
      <c r="AX378" s="141"/>
      <c r="AY378" s="141"/>
      <c r="AZ378" s="141"/>
      <c r="BA378" s="141"/>
      <c r="BB378" s="141"/>
      <c r="BC378" s="141"/>
      <c r="BD378" s="141"/>
      <c r="BE378" s="141"/>
      <c r="BF378" s="141"/>
      <c r="BG378" s="141"/>
      <c r="BH378" s="141"/>
      <c r="BI378" s="141"/>
      <c r="BJ378" s="141"/>
      <c r="BK378" s="141"/>
      <c r="BL378" s="141"/>
      <c r="BM378" s="141"/>
      <c r="BN378" s="141"/>
      <c r="BO378" s="141"/>
    </row>
    <row r="379" ht="13.5" customHeight="1">
      <c r="A379" s="138"/>
      <c r="B379" s="139"/>
      <c r="C379" s="138"/>
      <c r="D379" s="138"/>
      <c r="E379" s="140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  <c r="AL379" s="141"/>
      <c r="AM379" s="141"/>
      <c r="AN379" s="141"/>
      <c r="AO379" s="141"/>
      <c r="AP379" s="141"/>
      <c r="AQ379" s="141"/>
      <c r="AR379" s="141"/>
      <c r="AS379" s="141"/>
      <c r="AT379" s="141"/>
      <c r="AU379" s="141"/>
      <c r="AV379" s="141"/>
      <c r="AW379" s="141"/>
      <c r="AX379" s="141"/>
      <c r="AY379" s="141"/>
      <c r="AZ379" s="141"/>
      <c r="BA379" s="141"/>
      <c r="BB379" s="141"/>
      <c r="BC379" s="141"/>
      <c r="BD379" s="141"/>
      <c r="BE379" s="141"/>
      <c r="BF379" s="141"/>
      <c r="BG379" s="141"/>
      <c r="BH379" s="141"/>
      <c r="BI379" s="141"/>
      <c r="BJ379" s="141"/>
      <c r="BK379" s="141"/>
      <c r="BL379" s="141"/>
      <c r="BM379" s="141"/>
      <c r="BN379" s="141"/>
      <c r="BO379" s="141"/>
    </row>
    <row r="380" ht="13.5" customHeight="1">
      <c r="A380" s="138"/>
      <c r="B380" s="139"/>
      <c r="C380" s="138"/>
      <c r="D380" s="138"/>
      <c r="E380" s="140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  <c r="AL380" s="141"/>
      <c r="AM380" s="141"/>
      <c r="AN380" s="141"/>
      <c r="AO380" s="141"/>
      <c r="AP380" s="141"/>
      <c r="AQ380" s="141"/>
      <c r="AR380" s="141"/>
      <c r="AS380" s="141"/>
      <c r="AT380" s="141"/>
      <c r="AU380" s="141"/>
      <c r="AV380" s="141"/>
      <c r="AW380" s="141"/>
      <c r="AX380" s="141"/>
      <c r="AY380" s="141"/>
      <c r="AZ380" s="141"/>
      <c r="BA380" s="141"/>
      <c r="BB380" s="141"/>
      <c r="BC380" s="141"/>
      <c r="BD380" s="141"/>
      <c r="BE380" s="141"/>
      <c r="BF380" s="141"/>
      <c r="BG380" s="141"/>
      <c r="BH380" s="141"/>
      <c r="BI380" s="141"/>
      <c r="BJ380" s="141"/>
      <c r="BK380" s="141"/>
      <c r="BL380" s="141"/>
      <c r="BM380" s="141"/>
      <c r="BN380" s="141"/>
      <c r="BO380" s="141"/>
    </row>
    <row r="381" ht="13.5" customHeight="1">
      <c r="A381" s="138"/>
      <c r="B381" s="139"/>
      <c r="C381" s="138"/>
      <c r="D381" s="138"/>
      <c r="E381" s="140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  <c r="AL381" s="141"/>
      <c r="AM381" s="141"/>
      <c r="AN381" s="141"/>
      <c r="AO381" s="141"/>
      <c r="AP381" s="141"/>
      <c r="AQ381" s="141"/>
      <c r="AR381" s="141"/>
      <c r="AS381" s="141"/>
      <c r="AT381" s="141"/>
      <c r="AU381" s="141"/>
      <c r="AV381" s="141"/>
      <c r="AW381" s="141"/>
      <c r="AX381" s="141"/>
      <c r="AY381" s="141"/>
      <c r="AZ381" s="141"/>
      <c r="BA381" s="141"/>
      <c r="BB381" s="141"/>
      <c r="BC381" s="141"/>
      <c r="BD381" s="141"/>
      <c r="BE381" s="141"/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</row>
    <row r="382" ht="13.5" customHeight="1">
      <c r="A382" s="138"/>
      <c r="B382" s="139"/>
      <c r="C382" s="138"/>
      <c r="D382" s="138"/>
      <c r="E382" s="140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  <c r="AL382" s="141"/>
      <c r="AM382" s="141"/>
      <c r="AN382" s="141"/>
      <c r="AO382" s="141"/>
      <c r="AP382" s="141"/>
      <c r="AQ382" s="141"/>
      <c r="AR382" s="141"/>
      <c r="AS382" s="141"/>
      <c r="AT382" s="141"/>
      <c r="AU382" s="141"/>
      <c r="AV382" s="141"/>
      <c r="AW382" s="141"/>
      <c r="AX382" s="141"/>
      <c r="AY382" s="141"/>
      <c r="AZ382" s="141"/>
      <c r="BA382" s="141"/>
      <c r="BB382" s="141"/>
      <c r="BC382" s="141"/>
      <c r="BD382" s="141"/>
      <c r="BE382" s="141"/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</row>
    <row r="383" ht="13.5" customHeight="1">
      <c r="A383" s="138"/>
      <c r="B383" s="139"/>
      <c r="C383" s="138"/>
      <c r="D383" s="138"/>
      <c r="E383" s="140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  <c r="AL383" s="141"/>
      <c r="AM383" s="141"/>
      <c r="AN383" s="141"/>
      <c r="AO383" s="141"/>
      <c r="AP383" s="141"/>
      <c r="AQ383" s="141"/>
      <c r="AR383" s="141"/>
      <c r="AS383" s="141"/>
      <c r="AT383" s="141"/>
      <c r="AU383" s="141"/>
      <c r="AV383" s="141"/>
      <c r="AW383" s="141"/>
      <c r="AX383" s="141"/>
      <c r="AY383" s="141"/>
      <c r="AZ383" s="141"/>
      <c r="BA383" s="141"/>
      <c r="BB383" s="141"/>
      <c r="BC383" s="141"/>
      <c r="BD383" s="141"/>
      <c r="BE383" s="141"/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</row>
    <row r="384" ht="13.5" customHeight="1">
      <c r="A384" s="138"/>
      <c r="B384" s="139"/>
      <c r="C384" s="138"/>
      <c r="D384" s="138"/>
      <c r="E384" s="140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  <c r="AL384" s="141"/>
      <c r="AM384" s="141"/>
      <c r="AN384" s="141"/>
      <c r="AO384" s="141"/>
      <c r="AP384" s="141"/>
      <c r="AQ384" s="141"/>
      <c r="AR384" s="141"/>
      <c r="AS384" s="141"/>
      <c r="AT384" s="141"/>
      <c r="AU384" s="141"/>
      <c r="AV384" s="141"/>
      <c r="AW384" s="141"/>
      <c r="AX384" s="141"/>
      <c r="AY384" s="141"/>
      <c r="AZ384" s="141"/>
      <c r="BA384" s="141"/>
      <c r="BB384" s="141"/>
      <c r="BC384" s="141"/>
      <c r="BD384" s="141"/>
      <c r="BE384" s="141"/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</row>
    <row r="385" ht="13.5" customHeight="1">
      <c r="A385" s="138"/>
      <c r="B385" s="139"/>
      <c r="C385" s="138"/>
      <c r="D385" s="138"/>
      <c r="E385" s="140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  <c r="AL385" s="141"/>
      <c r="AM385" s="141"/>
      <c r="AN385" s="141"/>
      <c r="AO385" s="141"/>
      <c r="AP385" s="141"/>
      <c r="AQ385" s="141"/>
      <c r="AR385" s="141"/>
      <c r="AS385" s="141"/>
      <c r="AT385" s="141"/>
      <c r="AU385" s="141"/>
      <c r="AV385" s="141"/>
      <c r="AW385" s="141"/>
      <c r="AX385" s="141"/>
      <c r="AY385" s="141"/>
      <c r="AZ385" s="141"/>
      <c r="BA385" s="141"/>
      <c r="BB385" s="141"/>
      <c r="BC385" s="141"/>
      <c r="BD385" s="141"/>
      <c r="BE385" s="141"/>
      <c r="BF385" s="141"/>
      <c r="BG385" s="141"/>
      <c r="BH385" s="141"/>
      <c r="BI385" s="141"/>
      <c r="BJ385" s="141"/>
      <c r="BK385" s="141"/>
      <c r="BL385" s="141"/>
      <c r="BM385" s="141"/>
      <c r="BN385" s="141"/>
      <c r="BO385" s="141"/>
    </row>
    <row r="386" ht="13.5" customHeight="1">
      <c r="A386" s="138"/>
      <c r="B386" s="139"/>
      <c r="C386" s="138"/>
      <c r="D386" s="138"/>
      <c r="E386" s="140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  <c r="AL386" s="141"/>
      <c r="AM386" s="141"/>
      <c r="AN386" s="141"/>
      <c r="AO386" s="141"/>
      <c r="AP386" s="141"/>
      <c r="AQ386" s="141"/>
      <c r="AR386" s="141"/>
      <c r="AS386" s="141"/>
      <c r="AT386" s="141"/>
      <c r="AU386" s="141"/>
      <c r="AV386" s="141"/>
      <c r="AW386" s="141"/>
      <c r="AX386" s="141"/>
      <c r="AY386" s="141"/>
      <c r="AZ386" s="141"/>
      <c r="BA386" s="141"/>
      <c r="BB386" s="141"/>
      <c r="BC386" s="141"/>
      <c r="BD386" s="141"/>
      <c r="BE386" s="141"/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</row>
    <row r="387" ht="13.5" customHeight="1">
      <c r="A387" s="138"/>
      <c r="B387" s="139"/>
      <c r="C387" s="138"/>
      <c r="D387" s="138"/>
      <c r="E387" s="140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  <c r="AL387" s="141"/>
      <c r="AM387" s="141"/>
      <c r="AN387" s="141"/>
      <c r="AO387" s="141"/>
      <c r="AP387" s="141"/>
      <c r="AQ387" s="141"/>
      <c r="AR387" s="141"/>
      <c r="AS387" s="141"/>
      <c r="AT387" s="141"/>
      <c r="AU387" s="141"/>
      <c r="AV387" s="141"/>
      <c r="AW387" s="141"/>
      <c r="AX387" s="141"/>
      <c r="AY387" s="141"/>
      <c r="AZ387" s="141"/>
      <c r="BA387" s="141"/>
      <c r="BB387" s="141"/>
      <c r="BC387" s="141"/>
      <c r="BD387" s="141"/>
      <c r="BE387" s="141"/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</row>
    <row r="388" ht="13.5" customHeight="1">
      <c r="A388" s="138"/>
      <c r="B388" s="139"/>
      <c r="C388" s="138"/>
      <c r="D388" s="138"/>
      <c r="E388" s="140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  <c r="AL388" s="141"/>
      <c r="AM388" s="141"/>
      <c r="AN388" s="141"/>
      <c r="AO388" s="141"/>
      <c r="AP388" s="141"/>
      <c r="AQ388" s="141"/>
      <c r="AR388" s="141"/>
      <c r="AS388" s="141"/>
      <c r="AT388" s="141"/>
      <c r="AU388" s="141"/>
      <c r="AV388" s="141"/>
      <c r="AW388" s="141"/>
      <c r="AX388" s="141"/>
      <c r="AY388" s="141"/>
      <c r="AZ388" s="141"/>
      <c r="BA388" s="141"/>
      <c r="BB388" s="141"/>
      <c r="BC388" s="141"/>
      <c r="BD388" s="141"/>
      <c r="BE388" s="141"/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</row>
    <row r="389" ht="13.5" customHeight="1">
      <c r="A389" s="138"/>
      <c r="B389" s="139"/>
      <c r="C389" s="138"/>
      <c r="D389" s="138"/>
      <c r="E389" s="140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  <c r="AL389" s="141"/>
      <c r="AM389" s="141"/>
      <c r="AN389" s="141"/>
      <c r="AO389" s="141"/>
      <c r="AP389" s="141"/>
      <c r="AQ389" s="141"/>
      <c r="AR389" s="141"/>
      <c r="AS389" s="141"/>
      <c r="AT389" s="141"/>
      <c r="AU389" s="141"/>
      <c r="AV389" s="141"/>
      <c r="AW389" s="141"/>
      <c r="AX389" s="141"/>
      <c r="AY389" s="141"/>
      <c r="AZ389" s="141"/>
      <c r="BA389" s="141"/>
      <c r="BB389" s="141"/>
      <c r="BC389" s="141"/>
      <c r="BD389" s="141"/>
      <c r="BE389" s="141"/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</row>
    <row r="390" ht="13.5" customHeight="1">
      <c r="A390" s="138"/>
      <c r="B390" s="139"/>
      <c r="C390" s="138"/>
      <c r="D390" s="138"/>
      <c r="E390" s="140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  <c r="AL390" s="141"/>
      <c r="AM390" s="141"/>
      <c r="AN390" s="141"/>
      <c r="AO390" s="141"/>
      <c r="AP390" s="141"/>
      <c r="AQ390" s="141"/>
      <c r="AR390" s="141"/>
      <c r="AS390" s="141"/>
      <c r="AT390" s="141"/>
      <c r="AU390" s="141"/>
      <c r="AV390" s="141"/>
      <c r="AW390" s="141"/>
      <c r="AX390" s="141"/>
      <c r="AY390" s="141"/>
      <c r="AZ390" s="141"/>
      <c r="BA390" s="141"/>
      <c r="BB390" s="141"/>
      <c r="BC390" s="141"/>
      <c r="BD390" s="141"/>
      <c r="BE390" s="141"/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</row>
    <row r="391" ht="13.5" customHeight="1">
      <c r="A391" s="138"/>
      <c r="B391" s="139"/>
      <c r="C391" s="138"/>
      <c r="D391" s="138"/>
      <c r="E391" s="140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  <c r="AL391" s="141"/>
      <c r="AM391" s="141"/>
      <c r="AN391" s="141"/>
      <c r="AO391" s="141"/>
      <c r="AP391" s="141"/>
      <c r="AQ391" s="141"/>
      <c r="AR391" s="141"/>
      <c r="AS391" s="141"/>
      <c r="AT391" s="141"/>
      <c r="AU391" s="141"/>
      <c r="AV391" s="141"/>
      <c r="AW391" s="141"/>
      <c r="AX391" s="141"/>
      <c r="AY391" s="141"/>
      <c r="AZ391" s="141"/>
      <c r="BA391" s="141"/>
      <c r="BB391" s="141"/>
      <c r="BC391" s="141"/>
      <c r="BD391" s="141"/>
      <c r="BE391" s="141"/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</row>
    <row r="392" ht="13.5" customHeight="1">
      <c r="A392" s="138"/>
      <c r="B392" s="139"/>
      <c r="C392" s="138"/>
      <c r="D392" s="138"/>
      <c r="E392" s="140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  <c r="AL392" s="141"/>
      <c r="AM392" s="141"/>
      <c r="AN392" s="141"/>
      <c r="AO392" s="141"/>
      <c r="AP392" s="141"/>
      <c r="AQ392" s="141"/>
      <c r="AR392" s="141"/>
      <c r="AS392" s="141"/>
      <c r="AT392" s="141"/>
      <c r="AU392" s="141"/>
      <c r="AV392" s="141"/>
      <c r="AW392" s="141"/>
      <c r="AX392" s="141"/>
      <c r="AY392" s="141"/>
      <c r="AZ392" s="141"/>
      <c r="BA392" s="141"/>
      <c r="BB392" s="141"/>
      <c r="BC392" s="141"/>
      <c r="BD392" s="141"/>
      <c r="BE392" s="141"/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</row>
    <row r="393" ht="13.5" customHeight="1">
      <c r="A393" s="138"/>
      <c r="B393" s="139"/>
      <c r="C393" s="138"/>
      <c r="D393" s="138"/>
      <c r="E393" s="140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  <c r="AM393" s="141"/>
      <c r="AN393" s="141"/>
      <c r="AO393" s="141"/>
      <c r="AP393" s="141"/>
      <c r="AQ393" s="141"/>
      <c r="AR393" s="141"/>
      <c r="AS393" s="141"/>
      <c r="AT393" s="141"/>
      <c r="AU393" s="141"/>
      <c r="AV393" s="141"/>
      <c r="AW393" s="141"/>
      <c r="AX393" s="141"/>
      <c r="AY393" s="141"/>
      <c r="AZ393" s="141"/>
      <c r="BA393" s="141"/>
      <c r="BB393" s="141"/>
      <c r="BC393" s="141"/>
      <c r="BD393" s="141"/>
      <c r="BE393" s="141"/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</row>
    <row r="394" ht="13.5" customHeight="1">
      <c r="A394" s="138"/>
      <c r="B394" s="139"/>
      <c r="C394" s="138"/>
      <c r="D394" s="138"/>
      <c r="E394" s="140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  <c r="AM394" s="141"/>
      <c r="AN394" s="141"/>
      <c r="AO394" s="141"/>
      <c r="AP394" s="141"/>
      <c r="AQ394" s="141"/>
      <c r="AR394" s="141"/>
      <c r="AS394" s="141"/>
      <c r="AT394" s="141"/>
      <c r="AU394" s="141"/>
      <c r="AV394" s="141"/>
      <c r="AW394" s="141"/>
      <c r="AX394" s="141"/>
      <c r="AY394" s="141"/>
      <c r="AZ394" s="141"/>
      <c r="BA394" s="141"/>
      <c r="BB394" s="141"/>
      <c r="BC394" s="141"/>
      <c r="BD394" s="141"/>
      <c r="BE394" s="141"/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</row>
    <row r="395" ht="13.5" customHeight="1">
      <c r="A395" s="138"/>
      <c r="B395" s="139"/>
      <c r="C395" s="138"/>
      <c r="D395" s="138"/>
      <c r="E395" s="140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  <c r="AM395" s="141"/>
      <c r="AN395" s="141"/>
      <c r="AO395" s="141"/>
      <c r="AP395" s="141"/>
      <c r="AQ395" s="141"/>
      <c r="AR395" s="141"/>
      <c r="AS395" s="141"/>
      <c r="AT395" s="141"/>
      <c r="AU395" s="141"/>
      <c r="AV395" s="141"/>
      <c r="AW395" s="141"/>
      <c r="AX395" s="141"/>
      <c r="AY395" s="141"/>
      <c r="AZ395" s="141"/>
      <c r="BA395" s="141"/>
      <c r="BB395" s="141"/>
      <c r="BC395" s="141"/>
      <c r="BD395" s="141"/>
      <c r="BE395" s="141"/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</row>
    <row r="396" ht="13.5" customHeight="1">
      <c r="A396" s="138"/>
      <c r="B396" s="139"/>
      <c r="C396" s="138"/>
      <c r="D396" s="138"/>
      <c r="E396" s="140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  <c r="AM396" s="141"/>
      <c r="AN396" s="141"/>
      <c r="AO396" s="141"/>
      <c r="AP396" s="141"/>
      <c r="AQ396" s="141"/>
      <c r="AR396" s="141"/>
      <c r="AS396" s="141"/>
      <c r="AT396" s="141"/>
      <c r="AU396" s="141"/>
      <c r="AV396" s="141"/>
      <c r="AW396" s="141"/>
      <c r="AX396" s="141"/>
      <c r="AY396" s="141"/>
      <c r="AZ396" s="141"/>
      <c r="BA396" s="141"/>
      <c r="BB396" s="141"/>
      <c r="BC396" s="141"/>
      <c r="BD396" s="141"/>
      <c r="BE396" s="141"/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</row>
    <row r="397" ht="13.5" customHeight="1">
      <c r="A397" s="138"/>
      <c r="B397" s="139"/>
      <c r="C397" s="138"/>
      <c r="D397" s="138"/>
      <c r="E397" s="140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  <c r="AM397" s="141"/>
      <c r="AN397" s="141"/>
      <c r="AO397" s="141"/>
      <c r="AP397" s="141"/>
      <c r="AQ397" s="141"/>
      <c r="AR397" s="141"/>
      <c r="AS397" s="141"/>
      <c r="AT397" s="141"/>
      <c r="AU397" s="141"/>
      <c r="AV397" s="141"/>
      <c r="AW397" s="141"/>
      <c r="AX397" s="141"/>
      <c r="AY397" s="141"/>
      <c r="AZ397" s="141"/>
      <c r="BA397" s="141"/>
      <c r="BB397" s="141"/>
      <c r="BC397" s="141"/>
      <c r="BD397" s="141"/>
      <c r="BE397" s="141"/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</row>
    <row r="398" ht="13.5" customHeight="1">
      <c r="A398" s="138"/>
      <c r="B398" s="139"/>
      <c r="C398" s="138"/>
      <c r="D398" s="138"/>
      <c r="E398" s="140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  <c r="AL398" s="141"/>
      <c r="AM398" s="141"/>
      <c r="AN398" s="141"/>
      <c r="AO398" s="141"/>
      <c r="AP398" s="141"/>
      <c r="AQ398" s="141"/>
      <c r="AR398" s="141"/>
      <c r="AS398" s="141"/>
      <c r="AT398" s="141"/>
      <c r="AU398" s="141"/>
      <c r="AV398" s="141"/>
      <c r="AW398" s="141"/>
      <c r="AX398" s="141"/>
      <c r="AY398" s="141"/>
      <c r="AZ398" s="141"/>
      <c r="BA398" s="141"/>
      <c r="BB398" s="141"/>
      <c r="BC398" s="141"/>
      <c r="BD398" s="141"/>
      <c r="BE398" s="141"/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</row>
    <row r="399" ht="13.5" customHeight="1">
      <c r="A399" s="138"/>
      <c r="B399" s="139"/>
      <c r="C399" s="138"/>
      <c r="D399" s="138"/>
      <c r="E399" s="140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  <c r="AL399" s="141"/>
      <c r="AM399" s="141"/>
      <c r="AN399" s="141"/>
      <c r="AO399" s="141"/>
      <c r="AP399" s="141"/>
      <c r="AQ399" s="141"/>
      <c r="AR399" s="141"/>
      <c r="AS399" s="141"/>
      <c r="AT399" s="141"/>
      <c r="AU399" s="141"/>
      <c r="AV399" s="141"/>
      <c r="AW399" s="141"/>
      <c r="AX399" s="141"/>
      <c r="AY399" s="141"/>
      <c r="AZ399" s="141"/>
      <c r="BA399" s="141"/>
      <c r="BB399" s="141"/>
      <c r="BC399" s="141"/>
      <c r="BD399" s="141"/>
      <c r="BE399" s="141"/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</row>
    <row r="400" ht="13.5" customHeight="1">
      <c r="A400" s="138"/>
      <c r="B400" s="139"/>
      <c r="C400" s="138"/>
      <c r="D400" s="138"/>
      <c r="E400" s="140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  <c r="AL400" s="141"/>
      <c r="AM400" s="141"/>
      <c r="AN400" s="141"/>
      <c r="AO400" s="141"/>
      <c r="AP400" s="141"/>
      <c r="AQ400" s="141"/>
      <c r="AR400" s="141"/>
      <c r="AS400" s="141"/>
      <c r="AT400" s="141"/>
      <c r="AU400" s="141"/>
      <c r="AV400" s="141"/>
      <c r="AW400" s="141"/>
      <c r="AX400" s="141"/>
      <c r="AY400" s="141"/>
      <c r="AZ400" s="141"/>
      <c r="BA400" s="141"/>
      <c r="BB400" s="141"/>
      <c r="BC400" s="141"/>
      <c r="BD400" s="141"/>
      <c r="BE400" s="141"/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</row>
    <row r="401" ht="13.5" customHeight="1">
      <c r="A401" s="138"/>
      <c r="B401" s="139"/>
      <c r="C401" s="138"/>
      <c r="D401" s="138"/>
      <c r="E401" s="140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  <c r="AL401" s="141"/>
      <c r="AM401" s="141"/>
      <c r="AN401" s="141"/>
      <c r="AO401" s="141"/>
      <c r="AP401" s="141"/>
      <c r="AQ401" s="141"/>
      <c r="AR401" s="141"/>
      <c r="AS401" s="141"/>
      <c r="AT401" s="141"/>
      <c r="AU401" s="141"/>
      <c r="AV401" s="141"/>
      <c r="AW401" s="141"/>
      <c r="AX401" s="141"/>
      <c r="AY401" s="141"/>
      <c r="AZ401" s="141"/>
      <c r="BA401" s="141"/>
      <c r="BB401" s="141"/>
      <c r="BC401" s="141"/>
      <c r="BD401" s="141"/>
      <c r="BE401" s="141"/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</row>
    <row r="402" ht="13.5" customHeight="1">
      <c r="A402" s="138"/>
      <c r="B402" s="139"/>
      <c r="C402" s="138"/>
      <c r="D402" s="138"/>
      <c r="E402" s="140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  <c r="AL402" s="141"/>
      <c r="AM402" s="141"/>
      <c r="AN402" s="141"/>
      <c r="AO402" s="141"/>
      <c r="AP402" s="141"/>
      <c r="AQ402" s="141"/>
      <c r="AR402" s="141"/>
      <c r="AS402" s="141"/>
      <c r="AT402" s="141"/>
      <c r="AU402" s="141"/>
      <c r="AV402" s="141"/>
      <c r="AW402" s="141"/>
      <c r="AX402" s="141"/>
      <c r="AY402" s="141"/>
      <c r="AZ402" s="141"/>
      <c r="BA402" s="141"/>
      <c r="BB402" s="141"/>
      <c r="BC402" s="141"/>
      <c r="BD402" s="141"/>
      <c r="BE402" s="141"/>
      <c r="BF402" s="141"/>
      <c r="BG402" s="141"/>
      <c r="BH402" s="141"/>
      <c r="BI402" s="141"/>
      <c r="BJ402" s="141"/>
      <c r="BK402" s="141"/>
      <c r="BL402" s="141"/>
      <c r="BM402" s="141"/>
      <c r="BN402" s="141"/>
      <c r="BO402" s="141"/>
    </row>
    <row r="403" ht="13.5" customHeight="1">
      <c r="A403" s="138"/>
      <c r="B403" s="139"/>
      <c r="C403" s="138"/>
      <c r="D403" s="138"/>
      <c r="E403" s="140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  <c r="AL403" s="141"/>
      <c r="AM403" s="141"/>
      <c r="AN403" s="141"/>
      <c r="AO403" s="141"/>
      <c r="AP403" s="141"/>
      <c r="AQ403" s="141"/>
      <c r="AR403" s="141"/>
      <c r="AS403" s="141"/>
      <c r="AT403" s="141"/>
      <c r="AU403" s="141"/>
      <c r="AV403" s="141"/>
      <c r="AW403" s="141"/>
      <c r="AX403" s="141"/>
      <c r="AY403" s="141"/>
      <c r="AZ403" s="141"/>
      <c r="BA403" s="141"/>
      <c r="BB403" s="141"/>
      <c r="BC403" s="141"/>
      <c r="BD403" s="141"/>
      <c r="BE403" s="141"/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</row>
    <row r="404" ht="13.5" customHeight="1">
      <c r="A404" s="138"/>
      <c r="B404" s="139"/>
      <c r="C404" s="138"/>
      <c r="D404" s="138"/>
      <c r="E404" s="140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  <c r="AL404" s="141"/>
      <c r="AM404" s="141"/>
      <c r="AN404" s="141"/>
      <c r="AO404" s="141"/>
      <c r="AP404" s="141"/>
      <c r="AQ404" s="141"/>
      <c r="AR404" s="141"/>
      <c r="AS404" s="141"/>
      <c r="AT404" s="141"/>
      <c r="AU404" s="141"/>
      <c r="AV404" s="141"/>
      <c r="AW404" s="141"/>
      <c r="AX404" s="141"/>
      <c r="AY404" s="141"/>
      <c r="AZ404" s="141"/>
      <c r="BA404" s="141"/>
      <c r="BB404" s="141"/>
      <c r="BC404" s="141"/>
      <c r="BD404" s="141"/>
      <c r="BE404" s="141"/>
      <c r="BF404" s="141"/>
      <c r="BG404" s="141"/>
      <c r="BH404" s="141"/>
      <c r="BI404" s="141"/>
      <c r="BJ404" s="141"/>
      <c r="BK404" s="141"/>
      <c r="BL404" s="141"/>
      <c r="BM404" s="141"/>
      <c r="BN404" s="141"/>
      <c r="BO404" s="141"/>
    </row>
    <row r="405" ht="13.5" customHeight="1">
      <c r="A405" s="138"/>
      <c r="B405" s="139"/>
      <c r="C405" s="138"/>
      <c r="D405" s="138"/>
      <c r="E405" s="140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  <c r="AL405" s="141"/>
      <c r="AM405" s="141"/>
      <c r="AN405" s="141"/>
      <c r="AO405" s="141"/>
      <c r="AP405" s="141"/>
      <c r="AQ405" s="141"/>
      <c r="AR405" s="141"/>
      <c r="AS405" s="141"/>
      <c r="AT405" s="141"/>
      <c r="AU405" s="141"/>
      <c r="AV405" s="141"/>
      <c r="AW405" s="141"/>
      <c r="AX405" s="141"/>
      <c r="AY405" s="141"/>
      <c r="AZ405" s="141"/>
      <c r="BA405" s="141"/>
      <c r="BB405" s="141"/>
      <c r="BC405" s="141"/>
      <c r="BD405" s="141"/>
      <c r="BE405" s="141"/>
      <c r="BF405" s="141"/>
      <c r="BG405" s="141"/>
      <c r="BH405" s="141"/>
      <c r="BI405" s="141"/>
      <c r="BJ405" s="141"/>
      <c r="BK405" s="141"/>
      <c r="BL405" s="141"/>
      <c r="BM405" s="141"/>
      <c r="BN405" s="141"/>
      <c r="BO405" s="141"/>
    </row>
    <row r="406" ht="13.5" customHeight="1">
      <c r="A406" s="138"/>
      <c r="B406" s="139"/>
      <c r="C406" s="138"/>
      <c r="D406" s="138"/>
      <c r="E406" s="140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  <c r="AL406" s="141"/>
      <c r="AM406" s="141"/>
      <c r="AN406" s="141"/>
      <c r="AO406" s="141"/>
      <c r="AP406" s="141"/>
      <c r="AQ406" s="141"/>
      <c r="AR406" s="141"/>
      <c r="AS406" s="141"/>
      <c r="AT406" s="141"/>
      <c r="AU406" s="141"/>
      <c r="AV406" s="141"/>
      <c r="AW406" s="141"/>
      <c r="AX406" s="141"/>
      <c r="AY406" s="141"/>
      <c r="AZ406" s="141"/>
      <c r="BA406" s="141"/>
      <c r="BB406" s="141"/>
      <c r="BC406" s="141"/>
      <c r="BD406" s="141"/>
      <c r="BE406" s="141"/>
      <c r="BF406" s="141"/>
      <c r="BG406" s="141"/>
      <c r="BH406" s="141"/>
      <c r="BI406" s="141"/>
      <c r="BJ406" s="141"/>
      <c r="BK406" s="141"/>
      <c r="BL406" s="141"/>
      <c r="BM406" s="141"/>
      <c r="BN406" s="141"/>
      <c r="BO406" s="141"/>
    </row>
    <row r="407" ht="13.5" customHeight="1">
      <c r="A407" s="138"/>
      <c r="B407" s="139"/>
      <c r="C407" s="138"/>
      <c r="D407" s="138"/>
      <c r="E407" s="140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  <c r="AL407" s="141"/>
      <c r="AM407" s="141"/>
      <c r="AN407" s="141"/>
      <c r="AO407" s="141"/>
      <c r="AP407" s="141"/>
      <c r="AQ407" s="141"/>
      <c r="AR407" s="141"/>
      <c r="AS407" s="141"/>
      <c r="AT407" s="141"/>
      <c r="AU407" s="141"/>
      <c r="AV407" s="141"/>
      <c r="AW407" s="141"/>
      <c r="AX407" s="141"/>
      <c r="AY407" s="141"/>
      <c r="AZ407" s="141"/>
      <c r="BA407" s="141"/>
      <c r="BB407" s="141"/>
      <c r="BC407" s="141"/>
      <c r="BD407" s="141"/>
      <c r="BE407" s="141"/>
      <c r="BF407" s="141"/>
      <c r="BG407" s="141"/>
      <c r="BH407" s="141"/>
      <c r="BI407" s="141"/>
      <c r="BJ407" s="141"/>
      <c r="BK407" s="141"/>
      <c r="BL407" s="141"/>
      <c r="BM407" s="141"/>
      <c r="BN407" s="141"/>
      <c r="BO407" s="141"/>
    </row>
    <row r="408" ht="13.5" customHeight="1">
      <c r="A408" s="138"/>
      <c r="B408" s="139"/>
      <c r="C408" s="138"/>
      <c r="D408" s="138"/>
      <c r="E408" s="140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  <c r="AL408" s="141"/>
      <c r="AM408" s="141"/>
      <c r="AN408" s="141"/>
      <c r="AO408" s="141"/>
      <c r="AP408" s="141"/>
      <c r="AQ408" s="141"/>
      <c r="AR408" s="141"/>
      <c r="AS408" s="141"/>
      <c r="AT408" s="141"/>
      <c r="AU408" s="141"/>
      <c r="AV408" s="141"/>
      <c r="AW408" s="141"/>
      <c r="AX408" s="141"/>
      <c r="AY408" s="141"/>
      <c r="AZ408" s="141"/>
      <c r="BA408" s="141"/>
      <c r="BB408" s="141"/>
      <c r="BC408" s="141"/>
      <c r="BD408" s="141"/>
      <c r="BE408" s="141"/>
      <c r="BF408" s="141"/>
      <c r="BG408" s="141"/>
      <c r="BH408" s="141"/>
      <c r="BI408" s="141"/>
      <c r="BJ408" s="141"/>
      <c r="BK408" s="141"/>
      <c r="BL408" s="141"/>
      <c r="BM408" s="141"/>
      <c r="BN408" s="141"/>
      <c r="BO408" s="141"/>
    </row>
    <row r="409" ht="13.5" customHeight="1">
      <c r="A409" s="138"/>
      <c r="B409" s="139"/>
      <c r="C409" s="138"/>
      <c r="D409" s="138"/>
      <c r="E409" s="140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  <c r="AL409" s="141"/>
      <c r="AM409" s="141"/>
      <c r="AN409" s="141"/>
      <c r="AO409" s="141"/>
      <c r="AP409" s="141"/>
      <c r="AQ409" s="141"/>
      <c r="AR409" s="141"/>
      <c r="AS409" s="141"/>
      <c r="AT409" s="141"/>
      <c r="AU409" s="141"/>
      <c r="AV409" s="141"/>
      <c r="AW409" s="141"/>
      <c r="AX409" s="141"/>
      <c r="AY409" s="141"/>
      <c r="AZ409" s="141"/>
      <c r="BA409" s="141"/>
      <c r="BB409" s="141"/>
      <c r="BC409" s="141"/>
      <c r="BD409" s="141"/>
      <c r="BE409" s="141"/>
      <c r="BF409" s="141"/>
      <c r="BG409" s="141"/>
      <c r="BH409" s="141"/>
      <c r="BI409" s="141"/>
      <c r="BJ409" s="141"/>
      <c r="BK409" s="141"/>
      <c r="BL409" s="141"/>
      <c r="BM409" s="141"/>
      <c r="BN409" s="141"/>
      <c r="BO409" s="141"/>
    </row>
    <row r="410" ht="13.5" customHeight="1">
      <c r="A410" s="138"/>
      <c r="B410" s="139"/>
      <c r="C410" s="138"/>
      <c r="D410" s="138"/>
      <c r="E410" s="140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  <c r="AM410" s="141"/>
      <c r="AN410" s="141"/>
      <c r="AO410" s="141"/>
      <c r="AP410" s="141"/>
      <c r="AQ410" s="141"/>
      <c r="AR410" s="141"/>
      <c r="AS410" s="141"/>
      <c r="AT410" s="141"/>
      <c r="AU410" s="141"/>
      <c r="AV410" s="141"/>
      <c r="AW410" s="141"/>
      <c r="AX410" s="141"/>
      <c r="AY410" s="141"/>
      <c r="AZ410" s="141"/>
      <c r="BA410" s="141"/>
      <c r="BB410" s="141"/>
      <c r="BC410" s="141"/>
      <c r="BD410" s="141"/>
      <c r="BE410" s="141"/>
      <c r="BF410" s="141"/>
      <c r="BG410" s="141"/>
      <c r="BH410" s="141"/>
      <c r="BI410" s="141"/>
      <c r="BJ410" s="141"/>
      <c r="BK410" s="141"/>
      <c r="BL410" s="141"/>
      <c r="BM410" s="141"/>
      <c r="BN410" s="141"/>
      <c r="BO410" s="141"/>
    </row>
    <row r="411" ht="13.5" customHeight="1">
      <c r="A411" s="138"/>
      <c r="B411" s="139"/>
      <c r="C411" s="138"/>
      <c r="D411" s="138"/>
      <c r="E411" s="140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  <c r="AL411" s="141"/>
      <c r="AM411" s="141"/>
      <c r="AN411" s="141"/>
      <c r="AO411" s="141"/>
      <c r="AP411" s="141"/>
      <c r="AQ411" s="141"/>
      <c r="AR411" s="141"/>
      <c r="AS411" s="141"/>
      <c r="AT411" s="141"/>
      <c r="AU411" s="141"/>
      <c r="AV411" s="141"/>
      <c r="AW411" s="141"/>
      <c r="AX411" s="141"/>
      <c r="AY411" s="141"/>
      <c r="AZ411" s="141"/>
      <c r="BA411" s="141"/>
      <c r="BB411" s="141"/>
      <c r="BC411" s="141"/>
      <c r="BD411" s="141"/>
      <c r="BE411" s="141"/>
      <c r="BF411" s="141"/>
      <c r="BG411" s="141"/>
      <c r="BH411" s="141"/>
      <c r="BI411" s="141"/>
      <c r="BJ411" s="141"/>
      <c r="BK411" s="141"/>
      <c r="BL411" s="141"/>
      <c r="BM411" s="141"/>
      <c r="BN411" s="141"/>
      <c r="BO411" s="141"/>
    </row>
    <row r="412" ht="13.5" customHeight="1">
      <c r="A412" s="138"/>
      <c r="B412" s="139"/>
      <c r="C412" s="138"/>
      <c r="D412" s="138"/>
      <c r="E412" s="140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  <c r="AM412" s="141"/>
      <c r="AN412" s="141"/>
      <c r="AO412" s="141"/>
      <c r="AP412" s="141"/>
      <c r="AQ412" s="141"/>
      <c r="AR412" s="141"/>
      <c r="AS412" s="141"/>
      <c r="AT412" s="141"/>
      <c r="AU412" s="141"/>
      <c r="AV412" s="141"/>
      <c r="AW412" s="141"/>
      <c r="AX412" s="141"/>
      <c r="AY412" s="141"/>
      <c r="AZ412" s="141"/>
      <c r="BA412" s="141"/>
      <c r="BB412" s="141"/>
      <c r="BC412" s="141"/>
      <c r="BD412" s="141"/>
      <c r="BE412" s="141"/>
      <c r="BF412" s="141"/>
      <c r="BG412" s="141"/>
      <c r="BH412" s="141"/>
      <c r="BI412" s="141"/>
      <c r="BJ412" s="141"/>
      <c r="BK412" s="141"/>
      <c r="BL412" s="141"/>
      <c r="BM412" s="141"/>
      <c r="BN412" s="141"/>
      <c r="BO412" s="141"/>
    </row>
    <row r="413" ht="13.5" customHeight="1">
      <c r="A413" s="138"/>
      <c r="B413" s="139"/>
      <c r="C413" s="138"/>
      <c r="D413" s="138"/>
      <c r="E413" s="140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  <c r="AL413" s="141"/>
      <c r="AM413" s="141"/>
      <c r="AN413" s="141"/>
      <c r="AO413" s="141"/>
      <c r="AP413" s="141"/>
      <c r="AQ413" s="141"/>
      <c r="AR413" s="141"/>
      <c r="AS413" s="141"/>
      <c r="AT413" s="141"/>
      <c r="AU413" s="141"/>
      <c r="AV413" s="141"/>
      <c r="AW413" s="141"/>
      <c r="AX413" s="141"/>
      <c r="AY413" s="141"/>
      <c r="AZ413" s="141"/>
      <c r="BA413" s="141"/>
      <c r="BB413" s="141"/>
      <c r="BC413" s="141"/>
      <c r="BD413" s="141"/>
      <c r="BE413" s="141"/>
      <c r="BF413" s="141"/>
      <c r="BG413" s="141"/>
      <c r="BH413" s="141"/>
      <c r="BI413" s="141"/>
      <c r="BJ413" s="141"/>
      <c r="BK413" s="141"/>
      <c r="BL413" s="141"/>
      <c r="BM413" s="141"/>
      <c r="BN413" s="141"/>
      <c r="BO413" s="141"/>
    </row>
    <row r="414" ht="13.5" customHeight="1">
      <c r="A414" s="138"/>
      <c r="B414" s="139"/>
      <c r="C414" s="138"/>
      <c r="D414" s="138"/>
      <c r="E414" s="140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  <c r="AL414" s="141"/>
      <c r="AM414" s="141"/>
      <c r="AN414" s="141"/>
      <c r="AO414" s="141"/>
      <c r="AP414" s="141"/>
      <c r="AQ414" s="141"/>
      <c r="AR414" s="141"/>
      <c r="AS414" s="141"/>
      <c r="AT414" s="141"/>
      <c r="AU414" s="141"/>
      <c r="AV414" s="141"/>
      <c r="AW414" s="141"/>
      <c r="AX414" s="141"/>
      <c r="AY414" s="141"/>
      <c r="AZ414" s="141"/>
      <c r="BA414" s="141"/>
      <c r="BB414" s="141"/>
      <c r="BC414" s="141"/>
      <c r="BD414" s="141"/>
      <c r="BE414" s="141"/>
      <c r="BF414" s="141"/>
      <c r="BG414" s="141"/>
      <c r="BH414" s="141"/>
      <c r="BI414" s="141"/>
      <c r="BJ414" s="141"/>
      <c r="BK414" s="141"/>
      <c r="BL414" s="141"/>
      <c r="BM414" s="141"/>
      <c r="BN414" s="141"/>
      <c r="BO414" s="141"/>
    </row>
    <row r="415" ht="13.5" customHeight="1">
      <c r="A415" s="138"/>
      <c r="B415" s="139"/>
      <c r="C415" s="138"/>
      <c r="D415" s="138"/>
      <c r="E415" s="140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  <c r="AL415" s="141"/>
      <c r="AM415" s="141"/>
      <c r="AN415" s="141"/>
      <c r="AO415" s="141"/>
      <c r="AP415" s="141"/>
      <c r="AQ415" s="141"/>
      <c r="AR415" s="141"/>
      <c r="AS415" s="141"/>
      <c r="AT415" s="141"/>
      <c r="AU415" s="141"/>
      <c r="AV415" s="141"/>
      <c r="AW415" s="141"/>
      <c r="AX415" s="141"/>
      <c r="AY415" s="141"/>
      <c r="AZ415" s="141"/>
      <c r="BA415" s="141"/>
      <c r="BB415" s="141"/>
      <c r="BC415" s="141"/>
      <c r="BD415" s="141"/>
      <c r="BE415" s="141"/>
      <c r="BF415" s="141"/>
      <c r="BG415" s="141"/>
      <c r="BH415" s="141"/>
      <c r="BI415" s="141"/>
      <c r="BJ415" s="141"/>
      <c r="BK415" s="141"/>
      <c r="BL415" s="141"/>
      <c r="BM415" s="141"/>
      <c r="BN415" s="141"/>
      <c r="BO415" s="141"/>
    </row>
    <row r="416" ht="13.5" customHeight="1">
      <c r="A416" s="138"/>
      <c r="B416" s="139"/>
      <c r="C416" s="138"/>
      <c r="D416" s="138"/>
      <c r="E416" s="140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  <c r="AM416" s="141"/>
      <c r="AN416" s="141"/>
      <c r="AO416" s="141"/>
      <c r="AP416" s="141"/>
      <c r="AQ416" s="141"/>
      <c r="AR416" s="141"/>
      <c r="AS416" s="141"/>
      <c r="AT416" s="141"/>
      <c r="AU416" s="141"/>
      <c r="AV416" s="141"/>
      <c r="AW416" s="141"/>
      <c r="AX416" s="141"/>
      <c r="AY416" s="141"/>
      <c r="AZ416" s="141"/>
      <c r="BA416" s="141"/>
      <c r="BB416" s="141"/>
      <c r="BC416" s="141"/>
      <c r="BD416" s="141"/>
      <c r="BE416" s="141"/>
      <c r="BF416" s="141"/>
      <c r="BG416" s="141"/>
      <c r="BH416" s="141"/>
      <c r="BI416" s="141"/>
      <c r="BJ416" s="141"/>
      <c r="BK416" s="141"/>
      <c r="BL416" s="141"/>
      <c r="BM416" s="141"/>
      <c r="BN416" s="141"/>
      <c r="BO416" s="141"/>
    </row>
    <row r="417" ht="13.5" customHeight="1">
      <c r="A417" s="138"/>
      <c r="B417" s="139"/>
      <c r="C417" s="138"/>
      <c r="D417" s="138"/>
      <c r="E417" s="140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  <c r="AL417" s="141"/>
      <c r="AM417" s="141"/>
      <c r="AN417" s="141"/>
      <c r="AO417" s="141"/>
      <c r="AP417" s="141"/>
      <c r="AQ417" s="141"/>
      <c r="AR417" s="141"/>
      <c r="AS417" s="141"/>
      <c r="AT417" s="141"/>
      <c r="AU417" s="141"/>
      <c r="AV417" s="141"/>
      <c r="AW417" s="141"/>
      <c r="AX417" s="141"/>
      <c r="AY417" s="141"/>
      <c r="AZ417" s="141"/>
      <c r="BA417" s="141"/>
      <c r="BB417" s="141"/>
      <c r="BC417" s="141"/>
      <c r="BD417" s="141"/>
      <c r="BE417" s="141"/>
      <c r="BF417" s="141"/>
      <c r="BG417" s="141"/>
      <c r="BH417" s="141"/>
      <c r="BI417" s="141"/>
      <c r="BJ417" s="141"/>
      <c r="BK417" s="141"/>
      <c r="BL417" s="141"/>
      <c r="BM417" s="141"/>
      <c r="BN417" s="141"/>
      <c r="BO417" s="141"/>
    </row>
    <row r="418" ht="13.5" customHeight="1">
      <c r="A418" s="138"/>
      <c r="B418" s="139"/>
      <c r="C418" s="138"/>
      <c r="D418" s="138"/>
      <c r="E418" s="140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  <c r="AL418" s="141"/>
      <c r="AM418" s="141"/>
      <c r="AN418" s="141"/>
      <c r="AO418" s="141"/>
      <c r="AP418" s="141"/>
      <c r="AQ418" s="141"/>
      <c r="AR418" s="141"/>
      <c r="AS418" s="141"/>
      <c r="AT418" s="141"/>
      <c r="AU418" s="141"/>
      <c r="AV418" s="141"/>
      <c r="AW418" s="141"/>
      <c r="AX418" s="141"/>
      <c r="AY418" s="141"/>
      <c r="AZ418" s="141"/>
      <c r="BA418" s="141"/>
      <c r="BB418" s="141"/>
      <c r="BC418" s="141"/>
      <c r="BD418" s="141"/>
      <c r="BE418" s="141"/>
      <c r="BF418" s="141"/>
      <c r="BG418" s="141"/>
      <c r="BH418" s="141"/>
      <c r="BI418" s="141"/>
      <c r="BJ418" s="141"/>
      <c r="BK418" s="141"/>
      <c r="BL418" s="141"/>
      <c r="BM418" s="141"/>
      <c r="BN418" s="141"/>
      <c r="BO418" s="141"/>
    </row>
    <row r="419" ht="13.5" customHeight="1">
      <c r="A419" s="138"/>
      <c r="B419" s="139"/>
      <c r="C419" s="138"/>
      <c r="D419" s="138"/>
      <c r="E419" s="140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  <c r="AL419" s="141"/>
      <c r="AM419" s="141"/>
      <c r="AN419" s="141"/>
      <c r="AO419" s="141"/>
      <c r="AP419" s="141"/>
      <c r="AQ419" s="141"/>
      <c r="AR419" s="141"/>
      <c r="AS419" s="141"/>
      <c r="AT419" s="141"/>
      <c r="AU419" s="141"/>
      <c r="AV419" s="141"/>
      <c r="AW419" s="141"/>
      <c r="AX419" s="141"/>
      <c r="AY419" s="141"/>
      <c r="AZ419" s="141"/>
      <c r="BA419" s="141"/>
      <c r="BB419" s="141"/>
      <c r="BC419" s="141"/>
      <c r="BD419" s="141"/>
      <c r="BE419" s="141"/>
      <c r="BF419" s="141"/>
      <c r="BG419" s="141"/>
      <c r="BH419" s="141"/>
      <c r="BI419" s="141"/>
      <c r="BJ419" s="141"/>
      <c r="BK419" s="141"/>
      <c r="BL419" s="141"/>
      <c r="BM419" s="141"/>
      <c r="BN419" s="141"/>
      <c r="BO419" s="141"/>
    </row>
    <row r="420" ht="13.5" customHeight="1">
      <c r="A420" s="138"/>
      <c r="B420" s="139"/>
      <c r="C420" s="138"/>
      <c r="D420" s="138"/>
      <c r="E420" s="140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  <c r="AL420" s="141"/>
      <c r="AM420" s="141"/>
      <c r="AN420" s="141"/>
      <c r="AO420" s="141"/>
      <c r="AP420" s="141"/>
      <c r="AQ420" s="141"/>
      <c r="AR420" s="141"/>
      <c r="AS420" s="141"/>
      <c r="AT420" s="141"/>
      <c r="AU420" s="141"/>
      <c r="AV420" s="141"/>
      <c r="AW420" s="141"/>
      <c r="AX420" s="141"/>
      <c r="AY420" s="141"/>
      <c r="AZ420" s="141"/>
      <c r="BA420" s="141"/>
      <c r="BB420" s="141"/>
      <c r="BC420" s="141"/>
      <c r="BD420" s="141"/>
      <c r="BE420" s="141"/>
      <c r="BF420" s="141"/>
      <c r="BG420" s="141"/>
      <c r="BH420" s="141"/>
      <c r="BI420" s="141"/>
      <c r="BJ420" s="141"/>
      <c r="BK420" s="141"/>
      <c r="BL420" s="141"/>
      <c r="BM420" s="141"/>
      <c r="BN420" s="141"/>
      <c r="BO420" s="141"/>
    </row>
    <row r="421" ht="13.5" customHeight="1">
      <c r="A421" s="138"/>
      <c r="B421" s="139"/>
      <c r="C421" s="138"/>
      <c r="D421" s="138"/>
      <c r="E421" s="140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  <c r="AL421" s="141"/>
      <c r="AM421" s="141"/>
      <c r="AN421" s="141"/>
      <c r="AO421" s="141"/>
      <c r="AP421" s="141"/>
      <c r="AQ421" s="141"/>
      <c r="AR421" s="141"/>
      <c r="AS421" s="141"/>
      <c r="AT421" s="141"/>
      <c r="AU421" s="141"/>
      <c r="AV421" s="141"/>
      <c r="AW421" s="141"/>
      <c r="AX421" s="141"/>
      <c r="AY421" s="141"/>
      <c r="AZ421" s="141"/>
      <c r="BA421" s="141"/>
      <c r="BB421" s="141"/>
      <c r="BC421" s="141"/>
      <c r="BD421" s="141"/>
      <c r="BE421" s="141"/>
      <c r="BF421" s="141"/>
      <c r="BG421" s="141"/>
      <c r="BH421" s="141"/>
      <c r="BI421" s="141"/>
      <c r="BJ421" s="141"/>
      <c r="BK421" s="141"/>
      <c r="BL421" s="141"/>
      <c r="BM421" s="141"/>
      <c r="BN421" s="141"/>
      <c r="BO421" s="141"/>
    </row>
    <row r="422" ht="13.5" customHeight="1">
      <c r="A422" s="138"/>
      <c r="B422" s="139"/>
      <c r="C422" s="138"/>
      <c r="D422" s="138"/>
      <c r="E422" s="140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  <c r="AM422" s="141"/>
      <c r="AN422" s="141"/>
      <c r="AO422" s="141"/>
      <c r="AP422" s="141"/>
      <c r="AQ422" s="141"/>
      <c r="AR422" s="141"/>
      <c r="AS422" s="141"/>
      <c r="AT422" s="141"/>
      <c r="AU422" s="141"/>
      <c r="AV422" s="141"/>
      <c r="AW422" s="141"/>
      <c r="AX422" s="141"/>
      <c r="AY422" s="141"/>
      <c r="AZ422" s="141"/>
      <c r="BA422" s="141"/>
      <c r="BB422" s="141"/>
      <c r="BC422" s="141"/>
      <c r="BD422" s="141"/>
      <c r="BE422" s="141"/>
      <c r="BF422" s="141"/>
      <c r="BG422" s="141"/>
      <c r="BH422" s="141"/>
      <c r="BI422" s="141"/>
      <c r="BJ422" s="141"/>
      <c r="BK422" s="141"/>
      <c r="BL422" s="141"/>
      <c r="BM422" s="141"/>
      <c r="BN422" s="141"/>
      <c r="BO422" s="141"/>
    </row>
    <row r="423" ht="13.5" customHeight="1">
      <c r="A423" s="138"/>
      <c r="B423" s="139"/>
      <c r="C423" s="138"/>
      <c r="D423" s="138"/>
      <c r="E423" s="140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  <c r="AM423" s="141"/>
      <c r="AN423" s="141"/>
      <c r="AO423" s="141"/>
      <c r="AP423" s="141"/>
      <c r="AQ423" s="141"/>
      <c r="AR423" s="141"/>
      <c r="AS423" s="141"/>
      <c r="AT423" s="141"/>
      <c r="AU423" s="141"/>
      <c r="AV423" s="141"/>
      <c r="AW423" s="141"/>
      <c r="AX423" s="141"/>
      <c r="AY423" s="141"/>
      <c r="AZ423" s="141"/>
      <c r="BA423" s="141"/>
      <c r="BB423" s="141"/>
      <c r="BC423" s="141"/>
      <c r="BD423" s="141"/>
      <c r="BE423" s="141"/>
      <c r="BF423" s="141"/>
      <c r="BG423" s="141"/>
      <c r="BH423" s="141"/>
      <c r="BI423" s="141"/>
      <c r="BJ423" s="141"/>
      <c r="BK423" s="141"/>
      <c r="BL423" s="141"/>
      <c r="BM423" s="141"/>
      <c r="BN423" s="141"/>
      <c r="BO423" s="141"/>
    </row>
    <row r="424" ht="13.5" customHeight="1">
      <c r="A424" s="138"/>
      <c r="B424" s="139"/>
      <c r="C424" s="138"/>
      <c r="D424" s="138"/>
      <c r="E424" s="140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141"/>
      <c r="AO424" s="141"/>
      <c r="AP424" s="141"/>
      <c r="AQ424" s="141"/>
      <c r="AR424" s="141"/>
      <c r="AS424" s="141"/>
      <c r="AT424" s="141"/>
      <c r="AU424" s="141"/>
      <c r="AV424" s="141"/>
      <c r="AW424" s="141"/>
      <c r="AX424" s="141"/>
      <c r="AY424" s="141"/>
      <c r="AZ424" s="141"/>
      <c r="BA424" s="141"/>
      <c r="BB424" s="141"/>
      <c r="BC424" s="141"/>
      <c r="BD424" s="141"/>
      <c r="BE424" s="141"/>
      <c r="BF424" s="141"/>
      <c r="BG424" s="141"/>
      <c r="BH424" s="141"/>
      <c r="BI424" s="141"/>
      <c r="BJ424" s="141"/>
      <c r="BK424" s="141"/>
      <c r="BL424" s="141"/>
      <c r="BM424" s="141"/>
      <c r="BN424" s="141"/>
      <c r="BO424" s="141"/>
    </row>
    <row r="425" ht="13.5" customHeight="1">
      <c r="A425" s="138"/>
      <c r="B425" s="139"/>
      <c r="C425" s="138"/>
      <c r="D425" s="138"/>
      <c r="E425" s="140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  <c r="AM425" s="141"/>
      <c r="AN425" s="141"/>
      <c r="AO425" s="141"/>
      <c r="AP425" s="141"/>
      <c r="AQ425" s="141"/>
      <c r="AR425" s="141"/>
      <c r="AS425" s="141"/>
      <c r="AT425" s="141"/>
      <c r="AU425" s="141"/>
      <c r="AV425" s="141"/>
      <c r="AW425" s="141"/>
      <c r="AX425" s="141"/>
      <c r="AY425" s="141"/>
      <c r="AZ425" s="141"/>
      <c r="BA425" s="141"/>
      <c r="BB425" s="141"/>
      <c r="BC425" s="141"/>
      <c r="BD425" s="141"/>
      <c r="BE425" s="141"/>
      <c r="BF425" s="141"/>
      <c r="BG425" s="141"/>
      <c r="BH425" s="141"/>
      <c r="BI425" s="141"/>
      <c r="BJ425" s="141"/>
      <c r="BK425" s="141"/>
      <c r="BL425" s="141"/>
      <c r="BM425" s="141"/>
      <c r="BN425" s="141"/>
      <c r="BO425" s="141"/>
    </row>
    <row r="426" ht="13.5" customHeight="1">
      <c r="A426" s="138"/>
      <c r="B426" s="139"/>
      <c r="C426" s="138"/>
      <c r="D426" s="138"/>
      <c r="E426" s="140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  <c r="AM426" s="141"/>
      <c r="AN426" s="141"/>
      <c r="AO426" s="141"/>
      <c r="AP426" s="141"/>
      <c r="AQ426" s="141"/>
      <c r="AR426" s="141"/>
      <c r="AS426" s="141"/>
      <c r="AT426" s="141"/>
      <c r="AU426" s="141"/>
      <c r="AV426" s="141"/>
      <c r="AW426" s="141"/>
      <c r="AX426" s="141"/>
      <c r="AY426" s="141"/>
      <c r="AZ426" s="141"/>
      <c r="BA426" s="141"/>
      <c r="BB426" s="141"/>
      <c r="BC426" s="141"/>
      <c r="BD426" s="141"/>
      <c r="BE426" s="141"/>
      <c r="BF426" s="141"/>
      <c r="BG426" s="141"/>
      <c r="BH426" s="141"/>
      <c r="BI426" s="141"/>
      <c r="BJ426" s="141"/>
      <c r="BK426" s="141"/>
      <c r="BL426" s="141"/>
      <c r="BM426" s="141"/>
      <c r="BN426" s="141"/>
      <c r="BO426" s="141"/>
    </row>
    <row r="427" ht="13.5" customHeight="1">
      <c r="A427" s="138"/>
      <c r="B427" s="139"/>
      <c r="C427" s="138"/>
      <c r="D427" s="138"/>
      <c r="E427" s="140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  <c r="AM427" s="141"/>
      <c r="AN427" s="141"/>
      <c r="AO427" s="141"/>
      <c r="AP427" s="141"/>
      <c r="AQ427" s="141"/>
      <c r="AR427" s="141"/>
      <c r="AS427" s="141"/>
      <c r="AT427" s="141"/>
      <c r="AU427" s="141"/>
      <c r="AV427" s="141"/>
      <c r="AW427" s="141"/>
      <c r="AX427" s="141"/>
      <c r="AY427" s="141"/>
      <c r="AZ427" s="141"/>
      <c r="BA427" s="141"/>
      <c r="BB427" s="141"/>
      <c r="BC427" s="141"/>
      <c r="BD427" s="141"/>
      <c r="BE427" s="141"/>
      <c r="BF427" s="141"/>
      <c r="BG427" s="141"/>
      <c r="BH427" s="141"/>
      <c r="BI427" s="141"/>
      <c r="BJ427" s="141"/>
      <c r="BK427" s="141"/>
      <c r="BL427" s="141"/>
      <c r="BM427" s="141"/>
      <c r="BN427" s="141"/>
      <c r="BO427" s="141"/>
    </row>
    <row r="428" ht="13.5" customHeight="1">
      <c r="A428" s="138"/>
      <c r="B428" s="139"/>
      <c r="C428" s="138"/>
      <c r="D428" s="138"/>
      <c r="E428" s="140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  <c r="AM428" s="141"/>
      <c r="AN428" s="141"/>
      <c r="AO428" s="141"/>
      <c r="AP428" s="141"/>
      <c r="AQ428" s="141"/>
      <c r="AR428" s="141"/>
      <c r="AS428" s="141"/>
      <c r="AT428" s="141"/>
      <c r="AU428" s="141"/>
      <c r="AV428" s="141"/>
      <c r="AW428" s="141"/>
      <c r="AX428" s="141"/>
      <c r="AY428" s="141"/>
      <c r="AZ428" s="141"/>
      <c r="BA428" s="141"/>
      <c r="BB428" s="141"/>
      <c r="BC428" s="141"/>
      <c r="BD428" s="141"/>
      <c r="BE428" s="141"/>
      <c r="BF428" s="141"/>
      <c r="BG428" s="141"/>
      <c r="BH428" s="141"/>
      <c r="BI428" s="141"/>
      <c r="BJ428" s="141"/>
      <c r="BK428" s="141"/>
      <c r="BL428" s="141"/>
      <c r="BM428" s="141"/>
      <c r="BN428" s="141"/>
      <c r="BO428" s="141"/>
    </row>
    <row r="429" ht="13.5" customHeight="1">
      <c r="A429" s="138"/>
      <c r="B429" s="139"/>
      <c r="C429" s="138"/>
      <c r="D429" s="138"/>
      <c r="E429" s="140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  <c r="AM429" s="141"/>
      <c r="AN429" s="141"/>
      <c r="AO429" s="141"/>
      <c r="AP429" s="141"/>
      <c r="AQ429" s="141"/>
      <c r="AR429" s="141"/>
      <c r="AS429" s="141"/>
      <c r="AT429" s="141"/>
      <c r="AU429" s="141"/>
      <c r="AV429" s="141"/>
      <c r="AW429" s="141"/>
      <c r="AX429" s="141"/>
      <c r="AY429" s="141"/>
      <c r="AZ429" s="141"/>
      <c r="BA429" s="141"/>
      <c r="BB429" s="141"/>
      <c r="BC429" s="141"/>
      <c r="BD429" s="141"/>
      <c r="BE429" s="141"/>
      <c r="BF429" s="141"/>
      <c r="BG429" s="141"/>
      <c r="BH429" s="141"/>
      <c r="BI429" s="141"/>
      <c r="BJ429" s="141"/>
      <c r="BK429" s="141"/>
      <c r="BL429" s="141"/>
      <c r="BM429" s="141"/>
      <c r="BN429" s="141"/>
      <c r="BO429" s="141"/>
    </row>
    <row r="430" ht="13.5" customHeight="1">
      <c r="A430" s="138"/>
      <c r="B430" s="139"/>
      <c r="C430" s="138"/>
      <c r="D430" s="138"/>
      <c r="E430" s="140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  <c r="AM430" s="141"/>
      <c r="AN430" s="141"/>
      <c r="AO430" s="141"/>
      <c r="AP430" s="141"/>
      <c r="AQ430" s="141"/>
      <c r="AR430" s="141"/>
      <c r="AS430" s="141"/>
      <c r="AT430" s="141"/>
      <c r="AU430" s="141"/>
      <c r="AV430" s="141"/>
      <c r="AW430" s="141"/>
      <c r="AX430" s="141"/>
      <c r="AY430" s="141"/>
      <c r="AZ430" s="141"/>
      <c r="BA430" s="141"/>
      <c r="BB430" s="141"/>
      <c r="BC430" s="141"/>
      <c r="BD430" s="141"/>
      <c r="BE430" s="141"/>
      <c r="BF430" s="141"/>
      <c r="BG430" s="141"/>
      <c r="BH430" s="141"/>
      <c r="BI430" s="141"/>
      <c r="BJ430" s="141"/>
      <c r="BK430" s="141"/>
      <c r="BL430" s="141"/>
      <c r="BM430" s="141"/>
      <c r="BN430" s="141"/>
      <c r="BO430" s="141"/>
    </row>
    <row r="431" ht="13.5" customHeight="1">
      <c r="A431" s="138"/>
      <c r="B431" s="139"/>
      <c r="C431" s="138"/>
      <c r="D431" s="138"/>
      <c r="E431" s="140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/>
      <c r="AP431" s="141"/>
      <c r="AQ431" s="141"/>
      <c r="AR431" s="141"/>
      <c r="AS431" s="141"/>
      <c r="AT431" s="141"/>
      <c r="AU431" s="141"/>
      <c r="AV431" s="141"/>
      <c r="AW431" s="141"/>
      <c r="AX431" s="141"/>
      <c r="AY431" s="141"/>
      <c r="AZ431" s="141"/>
      <c r="BA431" s="141"/>
      <c r="BB431" s="141"/>
      <c r="BC431" s="141"/>
      <c r="BD431" s="141"/>
      <c r="BE431" s="141"/>
      <c r="BF431" s="141"/>
      <c r="BG431" s="141"/>
      <c r="BH431" s="141"/>
      <c r="BI431" s="141"/>
      <c r="BJ431" s="141"/>
      <c r="BK431" s="141"/>
      <c r="BL431" s="141"/>
      <c r="BM431" s="141"/>
      <c r="BN431" s="141"/>
      <c r="BO431" s="141"/>
    </row>
    <row r="432" ht="13.5" customHeight="1">
      <c r="A432" s="138"/>
      <c r="B432" s="139"/>
      <c r="C432" s="138"/>
      <c r="D432" s="138"/>
      <c r="E432" s="140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/>
      <c r="AP432" s="141"/>
      <c r="AQ432" s="141"/>
      <c r="AR432" s="141"/>
      <c r="AS432" s="141"/>
      <c r="AT432" s="141"/>
      <c r="AU432" s="141"/>
      <c r="AV432" s="141"/>
      <c r="AW432" s="141"/>
      <c r="AX432" s="141"/>
      <c r="AY432" s="141"/>
      <c r="AZ432" s="141"/>
      <c r="BA432" s="141"/>
      <c r="BB432" s="141"/>
      <c r="BC432" s="141"/>
      <c r="BD432" s="141"/>
      <c r="BE432" s="141"/>
      <c r="BF432" s="141"/>
      <c r="BG432" s="141"/>
      <c r="BH432" s="141"/>
      <c r="BI432" s="141"/>
      <c r="BJ432" s="141"/>
      <c r="BK432" s="141"/>
      <c r="BL432" s="141"/>
      <c r="BM432" s="141"/>
      <c r="BN432" s="141"/>
      <c r="BO432" s="141"/>
    </row>
    <row r="433" ht="13.5" customHeight="1">
      <c r="A433" s="138"/>
      <c r="B433" s="139"/>
      <c r="C433" s="138"/>
      <c r="D433" s="138"/>
      <c r="E433" s="140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  <c r="AM433" s="141"/>
      <c r="AN433" s="141"/>
      <c r="AO433" s="141"/>
      <c r="AP433" s="141"/>
      <c r="AQ433" s="141"/>
      <c r="AR433" s="141"/>
      <c r="AS433" s="141"/>
      <c r="AT433" s="141"/>
      <c r="AU433" s="141"/>
      <c r="AV433" s="141"/>
      <c r="AW433" s="141"/>
      <c r="AX433" s="141"/>
      <c r="AY433" s="141"/>
      <c r="AZ433" s="141"/>
      <c r="BA433" s="141"/>
      <c r="BB433" s="141"/>
      <c r="BC433" s="141"/>
      <c r="BD433" s="141"/>
      <c r="BE433" s="141"/>
      <c r="BF433" s="141"/>
      <c r="BG433" s="141"/>
      <c r="BH433" s="141"/>
      <c r="BI433" s="141"/>
      <c r="BJ433" s="141"/>
      <c r="BK433" s="141"/>
      <c r="BL433" s="141"/>
      <c r="BM433" s="141"/>
      <c r="BN433" s="141"/>
      <c r="BO433" s="141"/>
    </row>
    <row r="434" ht="13.5" customHeight="1">
      <c r="A434" s="138"/>
      <c r="B434" s="139"/>
      <c r="C434" s="138"/>
      <c r="D434" s="138"/>
      <c r="E434" s="140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  <c r="AM434" s="141"/>
      <c r="AN434" s="141"/>
      <c r="AO434" s="141"/>
      <c r="AP434" s="141"/>
      <c r="AQ434" s="141"/>
      <c r="AR434" s="141"/>
      <c r="AS434" s="141"/>
      <c r="AT434" s="141"/>
      <c r="AU434" s="141"/>
      <c r="AV434" s="141"/>
      <c r="AW434" s="141"/>
      <c r="AX434" s="141"/>
      <c r="AY434" s="141"/>
      <c r="AZ434" s="141"/>
      <c r="BA434" s="141"/>
      <c r="BB434" s="141"/>
      <c r="BC434" s="141"/>
      <c r="BD434" s="141"/>
      <c r="BE434" s="141"/>
      <c r="BF434" s="141"/>
      <c r="BG434" s="141"/>
      <c r="BH434" s="141"/>
      <c r="BI434" s="141"/>
      <c r="BJ434" s="141"/>
      <c r="BK434" s="141"/>
      <c r="BL434" s="141"/>
      <c r="BM434" s="141"/>
      <c r="BN434" s="141"/>
      <c r="BO434" s="141"/>
    </row>
    <row r="435" ht="13.5" customHeight="1">
      <c r="A435" s="138"/>
      <c r="B435" s="139"/>
      <c r="C435" s="138"/>
      <c r="D435" s="138"/>
      <c r="E435" s="140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  <c r="AM435" s="141"/>
      <c r="AN435" s="141"/>
      <c r="AO435" s="141"/>
      <c r="AP435" s="141"/>
      <c r="AQ435" s="141"/>
      <c r="AR435" s="141"/>
      <c r="AS435" s="141"/>
      <c r="AT435" s="141"/>
      <c r="AU435" s="141"/>
      <c r="AV435" s="141"/>
      <c r="AW435" s="141"/>
      <c r="AX435" s="141"/>
      <c r="AY435" s="141"/>
      <c r="AZ435" s="141"/>
      <c r="BA435" s="141"/>
      <c r="BB435" s="141"/>
      <c r="BC435" s="141"/>
      <c r="BD435" s="141"/>
      <c r="BE435" s="141"/>
      <c r="BF435" s="141"/>
      <c r="BG435" s="141"/>
      <c r="BH435" s="141"/>
      <c r="BI435" s="141"/>
      <c r="BJ435" s="141"/>
      <c r="BK435" s="141"/>
      <c r="BL435" s="141"/>
      <c r="BM435" s="141"/>
      <c r="BN435" s="141"/>
      <c r="BO435" s="141"/>
    </row>
    <row r="436" ht="13.5" customHeight="1">
      <c r="A436" s="138"/>
      <c r="B436" s="139"/>
      <c r="C436" s="138"/>
      <c r="D436" s="138"/>
      <c r="E436" s="140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141"/>
      <c r="AO436" s="141"/>
      <c r="AP436" s="141"/>
      <c r="AQ436" s="141"/>
      <c r="AR436" s="141"/>
      <c r="AS436" s="141"/>
      <c r="AT436" s="141"/>
      <c r="AU436" s="141"/>
      <c r="AV436" s="141"/>
      <c r="AW436" s="141"/>
      <c r="AX436" s="141"/>
      <c r="AY436" s="141"/>
      <c r="AZ436" s="141"/>
      <c r="BA436" s="141"/>
      <c r="BB436" s="141"/>
      <c r="BC436" s="141"/>
      <c r="BD436" s="141"/>
      <c r="BE436" s="141"/>
      <c r="BF436" s="141"/>
      <c r="BG436" s="141"/>
      <c r="BH436" s="141"/>
      <c r="BI436" s="141"/>
      <c r="BJ436" s="141"/>
      <c r="BK436" s="141"/>
      <c r="BL436" s="141"/>
      <c r="BM436" s="141"/>
      <c r="BN436" s="141"/>
      <c r="BO436" s="141"/>
    </row>
    <row r="437" ht="13.5" customHeight="1">
      <c r="A437" s="138"/>
      <c r="B437" s="139"/>
      <c r="C437" s="138"/>
      <c r="D437" s="138"/>
      <c r="E437" s="140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  <c r="AO437" s="141"/>
      <c r="AP437" s="141"/>
      <c r="AQ437" s="141"/>
      <c r="AR437" s="141"/>
      <c r="AS437" s="141"/>
      <c r="AT437" s="141"/>
      <c r="AU437" s="141"/>
      <c r="AV437" s="141"/>
      <c r="AW437" s="141"/>
      <c r="AX437" s="141"/>
      <c r="AY437" s="141"/>
      <c r="AZ437" s="141"/>
      <c r="BA437" s="141"/>
      <c r="BB437" s="141"/>
      <c r="BC437" s="141"/>
      <c r="BD437" s="141"/>
      <c r="BE437" s="141"/>
      <c r="BF437" s="141"/>
      <c r="BG437" s="141"/>
      <c r="BH437" s="141"/>
      <c r="BI437" s="141"/>
      <c r="BJ437" s="141"/>
      <c r="BK437" s="141"/>
      <c r="BL437" s="141"/>
      <c r="BM437" s="141"/>
      <c r="BN437" s="141"/>
      <c r="BO437" s="141"/>
    </row>
    <row r="438" ht="13.5" customHeight="1">
      <c r="A438" s="138"/>
      <c r="B438" s="139"/>
      <c r="C438" s="138"/>
      <c r="D438" s="138"/>
      <c r="E438" s="140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  <c r="AO438" s="141"/>
      <c r="AP438" s="141"/>
      <c r="AQ438" s="141"/>
      <c r="AR438" s="141"/>
      <c r="AS438" s="141"/>
      <c r="AT438" s="141"/>
      <c r="AU438" s="141"/>
      <c r="AV438" s="141"/>
      <c r="AW438" s="141"/>
      <c r="AX438" s="141"/>
      <c r="AY438" s="141"/>
      <c r="AZ438" s="141"/>
      <c r="BA438" s="141"/>
      <c r="BB438" s="141"/>
      <c r="BC438" s="141"/>
      <c r="BD438" s="141"/>
      <c r="BE438" s="141"/>
      <c r="BF438" s="141"/>
      <c r="BG438" s="141"/>
      <c r="BH438" s="141"/>
      <c r="BI438" s="141"/>
      <c r="BJ438" s="141"/>
      <c r="BK438" s="141"/>
      <c r="BL438" s="141"/>
      <c r="BM438" s="141"/>
      <c r="BN438" s="141"/>
      <c r="BO438" s="141"/>
    </row>
    <row r="439" ht="13.5" customHeight="1">
      <c r="A439" s="138"/>
      <c r="B439" s="139"/>
      <c r="C439" s="138"/>
      <c r="D439" s="138"/>
      <c r="E439" s="140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/>
      <c r="AP439" s="141"/>
      <c r="AQ439" s="141"/>
      <c r="AR439" s="141"/>
      <c r="AS439" s="141"/>
      <c r="AT439" s="141"/>
      <c r="AU439" s="141"/>
      <c r="AV439" s="141"/>
      <c r="AW439" s="141"/>
      <c r="AX439" s="141"/>
      <c r="AY439" s="141"/>
      <c r="AZ439" s="141"/>
      <c r="BA439" s="141"/>
      <c r="BB439" s="141"/>
      <c r="BC439" s="141"/>
      <c r="BD439" s="141"/>
      <c r="BE439" s="141"/>
      <c r="BF439" s="141"/>
      <c r="BG439" s="141"/>
      <c r="BH439" s="141"/>
      <c r="BI439" s="141"/>
      <c r="BJ439" s="141"/>
      <c r="BK439" s="141"/>
      <c r="BL439" s="141"/>
      <c r="BM439" s="141"/>
      <c r="BN439" s="141"/>
      <c r="BO439" s="141"/>
    </row>
    <row r="440" ht="13.5" customHeight="1">
      <c r="A440" s="138"/>
      <c r="B440" s="139"/>
      <c r="C440" s="138"/>
      <c r="D440" s="138"/>
      <c r="E440" s="140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  <c r="AM440" s="141"/>
      <c r="AN440" s="141"/>
      <c r="AO440" s="141"/>
      <c r="AP440" s="141"/>
      <c r="AQ440" s="141"/>
      <c r="AR440" s="141"/>
      <c r="AS440" s="141"/>
      <c r="AT440" s="141"/>
      <c r="AU440" s="141"/>
      <c r="AV440" s="141"/>
      <c r="AW440" s="141"/>
      <c r="AX440" s="141"/>
      <c r="AY440" s="141"/>
      <c r="AZ440" s="141"/>
      <c r="BA440" s="141"/>
      <c r="BB440" s="141"/>
      <c r="BC440" s="141"/>
      <c r="BD440" s="141"/>
      <c r="BE440" s="141"/>
      <c r="BF440" s="141"/>
      <c r="BG440" s="141"/>
      <c r="BH440" s="141"/>
      <c r="BI440" s="141"/>
      <c r="BJ440" s="141"/>
      <c r="BK440" s="141"/>
      <c r="BL440" s="141"/>
      <c r="BM440" s="141"/>
      <c r="BN440" s="141"/>
      <c r="BO440" s="141"/>
    </row>
    <row r="441" ht="13.5" customHeight="1">
      <c r="A441" s="138"/>
      <c r="B441" s="139"/>
      <c r="C441" s="138"/>
      <c r="D441" s="138"/>
      <c r="E441" s="140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  <c r="AL441" s="141"/>
      <c r="AM441" s="141"/>
      <c r="AN441" s="141"/>
      <c r="AO441" s="141"/>
      <c r="AP441" s="141"/>
      <c r="AQ441" s="141"/>
      <c r="AR441" s="141"/>
      <c r="AS441" s="141"/>
      <c r="AT441" s="141"/>
      <c r="AU441" s="141"/>
      <c r="AV441" s="141"/>
      <c r="AW441" s="141"/>
      <c r="AX441" s="141"/>
      <c r="AY441" s="141"/>
      <c r="AZ441" s="141"/>
      <c r="BA441" s="141"/>
      <c r="BB441" s="141"/>
      <c r="BC441" s="141"/>
      <c r="BD441" s="141"/>
      <c r="BE441" s="141"/>
      <c r="BF441" s="141"/>
      <c r="BG441" s="141"/>
      <c r="BH441" s="141"/>
      <c r="BI441" s="141"/>
      <c r="BJ441" s="141"/>
      <c r="BK441" s="141"/>
      <c r="BL441" s="141"/>
      <c r="BM441" s="141"/>
      <c r="BN441" s="141"/>
      <c r="BO441" s="141"/>
    </row>
    <row r="442" ht="13.5" customHeight="1">
      <c r="A442" s="138"/>
      <c r="B442" s="139"/>
      <c r="C442" s="138"/>
      <c r="D442" s="138"/>
      <c r="E442" s="140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  <c r="AL442" s="141"/>
      <c r="AM442" s="141"/>
      <c r="AN442" s="141"/>
      <c r="AO442" s="141"/>
      <c r="AP442" s="141"/>
      <c r="AQ442" s="141"/>
      <c r="AR442" s="141"/>
      <c r="AS442" s="141"/>
      <c r="AT442" s="141"/>
      <c r="AU442" s="141"/>
      <c r="AV442" s="141"/>
      <c r="AW442" s="141"/>
      <c r="AX442" s="141"/>
      <c r="AY442" s="141"/>
      <c r="AZ442" s="141"/>
      <c r="BA442" s="141"/>
      <c r="BB442" s="141"/>
      <c r="BC442" s="141"/>
      <c r="BD442" s="141"/>
      <c r="BE442" s="141"/>
      <c r="BF442" s="141"/>
      <c r="BG442" s="141"/>
      <c r="BH442" s="141"/>
      <c r="BI442" s="141"/>
      <c r="BJ442" s="141"/>
      <c r="BK442" s="141"/>
      <c r="BL442" s="141"/>
      <c r="BM442" s="141"/>
      <c r="BN442" s="141"/>
      <c r="BO442" s="141"/>
    </row>
    <row r="443" ht="13.5" customHeight="1">
      <c r="A443" s="138"/>
      <c r="B443" s="139"/>
      <c r="C443" s="138"/>
      <c r="D443" s="138"/>
      <c r="E443" s="140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  <c r="AL443" s="141"/>
      <c r="AM443" s="141"/>
      <c r="AN443" s="141"/>
      <c r="AO443" s="141"/>
      <c r="AP443" s="141"/>
      <c r="AQ443" s="141"/>
      <c r="AR443" s="141"/>
      <c r="AS443" s="141"/>
      <c r="AT443" s="141"/>
      <c r="AU443" s="141"/>
      <c r="AV443" s="141"/>
      <c r="AW443" s="141"/>
      <c r="AX443" s="141"/>
      <c r="AY443" s="141"/>
      <c r="AZ443" s="141"/>
      <c r="BA443" s="141"/>
      <c r="BB443" s="141"/>
      <c r="BC443" s="141"/>
      <c r="BD443" s="141"/>
      <c r="BE443" s="141"/>
      <c r="BF443" s="141"/>
      <c r="BG443" s="141"/>
      <c r="BH443" s="141"/>
      <c r="BI443" s="141"/>
      <c r="BJ443" s="141"/>
      <c r="BK443" s="141"/>
      <c r="BL443" s="141"/>
      <c r="BM443" s="141"/>
      <c r="BN443" s="141"/>
      <c r="BO443" s="141"/>
    </row>
    <row r="444" ht="13.5" customHeight="1">
      <c r="A444" s="138"/>
      <c r="B444" s="139"/>
      <c r="C444" s="138"/>
      <c r="D444" s="138"/>
      <c r="E444" s="140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  <c r="AL444" s="141"/>
      <c r="AM444" s="141"/>
      <c r="AN444" s="141"/>
      <c r="AO444" s="141"/>
      <c r="AP444" s="141"/>
      <c r="AQ444" s="141"/>
      <c r="AR444" s="141"/>
      <c r="AS444" s="141"/>
      <c r="AT444" s="141"/>
      <c r="AU444" s="141"/>
      <c r="AV444" s="141"/>
      <c r="AW444" s="141"/>
      <c r="AX444" s="141"/>
      <c r="AY444" s="141"/>
      <c r="AZ444" s="141"/>
      <c r="BA444" s="141"/>
      <c r="BB444" s="141"/>
      <c r="BC444" s="141"/>
      <c r="BD444" s="141"/>
      <c r="BE444" s="141"/>
      <c r="BF444" s="141"/>
      <c r="BG444" s="141"/>
      <c r="BH444" s="141"/>
      <c r="BI444" s="141"/>
      <c r="BJ444" s="141"/>
      <c r="BK444" s="141"/>
      <c r="BL444" s="141"/>
      <c r="BM444" s="141"/>
      <c r="BN444" s="141"/>
      <c r="BO444" s="141"/>
    </row>
    <row r="445" ht="13.5" customHeight="1">
      <c r="A445" s="138"/>
      <c r="B445" s="139"/>
      <c r="C445" s="138"/>
      <c r="D445" s="138"/>
      <c r="E445" s="140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  <c r="AL445" s="141"/>
      <c r="AM445" s="141"/>
      <c r="AN445" s="141"/>
      <c r="AO445" s="141"/>
      <c r="AP445" s="141"/>
      <c r="AQ445" s="141"/>
      <c r="AR445" s="141"/>
      <c r="AS445" s="141"/>
      <c r="AT445" s="141"/>
      <c r="AU445" s="141"/>
      <c r="AV445" s="141"/>
      <c r="AW445" s="141"/>
      <c r="AX445" s="141"/>
      <c r="AY445" s="141"/>
      <c r="AZ445" s="141"/>
      <c r="BA445" s="141"/>
      <c r="BB445" s="141"/>
      <c r="BC445" s="141"/>
      <c r="BD445" s="141"/>
      <c r="BE445" s="141"/>
      <c r="BF445" s="141"/>
      <c r="BG445" s="141"/>
      <c r="BH445" s="141"/>
      <c r="BI445" s="141"/>
      <c r="BJ445" s="141"/>
      <c r="BK445" s="141"/>
      <c r="BL445" s="141"/>
      <c r="BM445" s="141"/>
      <c r="BN445" s="141"/>
      <c r="BO445" s="141"/>
    </row>
    <row r="446" ht="13.5" customHeight="1">
      <c r="A446" s="138"/>
      <c r="B446" s="139"/>
      <c r="C446" s="138"/>
      <c r="D446" s="138"/>
      <c r="E446" s="140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  <c r="AL446" s="141"/>
      <c r="AM446" s="141"/>
      <c r="AN446" s="141"/>
      <c r="AO446" s="141"/>
      <c r="AP446" s="141"/>
      <c r="AQ446" s="141"/>
      <c r="AR446" s="141"/>
      <c r="AS446" s="141"/>
      <c r="AT446" s="141"/>
      <c r="AU446" s="141"/>
      <c r="AV446" s="141"/>
      <c r="AW446" s="141"/>
      <c r="AX446" s="141"/>
      <c r="AY446" s="141"/>
      <c r="AZ446" s="141"/>
      <c r="BA446" s="141"/>
      <c r="BB446" s="141"/>
      <c r="BC446" s="141"/>
      <c r="BD446" s="141"/>
      <c r="BE446" s="141"/>
      <c r="BF446" s="141"/>
      <c r="BG446" s="141"/>
      <c r="BH446" s="141"/>
      <c r="BI446" s="141"/>
      <c r="BJ446" s="141"/>
      <c r="BK446" s="141"/>
      <c r="BL446" s="141"/>
      <c r="BM446" s="141"/>
      <c r="BN446" s="141"/>
      <c r="BO446" s="141"/>
    </row>
    <row r="447" ht="13.5" customHeight="1">
      <c r="A447" s="138"/>
      <c r="B447" s="139"/>
      <c r="C447" s="138"/>
      <c r="D447" s="138"/>
      <c r="E447" s="140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  <c r="AL447" s="141"/>
      <c r="AM447" s="141"/>
      <c r="AN447" s="141"/>
      <c r="AO447" s="141"/>
      <c r="AP447" s="141"/>
      <c r="AQ447" s="141"/>
      <c r="AR447" s="141"/>
      <c r="AS447" s="141"/>
      <c r="AT447" s="141"/>
      <c r="AU447" s="141"/>
      <c r="AV447" s="141"/>
      <c r="AW447" s="141"/>
      <c r="AX447" s="141"/>
      <c r="AY447" s="141"/>
      <c r="AZ447" s="141"/>
      <c r="BA447" s="141"/>
      <c r="BB447" s="141"/>
      <c r="BC447" s="141"/>
      <c r="BD447" s="141"/>
      <c r="BE447" s="141"/>
      <c r="BF447" s="141"/>
      <c r="BG447" s="141"/>
      <c r="BH447" s="141"/>
      <c r="BI447" s="141"/>
      <c r="BJ447" s="141"/>
      <c r="BK447" s="141"/>
      <c r="BL447" s="141"/>
      <c r="BM447" s="141"/>
      <c r="BN447" s="141"/>
      <c r="BO447" s="141"/>
    </row>
    <row r="448" ht="13.5" customHeight="1">
      <c r="A448" s="138"/>
      <c r="B448" s="139"/>
      <c r="C448" s="138"/>
      <c r="D448" s="138"/>
      <c r="E448" s="140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  <c r="AL448" s="141"/>
      <c r="AM448" s="141"/>
      <c r="AN448" s="141"/>
      <c r="AO448" s="141"/>
      <c r="AP448" s="141"/>
      <c r="AQ448" s="141"/>
      <c r="AR448" s="141"/>
      <c r="AS448" s="141"/>
      <c r="AT448" s="141"/>
      <c r="AU448" s="141"/>
      <c r="AV448" s="141"/>
      <c r="AW448" s="141"/>
      <c r="AX448" s="141"/>
      <c r="AY448" s="141"/>
      <c r="AZ448" s="141"/>
      <c r="BA448" s="141"/>
      <c r="BB448" s="141"/>
      <c r="BC448" s="141"/>
      <c r="BD448" s="141"/>
      <c r="BE448" s="141"/>
      <c r="BF448" s="141"/>
      <c r="BG448" s="141"/>
      <c r="BH448" s="141"/>
      <c r="BI448" s="141"/>
      <c r="BJ448" s="141"/>
      <c r="BK448" s="141"/>
      <c r="BL448" s="141"/>
      <c r="BM448" s="141"/>
      <c r="BN448" s="141"/>
      <c r="BO448" s="141"/>
    </row>
    <row r="449" ht="13.5" customHeight="1">
      <c r="A449" s="138"/>
      <c r="B449" s="139"/>
      <c r="C449" s="138"/>
      <c r="D449" s="138"/>
      <c r="E449" s="140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  <c r="AM449" s="141"/>
      <c r="AN449" s="141"/>
      <c r="AO449" s="141"/>
      <c r="AP449" s="141"/>
      <c r="AQ449" s="141"/>
      <c r="AR449" s="141"/>
      <c r="AS449" s="141"/>
      <c r="AT449" s="141"/>
      <c r="AU449" s="141"/>
      <c r="AV449" s="141"/>
      <c r="AW449" s="141"/>
      <c r="AX449" s="141"/>
      <c r="AY449" s="141"/>
      <c r="AZ449" s="141"/>
      <c r="BA449" s="141"/>
      <c r="BB449" s="141"/>
      <c r="BC449" s="141"/>
      <c r="BD449" s="141"/>
      <c r="BE449" s="141"/>
      <c r="BF449" s="141"/>
      <c r="BG449" s="141"/>
      <c r="BH449" s="141"/>
      <c r="BI449" s="141"/>
      <c r="BJ449" s="141"/>
      <c r="BK449" s="141"/>
      <c r="BL449" s="141"/>
      <c r="BM449" s="141"/>
      <c r="BN449" s="141"/>
      <c r="BO449" s="141"/>
    </row>
    <row r="450" ht="13.5" customHeight="1">
      <c r="A450" s="138"/>
      <c r="B450" s="139"/>
      <c r="C450" s="138"/>
      <c r="D450" s="138"/>
      <c r="E450" s="140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  <c r="AL450" s="141"/>
      <c r="AM450" s="141"/>
      <c r="AN450" s="141"/>
      <c r="AO450" s="141"/>
      <c r="AP450" s="141"/>
      <c r="AQ450" s="141"/>
      <c r="AR450" s="141"/>
      <c r="AS450" s="141"/>
      <c r="AT450" s="141"/>
      <c r="AU450" s="141"/>
      <c r="AV450" s="141"/>
      <c r="AW450" s="141"/>
      <c r="AX450" s="141"/>
      <c r="AY450" s="141"/>
      <c r="AZ450" s="141"/>
      <c r="BA450" s="141"/>
      <c r="BB450" s="141"/>
      <c r="BC450" s="141"/>
      <c r="BD450" s="141"/>
      <c r="BE450" s="141"/>
      <c r="BF450" s="141"/>
      <c r="BG450" s="141"/>
      <c r="BH450" s="141"/>
      <c r="BI450" s="141"/>
      <c r="BJ450" s="141"/>
      <c r="BK450" s="141"/>
      <c r="BL450" s="141"/>
      <c r="BM450" s="141"/>
      <c r="BN450" s="141"/>
      <c r="BO450" s="141"/>
    </row>
    <row r="451" ht="13.5" customHeight="1">
      <c r="A451" s="138"/>
      <c r="B451" s="139"/>
      <c r="C451" s="138"/>
      <c r="D451" s="138"/>
      <c r="E451" s="140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  <c r="AL451" s="141"/>
      <c r="AM451" s="141"/>
      <c r="AN451" s="141"/>
      <c r="AO451" s="141"/>
      <c r="AP451" s="141"/>
      <c r="AQ451" s="141"/>
      <c r="AR451" s="141"/>
      <c r="AS451" s="141"/>
      <c r="AT451" s="141"/>
      <c r="AU451" s="141"/>
      <c r="AV451" s="141"/>
      <c r="AW451" s="141"/>
      <c r="AX451" s="141"/>
      <c r="AY451" s="141"/>
      <c r="AZ451" s="141"/>
      <c r="BA451" s="141"/>
      <c r="BB451" s="141"/>
      <c r="BC451" s="141"/>
      <c r="BD451" s="141"/>
      <c r="BE451" s="141"/>
      <c r="BF451" s="141"/>
      <c r="BG451" s="141"/>
      <c r="BH451" s="141"/>
      <c r="BI451" s="141"/>
      <c r="BJ451" s="141"/>
      <c r="BK451" s="141"/>
      <c r="BL451" s="141"/>
      <c r="BM451" s="141"/>
      <c r="BN451" s="141"/>
      <c r="BO451" s="141"/>
    </row>
    <row r="452" ht="13.5" customHeight="1">
      <c r="A452" s="138"/>
      <c r="B452" s="139"/>
      <c r="C452" s="138"/>
      <c r="D452" s="138"/>
      <c r="E452" s="140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  <c r="AL452" s="141"/>
      <c r="AM452" s="141"/>
      <c r="AN452" s="141"/>
      <c r="AO452" s="141"/>
      <c r="AP452" s="141"/>
      <c r="AQ452" s="141"/>
      <c r="AR452" s="141"/>
      <c r="AS452" s="141"/>
      <c r="AT452" s="141"/>
      <c r="AU452" s="141"/>
      <c r="AV452" s="141"/>
      <c r="AW452" s="141"/>
      <c r="AX452" s="141"/>
      <c r="AY452" s="141"/>
      <c r="AZ452" s="141"/>
      <c r="BA452" s="141"/>
      <c r="BB452" s="141"/>
      <c r="BC452" s="141"/>
      <c r="BD452" s="141"/>
      <c r="BE452" s="141"/>
      <c r="BF452" s="141"/>
      <c r="BG452" s="141"/>
      <c r="BH452" s="141"/>
      <c r="BI452" s="141"/>
      <c r="BJ452" s="141"/>
      <c r="BK452" s="141"/>
      <c r="BL452" s="141"/>
      <c r="BM452" s="141"/>
      <c r="BN452" s="141"/>
      <c r="BO452" s="141"/>
    </row>
    <row r="453" ht="13.5" customHeight="1">
      <c r="A453" s="138"/>
      <c r="B453" s="139"/>
      <c r="C453" s="138"/>
      <c r="D453" s="138"/>
      <c r="E453" s="140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  <c r="AL453" s="141"/>
      <c r="AM453" s="141"/>
      <c r="AN453" s="141"/>
      <c r="AO453" s="141"/>
      <c r="AP453" s="141"/>
      <c r="AQ453" s="141"/>
      <c r="AR453" s="141"/>
      <c r="AS453" s="141"/>
      <c r="AT453" s="141"/>
      <c r="AU453" s="141"/>
      <c r="AV453" s="141"/>
      <c r="AW453" s="141"/>
      <c r="AX453" s="141"/>
      <c r="AY453" s="141"/>
      <c r="AZ453" s="141"/>
      <c r="BA453" s="141"/>
      <c r="BB453" s="141"/>
      <c r="BC453" s="141"/>
      <c r="BD453" s="141"/>
      <c r="BE453" s="141"/>
      <c r="BF453" s="141"/>
      <c r="BG453" s="141"/>
      <c r="BH453" s="141"/>
      <c r="BI453" s="141"/>
      <c r="BJ453" s="141"/>
      <c r="BK453" s="141"/>
      <c r="BL453" s="141"/>
      <c r="BM453" s="141"/>
      <c r="BN453" s="141"/>
      <c r="BO453" s="141"/>
    </row>
    <row r="454" ht="13.5" customHeight="1">
      <c r="A454" s="138"/>
      <c r="B454" s="139"/>
      <c r="C454" s="138"/>
      <c r="D454" s="138"/>
      <c r="E454" s="140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  <c r="AL454" s="141"/>
      <c r="AM454" s="141"/>
      <c r="AN454" s="141"/>
      <c r="AO454" s="141"/>
      <c r="AP454" s="141"/>
      <c r="AQ454" s="141"/>
      <c r="AR454" s="141"/>
      <c r="AS454" s="141"/>
      <c r="AT454" s="141"/>
      <c r="AU454" s="141"/>
      <c r="AV454" s="141"/>
      <c r="AW454" s="141"/>
      <c r="AX454" s="141"/>
      <c r="AY454" s="141"/>
      <c r="AZ454" s="141"/>
      <c r="BA454" s="141"/>
      <c r="BB454" s="141"/>
      <c r="BC454" s="141"/>
      <c r="BD454" s="141"/>
      <c r="BE454" s="141"/>
      <c r="BF454" s="141"/>
      <c r="BG454" s="141"/>
      <c r="BH454" s="141"/>
      <c r="BI454" s="141"/>
      <c r="BJ454" s="141"/>
      <c r="BK454" s="141"/>
      <c r="BL454" s="141"/>
      <c r="BM454" s="141"/>
      <c r="BN454" s="141"/>
      <c r="BO454" s="141"/>
    </row>
    <row r="455" ht="13.5" customHeight="1">
      <c r="A455" s="138"/>
      <c r="B455" s="139"/>
      <c r="C455" s="138"/>
      <c r="D455" s="138"/>
      <c r="E455" s="140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  <c r="AL455" s="141"/>
      <c r="AM455" s="141"/>
      <c r="AN455" s="141"/>
      <c r="AO455" s="141"/>
      <c r="AP455" s="141"/>
      <c r="AQ455" s="141"/>
      <c r="AR455" s="141"/>
      <c r="AS455" s="141"/>
      <c r="AT455" s="141"/>
      <c r="AU455" s="141"/>
      <c r="AV455" s="141"/>
      <c r="AW455" s="141"/>
      <c r="AX455" s="141"/>
      <c r="AY455" s="141"/>
      <c r="AZ455" s="141"/>
      <c r="BA455" s="141"/>
      <c r="BB455" s="141"/>
      <c r="BC455" s="141"/>
      <c r="BD455" s="141"/>
      <c r="BE455" s="141"/>
      <c r="BF455" s="141"/>
      <c r="BG455" s="141"/>
      <c r="BH455" s="141"/>
      <c r="BI455" s="141"/>
      <c r="BJ455" s="141"/>
      <c r="BK455" s="141"/>
      <c r="BL455" s="141"/>
      <c r="BM455" s="141"/>
      <c r="BN455" s="141"/>
      <c r="BO455" s="141"/>
    </row>
    <row r="456" ht="13.5" customHeight="1">
      <c r="A456" s="138"/>
      <c r="B456" s="139"/>
      <c r="C456" s="138"/>
      <c r="D456" s="138"/>
      <c r="E456" s="140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  <c r="AL456" s="141"/>
      <c r="AM456" s="141"/>
      <c r="AN456" s="141"/>
      <c r="AO456" s="141"/>
      <c r="AP456" s="141"/>
      <c r="AQ456" s="141"/>
      <c r="AR456" s="141"/>
      <c r="AS456" s="141"/>
      <c r="AT456" s="141"/>
      <c r="AU456" s="141"/>
      <c r="AV456" s="141"/>
      <c r="AW456" s="141"/>
      <c r="AX456" s="141"/>
      <c r="AY456" s="141"/>
      <c r="AZ456" s="141"/>
      <c r="BA456" s="141"/>
      <c r="BB456" s="141"/>
      <c r="BC456" s="141"/>
      <c r="BD456" s="141"/>
      <c r="BE456" s="141"/>
      <c r="BF456" s="141"/>
      <c r="BG456" s="141"/>
      <c r="BH456" s="141"/>
      <c r="BI456" s="141"/>
      <c r="BJ456" s="141"/>
      <c r="BK456" s="141"/>
      <c r="BL456" s="141"/>
      <c r="BM456" s="141"/>
      <c r="BN456" s="141"/>
      <c r="BO456" s="141"/>
    </row>
    <row r="457" ht="13.5" customHeight="1">
      <c r="A457" s="138"/>
      <c r="B457" s="139"/>
      <c r="C457" s="138"/>
      <c r="D457" s="138"/>
      <c r="E457" s="140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  <c r="AM457" s="141"/>
      <c r="AN457" s="141"/>
      <c r="AO457" s="141"/>
      <c r="AP457" s="141"/>
      <c r="AQ457" s="141"/>
      <c r="AR457" s="141"/>
      <c r="AS457" s="141"/>
      <c r="AT457" s="141"/>
      <c r="AU457" s="141"/>
      <c r="AV457" s="141"/>
      <c r="AW457" s="141"/>
      <c r="AX457" s="141"/>
      <c r="AY457" s="141"/>
      <c r="AZ457" s="141"/>
      <c r="BA457" s="141"/>
      <c r="BB457" s="141"/>
      <c r="BC457" s="141"/>
      <c r="BD457" s="141"/>
      <c r="BE457" s="141"/>
      <c r="BF457" s="141"/>
      <c r="BG457" s="141"/>
      <c r="BH457" s="141"/>
      <c r="BI457" s="141"/>
      <c r="BJ457" s="141"/>
      <c r="BK457" s="141"/>
      <c r="BL457" s="141"/>
      <c r="BM457" s="141"/>
      <c r="BN457" s="141"/>
      <c r="BO457" s="141"/>
    </row>
    <row r="458" ht="13.5" customHeight="1">
      <c r="A458" s="138"/>
      <c r="B458" s="139"/>
      <c r="C458" s="138"/>
      <c r="D458" s="138"/>
      <c r="E458" s="140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  <c r="AM458" s="141"/>
      <c r="AN458" s="141"/>
      <c r="AO458" s="141"/>
      <c r="AP458" s="141"/>
      <c r="AQ458" s="141"/>
      <c r="AR458" s="141"/>
      <c r="AS458" s="141"/>
      <c r="AT458" s="141"/>
      <c r="AU458" s="141"/>
      <c r="AV458" s="141"/>
      <c r="AW458" s="141"/>
      <c r="AX458" s="141"/>
      <c r="AY458" s="141"/>
      <c r="AZ458" s="141"/>
      <c r="BA458" s="141"/>
      <c r="BB458" s="141"/>
      <c r="BC458" s="141"/>
      <c r="BD458" s="141"/>
      <c r="BE458" s="141"/>
      <c r="BF458" s="141"/>
      <c r="BG458" s="141"/>
      <c r="BH458" s="141"/>
      <c r="BI458" s="141"/>
      <c r="BJ458" s="141"/>
      <c r="BK458" s="141"/>
      <c r="BL458" s="141"/>
      <c r="BM458" s="141"/>
      <c r="BN458" s="141"/>
      <c r="BO458" s="141"/>
    </row>
    <row r="459" ht="13.5" customHeight="1">
      <c r="A459" s="138"/>
      <c r="B459" s="139"/>
      <c r="C459" s="138"/>
      <c r="D459" s="138"/>
      <c r="E459" s="140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/>
      <c r="AP459" s="141"/>
      <c r="AQ459" s="141"/>
      <c r="AR459" s="141"/>
      <c r="AS459" s="141"/>
      <c r="AT459" s="141"/>
      <c r="AU459" s="141"/>
      <c r="AV459" s="141"/>
      <c r="AW459" s="141"/>
      <c r="AX459" s="141"/>
      <c r="AY459" s="141"/>
      <c r="AZ459" s="141"/>
      <c r="BA459" s="141"/>
      <c r="BB459" s="141"/>
      <c r="BC459" s="141"/>
      <c r="BD459" s="141"/>
      <c r="BE459" s="141"/>
      <c r="BF459" s="141"/>
      <c r="BG459" s="141"/>
      <c r="BH459" s="141"/>
      <c r="BI459" s="141"/>
      <c r="BJ459" s="141"/>
      <c r="BK459" s="141"/>
      <c r="BL459" s="141"/>
      <c r="BM459" s="141"/>
      <c r="BN459" s="141"/>
      <c r="BO459" s="141"/>
    </row>
    <row r="460" ht="13.5" customHeight="1">
      <c r="A460" s="138"/>
      <c r="B460" s="139"/>
      <c r="C460" s="138"/>
      <c r="D460" s="138"/>
      <c r="E460" s="140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  <c r="AM460" s="141"/>
      <c r="AN460" s="141"/>
      <c r="AO460" s="141"/>
      <c r="AP460" s="141"/>
      <c r="AQ460" s="141"/>
      <c r="AR460" s="141"/>
      <c r="AS460" s="141"/>
      <c r="AT460" s="141"/>
      <c r="AU460" s="141"/>
      <c r="AV460" s="141"/>
      <c r="AW460" s="141"/>
      <c r="AX460" s="141"/>
      <c r="AY460" s="141"/>
      <c r="AZ460" s="141"/>
      <c r="BA460" s="141"/>
      <c r="BB460" s="141"/>
      <c r="BC460" s="141"/>
      <c r="BD460" s="141"/>
      <c r="BE460" s="141"/>
      <c r="BF460" s="141"/>
      <c r="BG460" s="141"/>
      <c r="BH460" s="141"/>
      <c r="BI460" s="141"/>
      <c r="BJ460" s="141"/>
      <c r="BK460" s="141"/>
      <c r="BL460" s="141"/>
      <c r="BM460" s="141"/>
      <c r="BN460" s="141"/>
      <c r="BO460" s="141"/>
    </row>
    <row r="461" ht="13.5" customHeight="1">
      <c r="A461" s="138"/>
      <c r="B461" s="139"/>
      <c r="C461" s="138"/>
      <c r="D461" s="138"/>
      <c r="E461" s="140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141"/>
      <c r="AO461" s="141"/>
      <c r="AP461" s="141"/>
      <c r="AQ461" s="141"/>
      <c r="AR461" s="141"/>
      <c r="AS461" s="141"/>
      <c r="AT461" s="141"/>
      <c r="AU461" s="141"/>
      <c r="AV461" s="141"/>
      <c r="AW461" s="141"/>
      <c r="AX461" s="141"/>
      <c r="AY461" s="141"/>
      <c r="AZ461" s="141"/>
      <c r="BA461" s="141"/>
      <c r="BB461" s="141"/>
      <c r="BC461" s="141"/>
      <c r="BD461" s="141"/>
      <c r="BE461" s="141"/>
      <c r="BF461" s="141"/>
      <c r="BG461" s="141"/>
      <c r="BH461" s="141"/>
      <c r="BI461" s="141"/>
      <c r="BJ461" s="141"/>
      <c r="BK461" s="141"/>
      <c r="BL461" s="141"/>
      <c r="BM461" s="141"/>
      <c r="BN461" s="141"/>
      <c r="BO461" s="141"/>
    </row>
    <row r="462" ht="13.5" customHeight="1">
      <c r="A462" s="138"/>
      <c r="B462" s="139"/>
      <c r="C462" s="138"/>
      <c r="D462" s="138"/>
      <c r="E462" s="140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141"/>
      <c r="AO462" s="141"/>
      <c r="AP462" s="141"/>
      <c r="AQ462" s="141"/>
      <c r="AR462" s="141"/>
      <c r="AS462" s="141"/>
      <c r="AT462" s="141"/>
      <c r="AU462" s="141"/>
      <c r="AV462" s="141"/>
      <c r="AW462" s="141"/>
      <c r="AX462" s="141"/>
      <c r="AY462" s="141"/>
      <c r="AZ462" s="141"/>
      <c r="BA462" s="141"/>
      <c r="BB462" s="141"/>
      <c r="BC462" s="141"/>
      <c r="BD462" s="141"/>
      <c r="BE462" s="141"/>
      <c r="BF462" s="141"/>
      <c r="BG462" s="141"/>
      <c r="BH462" s="141"/>
      <c r="BI462" s="141"/>
      <c r="BJ462" s="141"/>
      <c r="BK462" s="141"/>
      <c r="BL462" s="141"/>
      <c r="BM462" s="141"/>
      <c r="BN462" s="141"/>
      <c r="BO462" s="141"/>
    </row>
    <row r="463" ht="13.5" customHeight="1">
      <c r="A463" s="138"/>
      <c r="B463" s="139"/>
      <c r="C463" s="138"/>
      <c r="D463" s="138"/>
      <c r="E463" s="140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  <c r="AO463" s="141"/>
      <c r="AP463" s="141"/>
      <c r="AQ463" s="141"/>
      <c r="AR463" s="141"/>
      <c r="AS463" s="141"/>
      <c r="AT463" s="141"/>
      <c r="AU463" s="141"/>
      <c r="AV463" s="141"/>
      <c r="AW463" s="141"/>
      <c r="AX463" s="141"/>
      <c r="AY463" s="141"/>
      <c r="AZ463" s="141"/>
      <c r="BA463" s="141"/>
      <c r="BB463" s="141"/>
      <c r="BC463" s="141"/>
      <c r="BD463" s="141"/>
      <c r="BE463" s="141"/>
      <c r="BF463" s="141"/>
      <c r="BG463" s="141"/>
      <c r="BH463" s="141"/>
      <c r="BI463" s="141"/>
      <c r="BJ463" s="141"/>
      <c r="BK463" s="141"/>
      <c r="BL463" s="141"/>
      <c r="BM463" s="141"/>
      <c r="BN463" s="141"/>
      <c r="BO463" s="141"/>
    </row>
    <row r="464" ht="13.5" customHeight="1">
      <c r="A464" s="138"/>
      <c r="B464" s="139"/>
      <c r="C464" s="138"/>
      <c r="D464" s="138"/>
      <c r="E464" s="140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141"/>
      <c r="AO464" s="141"/>
      <c r="AP464" s="141"/>
      <c r="AQ464" s="141"/>
      <c r="AR464" s="141"/>
      <c r="AS464" s="141"/>
      <c r="AT464" s="141"/>
      <c r="AU464" s="141"/>
      <c r="AV464" s="141"/>
      <c r="AW464" s="141"/>
      <c r="AX464" s="141"/>
      <c r="AY464" s="141"/>
      <c r="AZ464" s="141"/>
      <c r="BA464" s="141"/>
      <c r="BB464" s="141"/>
      <c r="BC464" s="141"/>
      <c r="BD464" s="141"/>
      <c r="BE464" s="141"/>
      <c r="BF464" s="141"/>
      <c r="BG464" s="141"/>
      <c r="BH464" s="141"/>
      <c r="BI464" s="141"/>
      <c r="BJ464" s="141"/>
      <c r="BK464" s="141"/>
      <c r="BL464" s="141"/>
      <c r="BM464" s="141"/>
      <c r="BN464" s="141"/>
      <c r="BO464" s="141"/>
    </row>
    <row r="465" ht="13.5" customHeight="1">
      <c r="A465" s="138"/>
      <c r="B465" s="139"/>
      <c r="C465" s="138"/>
      <c r="D465" s="138"/>
      <c r="E465" s="140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  <c r="AM465" s="141"/>
      <c r="AN465" s="141"/>
      <c r="AO465" s="141"/>
      <c r="AP465" s="141"/>
      <c r="AQ465" s="141"/>
      <c r="AR465" s="141"/>
      <c r="AS465" s="141"/>
      <c r="AT465" s="141"/>
      <c r="AU465" s="141"/>
      <c r="AV465" s="141"/>
      <c r="AW465" s="141"/>
      <c r="AX465" s="141"/>
      <c r="AY465" s="141"/>
      <c r="AZ465" s="141"/>
      <c r="BA465" s="141"/>
      <c r="BB465" s="141"/>
      <c r="BC465" s="141"/>
      <c r="BD465" s="141"/>
      <c r="BE465" s="141"/>
      <c r="BF465" s="141"/>
      <c r="BG465" s="141"/>
      <c r="BH465" s="141"/>
      <c r="BI465" s="141"/>
      <c r="BJ465" s="141"/>
      <c r="BK465" s="141"/>
      <c r="BL465" s="141"/>
      <c r="BM465" s="141"/>
      <c r="BN465" s="141"/>
      <c r="BO465" s="141"/>
    </row>
    <row r="466" ht="13.5" customHeight="1">
      <c r="A466" s="138"/>
      <c r="B466" s="139"/>
      <c r="C466" s="138"/>
      <c r="D466" s="138"/>
      <c r="E466" s="140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  <c r="AM466" s="141"/>
      <c r="AN466" s="141"/>
      <c r="AO466" s="141"/>
      <c r="AP466" s="141"/>
      <c r="AQ466" s="141"/>
      <c r="AR466" s="141"/>
      <c r="AS466" s="141"/>
      <c r="AT466" s="141"/>
      <c r="AU466" s="141"/>
      <c r="AV466" s="141"/>
      <c r="AW466" s="141"/>
      <c r="AX466" s="141"/>
      <c r="AY466" s="141"/>
      <c r="AZ466" s="141"/>
      <c r="BA466" s="141"/>
      <c r="BB466" s="141"/>
      <c r="BC466" s="141"/>
      <c r="BD466" s="141"/>
      <c r="BE466" s="141"/>
      <c r="BF466" s="141"/>
      <c r="BG466" s="141"/>
      <c r="BH466" s="141"/>
      <c r="BI466" s="141"/>
      <c r="BJ466" s="141"/>
      <c r="BK466" s="141"/>
      <c r="BL466" s="141"/>
      <c r="BM466" s="141"/>
      <c r="BN466" s="141"/>
      <c r="BO466" s="141"/>
    </row>
    <row r="467" ht="13.5" customHeight="1">
      <c r="A467" s="138"/>
      <c r="B467" s="139"/>
      <c r="C467" s="138"/>
      <c r="D467" s="138"/>
      <c r="E467" s="140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141"/>
      <c r="AO467" s="141"/>
      <c r="AP467" s="141"/>
      <c r="AQ467" s="141"/>
      <c r="AR467" s="141"/>
      <c r="AS467" s="141"/>
      <c r="AT467" s="141"/>
      <c r="AU467" s="141"/>
      <c r="AV467" s="141"/>
      <c r="AW467" s="141"/>
      <c r="AX467" s="141"/>
      <c r="AY467" s="141"/>
      <c r="AZ467" s="141"/>
      <c r="BA467" s="141"/>
      <c r="BB467" s="141"/>
      <c r="BC467" s="141"/>
      <c r="BD467" s="141"/>
      <c r="BE467" s="141"/>
      <c r="BF467" s="141"/>
      <c r="BG467" s="141"/>
      <c r="BH467" s="141"/>
      <c r="BI467" s="141"/>
      <c r="BJ467" s="141"/>
      <c r="BK467" s="141"/>
      <c r="BL467" s="141"/>
      <c r="BM467" s="141"/>
      <c r="BN467" s="141"/>
      <c r="BO467" s="141"/>
    </row>
    <row r="468" ht="13.5" customHeight="1">
      <c r="A468" s="138"/>
      <c r="B468" s="139"/>
      <c r="C468" s="138"/>
      <c r="D468" s="138"/>
      <c r="E468" s="140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  <c r="AM468" s="141"/>
      <c r="AN468" s="141"/>
      <c r="AO468" s="141"/>
      <c r="AP468" s="141"/>
      <c r="AQ468" s="141"/>
      <c r="AR468" s="141"/>
      <c r="AS468" s="141"/>
      <c r="AT468" s="141"/>
      <c r="AU468" s="141"/>
      <c r="AV468" s="141"/>
      <c r="AW468" s="141"/>
      <c r="AX468" s="141"/>
      <c r="AY468" s="141"/>
      <c r="AZ468" s="141"/>
      <c r="BA468" s="141"/>
      <c r="BB468" s="141"/>
      <c r="BC468" s="141"/>
      <c r="BD468" s="141"/>
      <c r="BE468" s="141"/>
      <c r="BF468" s="141"/>
      <c r="BG468" s="141"/>
      <c r="BH468" s="141"/>
      <c r="BI468" s="141"/>
      <c r="BJ468" s="141"/>
      <c r="BK468" s="141"/>
      <c r="BL468" s="141"/>
      <c r="BM468" s="141"/>
      <c r="BN468" s="141"/>
      <c r="BO468" s="141"/>
    </row>
    <row r="469" ht="13.5" customHeight="1">
      <c r="A469" s="138"/>
      <c r="B469" s="139"/>
      <c r="C469" s="138"/>
      <c r="D469" s="138"/>
      <c r="E469" s="140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  <c r="AM469" s="141"/>
      <c r="AN469" s="141"/>
      <c r="AO469" s="141"/>
      <c r="AP469" s="141"/>
      <c r="AQ469" s="141"/>
      <c r="AR469" s="141"/>
      <c r="AS469" s="141"/>
      <c r="AT469" s="141"/>
      <c r="AU469" s="141"/>
      <c r="AV469" s="141"/>
      <c r="AW469" s="141"/>
      <c r="AX469" s="141"/>
      <c r="AY469" s="141"/>
      <c r="AZ469" s="141"/>
      <c r="BA469" s="141"/>
      <c r="BB469" s="141"/>
      <c r="BC469" s="141"/>
      <c r="BD469" s="141"/>
      <c r="BE469" s="141"/>
      <c r="BF469" s="141"/>
      <c r="BG469" s="141"/>
      <c r="BH469" s="141"/>
      <c r="BI469" s="141"/>
      <c r="BJ469" s="141"/>
      <c r="BK469" s="141"/>
      <c r="BL469" s="141"/>
      <c r="BM469" s="141"/>
      <c r="BN469" s="141"/>
      <c r="BO469" s="141"/>
    </row>
    <row r="470" ht="13.5" customHeight="1">
      <c r="A470" s="138"/>
      <c r="B470" s="139"/>
      <c r="C470" s="138"/>
      <c r="D470" s="138"/>
      <c r="E470" s="140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  <c r="AM470" s="141"/>
      <c r="AN470" s="141"/>
      <c r="AO470" s="141"/>
      <c r="AP470" s="141"/>
      <c r="AQ470" s="141"/>
      <c r="AR470" s="141"/>
      <c r="AS470" s="141"/>
      <c r="AT470" s="141"/>
      <c r="AU470" s="141"/>
      <c r="AV470" s="141"/>
      <c r="AW470" s="141"/>
      <c r="AX470" s="141"/>
      <c r="AY470" s="141"/>
      <c r="AZ470" s="141"/>
      <c r="BA470" s="141"/>
      <c r="BB470" s="141"/>
      <c r="BC470" s="141"/>
      <c r="BD470" s="141"/>
      <c r="BE470" s="141"/>
      <c r="BF470" s="141"/>
      <c r="BG470" s="141"/>
      <c r="BH470" s="141"/>
      <c r="BI470" s="141"/>
      <c r="BJ470" s="141"/>
      <c r="BK470" s="141"/>
      <c r="BL470" s="141"/>
      <c r="BM470" s="141"/>
      <c r="BN470" s="141"/>
      <c r="BO470" s="141"/>
    </row>
    <row r="471" ht="13.5" customHeight="1">
      <c r="A471" s="138"/>
      <c r="B471" s="139"/>
      <c r="C471" s="138"/>
      <c r="D471" s="138"/>
      <c r="E471" s="140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  <c r="AM471" s="141"/>
      <c r="AN471" s="141"/>
      <c r="AO471" s="141"/>
      <c r="AP471" s="141"/>
      <c r="AQ471" s="141"/>
      <c r="AR471" s="141"/>
      <c r="AS471" s="141"/>
      <c r="AT471" s="141"/>
      <c r="AU471" s="141"/>
      <c r="AV471" s="141"/>
      <c r="AW471" s="141"/>
      <c r="AX471" s="141"/>
      <c r="AY471" s="141"/>
      <c r="AZ471" s="141"/>
      <c r="BA471" s="141"/>
      <c r="BB471" s="141"/>
      <c r="BC471" s="141"/>
      <c r="BD471" s="141"/>
      <c r="BE471" s="141"/>
      <c r="BF471" s="141"/>
      <c r="BG471" s="141"/>
      <c r="BH471" s="141"/>
      <c r="BI471" s="141"/>
      <c r="BJ471" s="141"/>
      <c r="BK471" s="141"/>
      <c r="BL471" s="141"/>
      <c r="BM471" s="141"/>
      <c r="BN471" s="141"/>
      <c r="BO471" s="141"/>
    </row>
    <row r="472" ht="13.5" customHeight="1">
      <c r="A472" s="138"/>
      <c r="B472" s="139"/>
      <c r="C472" s="138"/>
      <c r="D472" s="138"/>
      <c r="E472" s="140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  <c r="AM472" s="141"/>
      <c r="AN472" s="141"/>
      <c r="AO472" s="141"/>
      <c r="AP472" s="141"/>
      <c r="AQ472" s="141"/>
      <c r="AR472" s="141"/>
      <c r="AS472" s="141"/>
      <c r="AT472" s="141"/>
      <c r="AU472" s="141"/>
      <c r="AV472" s="141"/>
      <c r="AW472" s="141"/>
      <c r="AX472" s="141"/>
      <c r="AY472" s="141"/>
      <c r="AZ472" s="141"/>
      <c r="BA472" s="141"/>
      <c r="BB472" s="141"/>
      <c r="BC472" s="141"/>
      <c r="BD472" s="141"/>
      <c r="BE472" s="141"/>
      <c r="BF472" s="141"/>
      <c r="BG472" s="141"/>
      <c r="BH472" s="141"/>
      <c r="BI472" s="141"/>
      <c r="BJ472" s="141"/>
      <c r="BK472" s="141"/>
      <c r="BL472" s="141"/>
      <c r="BM472" s="141"/>
      <c r="BN472" s="141"/>
      <c r="BO472" s="141"/>
    </row>
    <row r="473" ht="13.5" customHeight="1">
      <c r="A473" s="138"/>
      <c r="B473" s="139"/>
      <c r="C473" s="138"/>
      <c r="D473" s="138"/>
      <c r="E473" s="140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141"/>
      <c r="AO473" s="141"/>
      <c r="AP473" s="141"/>
      <c r="AQ473" s="141"/>
      <c r="AR473" s="141"/>
      <c r="AS473" s="141"/>
      <c r="AT473" s="141"/>
      <c r="AU473" s="141"/>
      <c r="AV473" s="141"/>
      <c r="AW473" s="141"/>
      <c r="AX473" s="141"/>
      <c r="AY473" s="141"/>
      <c r="AZ473" s="141"/>
      <c r="BA473" s="141"/>
      <c r="BB473" s="141"/>
      <c r="BC473" s="141"/>
      <c r="BD473" s="141"/>
      <c r="BE473" s="141"/>
      <c r="BF473" s="141"/>
      <c r="BG473" s="141"/>
      <c r="BH473" s="141"/>
      <c r="BI473" s="141"/>
      <c r="BJ473" s="141"/>
      <c r="BK473" s="141"/>
      <c r="BL473" s="141"/>
      <c r="BM473" s="141"/>
      <c r="BN473" s="141"/>
      <c r="BO473" s="141"/>
    </row>
    <row r="474" ht="13.5" customHeight="1">
      <c r="A474" s="138"/>
      <c r="B474" s="139"/>
      <c r="C474" s="138"/>
      <c r="D474" s="138"/>
      <c r="E474" s="140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141"/>
      <c r="AO474" s="141"/>
      <c r="AP474" s="141"/>
      <c r="AQ474" s="141"/>
      <c r="AR474" s="141"/>
      <c r="AS474" s="141"/>
      <c r="AT474" s="141"/>
      <c r="AU474" s="141"/>
      <c r="AV474" s="141"/>
      <c r="AW474" s="141"/>
      <c r="AX474" s="141"/>
      <c r="AY474" s="141"/>
      <c r="AZ474" s="141"/>
      <c r="BA474" s="141"/>
      <c r="BB474" s="141"/>
      <c r="BC474" s="141"/>
      <c r="BD474" s="141"/>
      <c r="BE474" s="141"/>
      <c r="BF474" s="141"/>
      <c r="BG474" s="141"/>
      <c r="BH474" s="141"/>
      <c r="BI474" s="141"/>
      <c r="BJ474" s="141"/>
      <c r="BK474" s="141"/>
      <c r="BL474" s="141"/>
      <c r="BM474" s="141"/>
      <c r="BN474" s="141"/>
      <c r="BO474" s="141"/>
    </row>
    <row r="475" ht="13.5" customHeight="1">
      <c r="A475" s="138"/>
      <c r="B475" s="139"/>
      <c r="C475" s="138"/>
      <c r="D475" s="138"/>
      <c r="E475" s="140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  <c r="AM475" s="141"/>
      <c r="AN475" s="141"/>
      <c r="AO475" s="141"/>
      <c r="AP475" s="141"/>
      <c r="AQ475" s="141"/>
      <c r="AR475" s="141"/>
      <c r="AS475" s="141"/>
      <c r="AT475" s="141"/>
      <c r="AU475" s="141"/>
      <c r="AV475" s="141"/>
      <c r="AW475" s="141"/>
      <c r="AX475" s="141"/>
      <c r="AY475" s="141"/>
      <c r="AZ475" s="141"/>
      <c r="BA475" s="141"/>
      <c r="BB475" s="141"/>
      <c r="BC475" s="141"/>
      <c r="BD475" s="141"/>
      <c r="BE475" s="141"/>
      <c r="BF475" s="141"/>
      <c r="BG475" s="141"/>
      <c r="BH475" s="141"/>
      <c r="BI475" s="141"/>
      <c r="BJ475" s="141"/>
      <c r="BK475" s="141"/>
      <c r="BL475" s="141"/>
      <c r="BM475" s="141"/>
      <c r="BN475" s="141"/>
      <c r="BO475" s="141"/>
    </row>
    <row r="476" ht="13.5" customHeight="1">
      <c r="A476" s="138"/>
      <c r="B476" s="139"/>
      <c r="C476" s="138"/>
      <c r="D476" s="138"/>
      <c r="E476" s="140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  <c r="AM476" s="141"/>
      <c r="AN476" s="141"/>
      <c r="AO476" s="141"/>
      <c r="AP476" s="141"/>
      <c r="AQ476" s="141"/>
      <c r="AR476" s="141"/>
      <c r="AS476" s="141"/>
      <c r="AT476" s="141"/>
      <c r="AU476" s="141"/>
      <c r="AV476" s="141"/>
      <c r="AW476" s="141"/>
      <c r="AX476" s="141"/>
      <c r="AY476" s="141"/>
      <c r="AZ476" s="141"/>
      <c r="BA476" s="141"/>
      <c r="BB476" s="141"/>
      <c r="BC476" s="141"/>
      <c r="BD476" s="141"/>
      <c r="BE476" s="141"/>
      <c r="BF476" s="141"/>
      <c r="BG476" s="141"/>
      <c r="BH476" s="141"/>
      <c r="BI476" s="141"/>
      <c r="BJ476" s="141"/>
      <c r="BK476" s="141"/>
      <c r="BL476" s="141"/>
      <c r="BM476" s="141"/>
      <c r="BN476" s="141"/>
      <c r="BO476" s="141"/>
    </row>
    <row r="477" ht="13.5" customHeight="1">
      <c r="A477" s="138"/>
      <c r="B477" s="139"/>
      <c r="C477" s="138"/>
      <c r="D477" s="138"/>
      <c r="E477" s="140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  <c r="AM477" s="141"/>
      <c r="AN477" s="141"/>
      <c r="AO477" s="141"/>
      <c r="AP477" s="141"/>
      <c r="AQ477" s="141"/>
      <c r="AR477" s="141"/>
      <c r="AS477" s="141"/>
      <c r="AT477" s="141"/>
      <c r="AU477" s="141"/>
      <c r="AV477" s="141"/>
      <c r="AW477" s="141"/>
      <c r="AX477" s="141"/>
      <c r="AY477" s="141"/>
      <c r="AZ477" s="141"/>
      <c r="BA477" s="141"/>
      <c r="BB477" s="141"/>
      <c r="BC477" s="141"/>
      <c r="BD477" s="141"/>
      <c r="BE477" s="141"/>
      <c r="BF477" s="141"/>
      <c r="BG477" s="141"/>
      <c r="BH477" s="141"/>
      <c r="BI477" s="141"/>
      <c r="BJ477" s="141"/>
      <c r="BK477" s="141"/>
      <c r="BL477" s="141"/>
      <c r="BM477" s="141"/>
      <c r="BN477" s="141"/>
      <c r="BO477" s="141"/>
    </row>
    <row r="478" ht="13.5" customHeight="1">
      <c r="A478" s="138"/>
      <c r="B478" s="139"/>
      <c r="C478" s="138"/>
      <c r="D478" s="138"/>
      <c r="E478" s="140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  <c r="AM478" s="141"/>
      <c r="AN478" s="141"/>
      <c r="AO478" s="141"/>
      <c r="AP478" s="141"/>
      <c r="AQ478" s="141"/>
      <c r="AR478" s="141"/>
      <c r="AS478" s="141"/>
      <c r="AT478" s="141"/>
      <c r="AU478" s="141"/>
      <c r="AV478" s="141"/>
      <c r="AW478" s="141"/>
      <c r="AX478" s="141"/>
      <c r="AY478" s="141"/>
      <c r="AZ478" s="141"/>
      <c r="BA478" s="141"/>
      <c r="BB478" s="141"/>
      <c r="BC478" s="141"/>
      <c r="BD478" s="141"/>
      <c r="BE478" s="141"/>
      <c r="BF478" s="141"/>
      <c r="BG478" s="141"/>
      <c r="BH478" s="141"/>
      <c r="BI478" s="141"/>
      <c r="BJ478" s="141"/>
      <c r="BK478" s="141"/>
      <c r="BL478" s="141"/>
      <c r="BM478" s="141"/>
      <c r="BN478" s="141"/>
      <c r="BO478" s="141"/>
    </row>
    <row r="479" ht="13.5" customHeight="1">
      <c r="A479" s="138"/>
      <c r="B479" s="139"/>
      <c r="C479" s="138"/>
      <c r="D479" s="138"/>
      <c r="E479" s="140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  <c r="AO479" s="141"/>
      <c r="AP479" s="141"/>
      <c r="AQ479" s="141"/>
      <c r="AR479" s="141"/>
      <c r="AS479" s="141"/>
      <c r="AT479" s="141"/>
      <c r="AU479" s="141"/>
      <c r="AV479" s="141"/>
      <c r="AW479" s="141"/>
      <c r="AX479" s="141"/>
      <c r="AY479" s="141"/>
      <c r="AZ479" s="141"/>
      <c r="BA479" s="141"/>
      <c r="BB479" s="141"/>
      <c r="BC479" s="141"/>
      <c r="BD479" s="141"/>
      <c r="BE479" s="141"/>
      <c r="BF479" s="141"/>
      <c r="BG479" s="141"/>
      <c r="BH479" s="141"/>
      <c r="BI479" s="141"/>
      <c r="BJ479" s="141"/>
      <c r="BK479" s="141"/>
      <c r="BL479" s="141"/>
      <c r="BM479" s="141"/>
      <c r="BN479" s="141"/>
      <c r="BO479" s="141"/>
    </row>
    <row r="480" ht="13.5" customHeight="1">
      <c r="A480" s="138"/>
      <c r="B480" s="139"/>
      <c r="C480" s="138"/>
      <c r="D480" s="138"/>
      <c r="E480" s="140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  <c r="AM480" s="141"/>
      <c r="AN480" s="141"/>
      <c r="AO480" s="141"/>
      <c r="AP480" s="141"/>
      <c r="AQ480" s="141"/>
      <c r="AR480" s="141"/>
      <c r="AS480" s="141"/>
      <c r="AT480" s="141"/>
      <c r="AU480" s="141"/>
      <c r="AV480" s="141"/>
      <c r="AW480" s="141"/>
      <c r="AX480" s="141"/>
      <c r="AY480" s="141"/>
      <c r="AZ480" s="141"/>
      <c r="BA480" s="141"/>
      <c r="BB480" s="141"/>
      <c r="BC480" s="141"/>
      <c r="BD480" s="141"/>
      <c r="BE480" s="141"/>
      <c r="BF480" s="141"/>
      <c r="BG480" s="141"/>
      <c r="BH480" s="141"/>
      <c r="BI480" s="141"/>
      <c r="BJ480" s="141"/>
      <c r="BK480" s="141"/>
      <c r="BL480" s="141"/>
      <c r="BM480" s="141"/>
      <c r="BN480" s="141"/>
      <c r="BO480" s="141"/>
    </row>
    <row r="481" ht="13.5" customHeight="1">
      <c r="A481" s="138"/>
      <c r="B481" s="139"/>
      <c r="C481" s="138"/>
      <c r="D481" s="138"/>
      <c r="E481" s="140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  <c r="AM481" s="141"/>
      <c r="AN481" s="141"/>
      <c r="AO481" s="141"/>
      <c r="AP481" s="141"/>
      <c r="AQ481" s="141"/>
      <c r="AR481" s="141"/>
      <c r="AS481" s="141"/>
      <c r="AT481" s="141"/>
      <c r="AU481" s="141"/>
      <c r="AV481" s="141"/>
      <c r="AW481" s="141"/>
      <c r="AX481" s="141"/>
      <c r="AY481" s="141"/>
      <c r="AZ481" s="141"/>
      <c r="BA481" s="141"/>
      <c r="BB481" s="141"/>
      <c r="BC481" s="141"/>
      <c r="BD481" s="141"/>
      <c r="BE481" s="141"/>
      <c r="BF481" s="141"/>
      <c r="BG481" s="141"/>
      <c r="BH481" s="141"/>
      <c r="BI481" s="141"/>
      <c r="BJ481" s="141"/>
      <c r="BK481" s="141"/>
      <c r="BL481" s="141"/>
      <c r="BM481" s="141"/>
      <c r="BN481" s="141"/>
      <c r="BO481" s="141"/>
    </row>
    <row r="482" ht="13.5" customHeight="1">
      <c r="A482" s="138"/>
      <c r="B482" s="139"/>
      <c r="C482" s="138"/>
      <c r="D482" s="138"/>
      <c r="E482" s="140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  <c r="AM482" s="141"/>
      <c r="AN482" s="141"/>
      <c r="AO482" s="141"/>
      <c r="AP482" s="141"/>
      <c r="AQ482" s="141"/>
      <c r="AR482" s="141"/>
      <c r="AS482" s="141"/>
      <c r="AT482" s="141"/>
      <c r="AU482" s="141"/>
      <c r="AV482" s="141"/>
      <c r="AW482" s="141"/>
      <c r="AX482" s="141"/>
      <c r="AY482" s="141"/>
      <c r="AZ482" s="141"/>
      <c r="BA482" s="141"/>
      <c r="BB482" s="141"/>
      <c r="BC482" s="141"/>
      <c r="BD482" s="141"/>
      <c r="BE482" s="141"/>
      <c r="BF482" s="141"/>
      <c r="BG482" s="141"/>
      <c r="BH482" s="141"/>
      <c r="BI482" s="141"/>
      <c r="BJ482" s="141"/>
      <c r="BK482" s="141"/>
      <c r="BL482" s="141"/>
      <c r="BM482" s="141"/>
      <c r="BN482" s="141"/>
      <c r="BO482" s="141"/>
    </row>
    <row r="483" ht="13.5" customHeight="1">
      <c r="A483" s="138"/>
      <c r="B483" s="139"/>
      <c r="C483" s="138"/>
      <c r="D483" s="138"/>
      <c r="E483" s="140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  <c r="AM483" s="141"/>
      <c r="AN483" s="141"/>
      <c r="AO483" s="141"/>
      <c r="AP483" s="141"/>
      <c r="AQ483" s="141"/>
      <c r="AR483" s="141"/>
      <c r="AS483" s="141"/>
      <c r="AT483" s="141"/>
      <c r="AU483" s="141"/>
      <c r="AV483" s="141"/>
      <c r="AW483" s="141"/>
      <c r="AX483" s="141"/>
      <c r="AY483" s="141"/>
      <c r="AZ483" s="141"/>
      <c r="BA483" s="141"/>
      <c r="BB483" s="141"/>
      <c r="BC483" s="141"/>
      <c r="BD483" s="141"/>
      <c r="BE483" s="141"/>
      <c r="BF483" s="141"/>
      <c r="BG483" s="141"/>
      <c r="BH483" s="141"/>
      <c r="BI483" s="141"/>
      <c r="BJ483" s="141"/>
      <c r="BK483" s="141"/>
      <c r="BL483" s="141"/>
      <c r="BM483" s="141"/>
      <c r="BN483" s="141"/>
      <c r="BO483" s="141"/>
    </row>
    <row r="484" ht="13.5" customHeight="1">
      <c r="A484" s="138"/>
      <c r="B484" s="139"/>
      <c r="C484" s="138"/>
      <c r="D484" s="138"/>
      <c r="E484" s="140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  <c r="AM484" s="141"/>
      <c r="AN484" s="141"/>
      <c r="AO484" s="141"/>
      <c r="AP484" s="141"/>
      <c r="AQ484" s="141"/>
      <c r="AR484" s="141"/>
      <c r="AS484" s="141"/>
      <c r="AT484" s="141"/>
      <c r="AU484" s="141"/>
      <c r="AV484" s="141"/>
      <c r="AW484" s="141"/>
      <c r="AX484" s="141"/>
      <c r="AY484" s="141"/>
      <c r="AZ484" s="141"/>
      <c r="BA484" s="141"/>
      <c r="BB484" s="141"/>
      <c r="BC484" s="141"/>
      <c r="BD484" s="141"/>
      <c r="BE484" s="141"/>
      <c r="BF484" s="141"/>
      <c r="BG484" s="141"/>
      <c r="BH484" s="141"/>
      <c r="BI484" s="141"/>
      <c r="BJ484" s="141"/>
      <c r="BK484" s="141"/>
      <c r="BL484" s="141"/>
      <c r="BM484" s="141"/>
      <c r="BN484" s="141"/>
      <c r="BO484" s="141"/>
    </row>
    <row r="485" ht="13.5" customHeight="1">
      <c r="A485" s="138"/>
      <c r="B485" s="139"/>
      <c r="C485" s="138"/>
      <c r="D485" s="138"/>
      <c r="E485" s="140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  <c r="AM485" s="141"/>
      <c r="AN485" s="141"/>
      <c r="AO485" s="141"/>
      <c r="AP485" s="141"/>
      <c r="AQ485" s="141"/>
      <c r="AR485" s="141"/>
      <c r="AS485" s="141"/>
      <c r="AT485" s="141"/>
      <c r="AU485" s="141"/>
      <c r="AV485" s="141"/>
      <c r="AW485" s="141"/>
      <c r="AX485" s="141"/>
      <c r="AY485" s="141"/>
      <c r="AZ485" s="141"/>
      <c r="BA485" s="141"/>
      <c r="BB485" s="141"/>
      <c r="BC485" s="141"/>
      <c r="BD485" s="141"/>
      <c r="BE485" s="141"/>
      <c r="BF485" s="141"/>
      <c r="BG485" s="141"/>
      <c r="BH485" s="141"/>
      <c r="BI485" s="141"/>
      <c r="BJ485" s="141"/>
      <c r="BK485" s="141"/>
      <c r="BL485" s="141"/>
      <c r="BM485" s="141"/>
      <c r="BN485" s="141"/>
      <c r="BO485" s="141"/>
    </row>
    <row r="486" ht="13.5" customHeight="1">
      <c r="A486" s="138"/>
      <c r="B486" s="139"/>
      <c r="C486" s="138"/>
      <c r="D486" s="138"/>
      <c r="E486" s="140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  <c r="AL486" s="141"/>
      <c r="AM486" s="141"/>
      <c r="AN486" s="141"/>
      <c r="AO486" s="141"/>
      <c r="AP486" s="141"/>
      <c r="AQ486" s="141"/>
      <c r="AR486" s="141"/>
      <c r="AS486" s="141"/>
      <c r="AT486" s="141"/>
      <c r="AU486" s="141"/>
      <c r="AV486" s="141"/>
      <c r="AW486" s="141"/>
      <c r="AX486" s="141"/>
      <c r="AY486" s="141"/>
      <c r="AZ486" s="141"/>
      <c r="BA486" s="141"/>
      <c r="BB486" s="141"/>
      <c r="BC486" s="141"/>
      <c r="BD486" s="141"/>
      <c r="BE486" s="141"/>
      <c r="BF486" s="141"/>
      <c r="BG486" s="141"/>
      <c r="BH486" s="141"/>
      <c r="BI486" s="141"/>
      <c r="BJ486" s="141"/>
      <c r="BK486" s="141"/>
      <c r="BL486" s="141"/>
      <c r="BM486" s="141"/>
      <c r="BN486" s="141"/>
      <c r="BO486" s="141"/>
    </row>
    <row r="487" ht="13.5" customHeight="1">
      <c r="A487" s="138"/>
      <c r="B487" s="139"/>
      <c r="C487" s="138"/>
      <c r="D487" s="138"/>
      <c r="E487" s="140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  <c r="AL487" s="141"/>
      <c r="AM487" s="141"/>
      <c r="AN487" s="141"/>
      <c r="AO487" s="141"/>
      <c r="AP487" s="141"/>
      <c r="AQ487" s="141"/>
      <c r="AR487" s="141"/>
      <c r="AS487" s="141"/>
      <c r="AT487" s="141"/>
      <c r="AU487" s="141"/>
      <c r="AV487" s="141"/>
      <c r="AW487" s="141"/>
      <c r="AX487" s="141"/>
      <c r="AY487" s="141"/>
      <c r="AZ487" s="141"/>
      <c r="BA487" s="141"/>
      <c r="BB487" s="141"/>
      <c r="BC487" s="141"/>
      <c r="BD487" s="141"/>
      <c r="BE487" s="141"/>
      <c r="BF487" s="141"/>
      <c r="BG487" s="141"/>
      <c r="BH487" s="141"/>
      <c r="BI487" s="141"/>
      <c r="BJ487" s="141"/>
      <c r="BK487" s="141"/>
      <c r="BL487" s="141"/>
      <c r="BM487" s="141"/>
      <c r="BN487" s="141"/>
      <c r="BO487" s="141"/>
    </row>
    <row r="488" ht="13.5" customHeight="1">
      <c r="A488" s="138"/>
      <c r="B488" s="139"/>
      <c r="C488" s="138"/>
      <c r="D488" s="138"/>
      <c r="E488" s="140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  <c r="AL488" s="141"/>
      <c r="AM488" s="141"/>
      <c r="AN488" s="141"/>
      <c r="AO488" s="141"/>
      <c r="AP488" s="141"/>
      <c r="AQ488" s="141"/>
      <c r="AR488" s="141"/>
      <c r="AS488" s="141"/>
      <c r="AT488" s="141"/>
      <c r="AU488" s="141"/>
      <c r="AV488" s="141"/>
      <c r="AW488" s="141"/>
      <c r="AX488" s="141"/>
      <c r="AY488" s="141"/>
      <c r="AZ488" s="141"/>
      <c r="BA488" s="141"/>
      <c r="BB488" s="141"/>
      <c r="BC488" s="141"/>
      <c r="BD488" s="141"/>
      <c r="BE488" s="141"/>
      <c r="BF488" s="141"/>
      <c r="BG488" s="141"/>
      <c r="BH488" s="141"/>
      <c r="BI488" s="141"/>
      <c r="BJ488" s="141"/>
      <c r="BK488" s="141"/>
      <c r="BL488" s="141"/>
      <c r="BM488" s="141"/>
      <c r="BN488" s="141"/>
      <c r="BO488" s="141"/>
    </row>
    <row r="489" ht="13.5" customHeight="1">
      <c r="A489" s="138"/>
      <c r="B489" s="139"/>
      <c r="C489" s="138"/>
      <c r="D489" s="138"/>
      <c r="E489" s="140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  <c r="AL489" s="141"/>
      <c r="AM489" s="141"/>
      <c r="AN489" s="141"/>
      <c r="AO489" s="141"/>
      <c r="AP489" s="141"/>
      <c r="AQ489" s="141"/>
      <c r="AR489" s="141"/>
      <c r="AS489" s="141"/>
      <c r="AT489" s="141"/>
      <c r="AU489" s="141"/>
      <c r="AV489" s="141"/>
      <c r="AW489" s="141"/>
      <c r="AX489" s="141"/>
      <c r="AY489" s="141"/>
      <c r="AZ489" s="141"/>
      <c r="BA489" s="141"/>
      <c r="BB489" s="141"/>
      <c r="BC489" s="141"/>
      <c r="BD489" s="141"/>
      <c r="BE489" s="141"/>
      <c r="BF489" s="141"/>
      <c r="BG489" s="141"/>
      <c r="BH489" s="141"/>
      <c r="BI489" s="141"/>
      <c r="BJ489" s="141"/>
      <c r="BK489" s="141"/>
      <c r="BL489" s="141"/>
      <c r="BM489" s="141"/>
      <c r="BN489" s="141"/>
      <c r="BO489" s="141"/>
    </row>
    <row r="490" ht="13.5" customHeight="1">
      <c r="A490" s="138"/>
      <c r="B490" s="139"/>
      <c r="C490" s="138"/>
      <c r="D490" s="138"/>
      <c r="E490" s="140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  <c r="AM490" s="141"/>
      <c r="AN490" s="141"/>
      <c r="AO490" s="141"/>
      <c r="AP490" s="141"/>
      <c r="AQ490" s="141"/>
      <c r="AR490" s="141"/>
      <c r="AS490" s="141"/>
      <c r="AT490" s="141"/>
      <c r="AU490" s="141"/>
      <c r="AV490" s="141"/>
      <c r="AW490" s="141"/>
      <c r="AX490" s="141"/>
      <c r="AY490" s="141"/>
      <c r="AZ490" s="141"/>
      <c r="BA490" s="141"/>
      <c r="BB490" s="141"/>
      <c r="BC490" s="141"/>
      <c r="BD490" s="141"/>
      <c r="BE490" s="141"/>
      <c r="BF490" s="141"/>
      <c r="BG490" s="141"/>
      <c r="BH490" s="141"/>
      <c r="BI490" s="141"/>
      <c r="BJ490" s="141"/>
      <c r="BK490" s="141"/>
      <c r="BL490" s="141"/>
      <c r="BM490" s="141"/>
      <c r="BN490" s="141"/>
      <c r="BO490" s="141"/>
    </row>
    <row r="491" ht="13.5" customHeight="1">
      <c r="A491" s="138"/>
      <c r="B491" s="139"/>
      <c r="C491" s="138"/>
      <c r="D491" s="138"/>
      <c r="E491" s="140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/>
      <c r="AM491" s="141"/>
      <c r="AN491" s="141"/>
      <c r="AO491" s="141"/>
      <c r="AP491" s="141"/>
      <c r="AQ491" s="141"/>
      <c r="AR491" s="141"/>
      <c r="AS491" s="141"/>
      <c r="AT491" s="141"/>
      <c r="AU491" s="141"/>
      <c r="AV491" s="141"/>
      <c r="AW491" s="141"/>
      <c r="AX491" s="141"/>
      <c r="AY491" s="141"/>
      <c r="AZ491" s="141"/>
      <c r="BA491" s="141"/>
      <c r="BB491" s="141"/>
      <c r="BC491" s="141"/>
      <c r="BD491" s="141"/>
      <c r="BE491" s="141"/>
      <c r="BF491" s="141"/>
      <c r="BG491" s="141"/>
      <c r="BH491" s="141"/>
      <c r="BI491" s="141"/>
      <c r="BJ491" s="141"/>
      <c r="BK491" s="141"/>
      <c r="BL491" s="141"/>
      <c r="BM491" s="141"/>
      <c r="BN491" s="141"/>
      <c r="BO491" s="141"/>
    </row>
    <row r="492" ht="13.5" customHeight="1">
      <c r="A492" s="138"/>
      <c r="B492" s="139"/>
      <c r="C492" s="138"/>
      <c r="D492" s="138"/>
      <c r="E492" s="140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  <c r="AL492" s="141"/>
      <c r="AM492" s="141"/>
      <c r="AN492" s="141"/>
      <c r="AO492" s="141"/>
      <c r="AP492" s="141"/>
      <c r="AQ492" s="141"/>
      <c r="AR492" s="141"/>
      <c r="AS492" s="141"/>
      <c r="AT492" s="141"/>
      <c r="AU492" s="141"/>
      <c r="AV492" s="141"/>
      <c r="AW492" s="141"/>
      <c r="AX492" s="141"/>
      <c r="AY492" s="141"/>
      <c r="AZ492" s="141"/>
      <c r="BA492" s="141"/>
      <c r="BB492" s="141"/>
      <c r="BC492" s="141"/>
      <c r="BD492" s="141"/>
      <c r="BE492" s="141"/>
      <c r="BF492" s="141"/>
      <c r="BG492" s="141"/>
      <c r="BH492" s="141"/>
      <c r="BI492" s="141"/>
      <c r="BJ492" s="141"/>
      <c r="BK492" s="141"/>
      <c r="BL492" s="141"/>
      <c r="BM492" s="141"/>
      <c r="BN492" s="141"/>
      <c r="BO492" s="141"/>
    </row>
    <row r="493" ht="13.5" customHeight="1">
      <c r="A493" s="138"/>
      <c r="B493" s="139"/>
      <c r="C493" s="138"/>
      <c r="D493" s="138"/>
      <c r="E493" s="140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  <c r="AM493" s="141"/>
      <c r="AN493" s="141"/>
      <c r="AO493" s="141"/>
      <c r="AP493" s="141"/>
      <c r="AQ493" s="141"/>
      <c r="AR493" s="141"/>
      <c r="AS493" s="141"/>
      <c r="AT493" s="141"/>
      <c r="AU493" s="141"/>
      <c r="AV493" s="141"/>
      <c r="AW493" s="141"/>
      <c r="AX493" s="141"/>
      <c r="AY493" s="141"/>
      <c r="AZ493" s="141"/>
      <c r="BA493" s="141"/>
      <c r="BB493" s="141"/>
      <c r="BC493" s="141"/>
      <c r="BD493" s="141"/>
      <c r="BE493" s="141"/>
      <c r="BF493" s="141"/>
      <c r="BG493" s="141"/>
      <c r="BH493" s="141"/>
      <c r="BI493" s="141"/>
      <c r="BJ493" s="141"/>
      <c r="BK493" s="141"/>
      <c r="BL493" s="141"/>
      <c r="BM493" s="141"/>
      <c r="BN493" s="141"/>
      <c r="BO493" s="141"/>
    </row>
    <row r="494" ht="13.5" customHeight="1">
      <c r="A494" s="138"/>
      <c r="B494" s="139"/>
      <c r="C494" s="138"/>
      <c r="D494" s="138"/>
      <c r="E494" s="140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  <c r="AM494" s="141"/>
      <c r="AN494" s="141"/>
      <c r="AO494" s="141"/>
      <c r="AP494" s="141"/>
      <c r="AQ494" s="141"/>
      <c r="AR494" s="141"/>
      <c r="AS494" s="141"/>
      <c r="AT494" s="141"/>
      <c r="AU494" s="141"/>
      <c r="AV494" s="141"/>
      <c r="AW494" s="141"/>
      <c r="AX494" s="141"/>
      <c r="AY494" s="141"/>
      <c r="AZ494" s="141"/>
      <c r="BA494" s="141"/>
      <c r="BB494" s="141"/>
      <c r="BC494" s="141"/>
      <c r="BD494" s="141"/>
      <c r="BE494" s="141"/>
      <c r="BF494" s="141"/>
      <c r="BG494" s="141"/>
      <c r="BH494" s="141"/>
      <c r="BI494" s="141"/>
      <c r="BJ494" s="141"/>
      <c r="BK494" s="141"/>
      <c r="BL494" s="141"/>
      <c r="BM494" s="141"/>
      <c r="BN494" s="141"/>
      <c r="BO494" s="141"/>
    </row>
    <row r="495" ht="13.5" customHeight="1">
      <c r="A495" s="138"/>
      <c r="B495" s="139"/>
      <c r="C495" s="138"/>
      <c r="D495" s="138"/>
      <c r="E495" s="140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  <c r="AM495" s="141"/>
      <c r="AN495" s="141"/>
      <c r="AO495" s="141"/>
      <c r="AP495" s="141"/>
      <c r="AQ495" s="141"/>
      <c r="AR495" s="141"/>
      <c r="AS495" s="141"/>
      <c r="AT495" s="141"/>
      <c r="AU495" s="141"/>
      <c r="AV495" s="141"/>
      <c r="AW495" s="141"/>
      <c r="AX495" s="141"/>
      <c r="AY495" s="141"/>
      <c r="AZ495" s="141"/>
      <c r="BA495" s="141"/>
      <c r="BB495" s="141"/>
      <c r="BC495" s="141"/>
      <c r="BD495" s="141"/>
      <c r="BE495" s="141"/>
      <c r="BF495" s="141"/>
      <c r="BG495" s="141"/>
      <c r="BH495" s="141"/>
      <c r="BI495" s="141"/>
      <c r="BJ495" s="141"/>
      <c r="BK495" s="141"/>
      <c r="BL495" s="141"/>
      <c r="BM495" s="141"/>
      <c r="BN495" s="141"/>
      <c r="BO495" s="141"/>
    </row>
    <row r="496" ht="13.5" customHeight="1">
      <c r="A496" s="138"/>
      <c r="B496" s="139"/>
      <c r="C496" s="138"/>
      <c r="D496" s="138"/>
      <c r="E496" s="140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  <c r="AL496" s="141"/>
      <c r="AM496" s="141"/>
      <c r="AN496" s="141"/>
      <c r="AO496" s="141"/>
      <c r="AP496" s="141"/>
      <c r="AQ496" s="141"/>
      <c r="AR496" s="141"/>
      <c r="AS496" s="141"/>
      <c r="AT496" s="141"/>
      <c r="AU496" s="141"/>
      <c r="AV496" s="141"/>
      <c r="AW496" s="141"/>
      <c r="AX496" s="141"/>
      <c r="AY496" s="141"/>
      <c r="AZ496" s="141"/>
      <c r="BA496" s="141"/>
      <c r="BB496" s="141"/>
      <c r="BC496" s="141"/>
      <c r="BD496" s="141"/>
      <c r="BE496" s="141"/>
      <c r="BF496" s="141"/>
      <c r="BG496" s="141"/>
      <c r="BH496" s="141"/>
      <c r="BI496" s="141"/>
      <c r="BJ496" s="141"/>
      <c r="BK496" s="141"/>
      <c r="BL496" s="141"/>
      <c r="BM496" s="141"/>
      <c r="BN496" s="141"/>
      <c r="BO496" s="141"/>
    </row>
    <row r="497" ht="13.5" customHeight="1">
      <c r="A497" s="138"/>
      <c r="B497" s="139"/>
      <c r="C497" s="138"/>
      <c r="D497" s="138"/>
      <c r="E497" s="140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/>
      <c r="AM497" s="141"/>
      <c r="AN497" s="141"/>
      <c r="AO497" s="141"/>
      <c r="AP497" s="141"/>
      <c r="AQ497" s="141"/>
      <c r="AR497" s="141"/>
      <c r="AS497" s="141"/>
      <c r="AT497" s="141"/>
      <c r="AU497" s="141"/>
      <c r="AV497" s="141"/>
      <c r="AW497" s="141"/>
      <c r="AX497" s="141"/>
      <c r="AY497" s="141"/>
      <c r="AZ497" s="141"/>
      <c r="BA497" s="141"/>
      <c r="BB497" s="141"/>
      <c r="BC497" s="141"/>
      <c r="BD497" s="141"/>
      <c r="BE497" s="141"/>
      <c r="BF497" s="141"/>
      <c r="BG497" s="141"/>
      <c r="BH497" s="141"/>
      <c r="BI497" s="141"/>
      <c r="BJ497" s="141"/>
      <c r="BK497" s="141"/>
      <c r="BL497" s="141"/>
      <c r="BM497" s="141"/>
      <c r="BN497" s="141"/>
      <c r="BO497" s="141"/>
    </row>
    <row r="498" ht="13.5" customHeight="1">
      <c r="A498" s="138"/>
      <c r="B498" s="139"/>
      <c r="C498" s="138"/>
      <c r="D498" s="138"/>
      <c r="E498" s="140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  <c r="AL498" s="141"/>
      <c r="AM498" s="141"/>
      <c r="AN498" s="141"/>
      <c r="AO498" s="141"/>
      <c r="AP498" s="141"/>
      <c r="AQ498" s="141"/>
      <c r="AR498" s="141"/>
      <c r="AS498" s="141"/>
      <c r="AT498" s="141"/>
      <c r="AU498" s="141"/>
      <c r="AV498" s="141"/>
      <c r="AW498" s="141"/>
      <c r="AX498" s="141"/>
      <c r="AY498" s="141"/>
      <c r="AZ498" s="141"/>
      <c r="BA498" s="141"/>
      <c r="BB498" s="141"/>
      <c r="BC498" s="141"/>
      <c r="BD498" s="141"/>
      <c r="BE498" s="141"/>
      <c r="BF498" s="141"/>
      <c r="BG498" s="141"/>
      <c r="BH498" s="141"/>
      <c r="BI498" s="141"/>
      <c r="BJ498" s="141"/>
      <c r="BK498" s="141"/>
      <c r="BL498" s="141"/>
      <c r="BM498" s="141"/>
      <c r="BN498" s="141"/>
      <c r="BO498" s="141"/>
    </row>
    <row r="499" ht="13.5" customHeight="1">
      <c r="A499" s="138"/>
      <c r="B499" s="139"/>
      <c r="C499" s="138"/>
      <c r="D499" s="138"/>
      <c r="E499" s="140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/>
      <c r="AM499" s="141"/>
      <c r="AN499" s="141"/>
      <c r="AO499" s="141"/>
      <c r="AP499" s="141"/>
      <c r="AQ499" s="141"/>
      <c r="AR499" s="141"/>
      <c r="AS499" s="141"/>
      <c r="AT499" s="141"/>
      <c r="AU499" s="141"/>
      <c r="AV499" s="141"/>
      <c r="AW499" s="141"/>
      <c r="AX499" s="141"/>
      <c r="AY499" s="141"/>
      <c r="AZ499" s="141"/>
      <c r="BA499" s="141"/>
      <c r="BB499" s="141"/>
      <c r="BC499" s="141"/>
      <c r="BD499" s="141"/>
      <c r="BE499" s="141"/>
      <c r="BF499" s="141"/>
      <c r="BG499" s="141"/>
      <c r="BH499" s="141"/>
      <c r="BI499" s="141"/>
      <c r="BJ499" s="141"/>
      <c r="BK499" s="141"/>
      <c r="BL499" s="141"/>
      <c r="BM499" s="141"/>
      <c r="BN499" s="141"/>
      <c r="BO499" s="141"/>
    </row>
    <row r="500" ht="13.5" customHeight="1">
      <c r="A500" s="138"/>
      <c r="B500" s="139"/>
      <c r="C500" s="138"/>
      <c r="D500" s="138"/>
      <c r="E500" s="140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  <c r="AL500" s="141"/>
      <c r="AM500" s="141"/>
      <c r="AN500" s="141"/>
      <c r="AO500" s="141"/>
      <c r="AP500" s="141"/>
      <c r="AQ500" s="141"/>
      <c r="AR500" s="141"/>
      <c r="AS500" s="141"/>
      <c r="AT500" s="141"/>
      <c r="AU500" s="141"/>
      <c r="AV500" s="141"/>
      <c r="AW500" s="141"/>
      <c r="AX500" s="141"/>
      <c r="AY500" s="141"/>
      <c r="AZ500" s="141"/>
      <c r="BA500" s="141"/>
      <c r="BB500" s="141"/>
      <c r="BC500" s="141"/>
      <c r="BD500" s="141"/>
      <c r="BE500" s="141"/>
      <c r="BF500" s="141"/>
      <c r="BG500" s="141"/>
      <c r="BH500" s="141"/>
      <c r="BI500" s="141"/>
      <c r="BJ500" s="141"/>
      <c r="BK500" s="141"/>
      <c r="BL500" s="141"/>
      <c r="BM500" s="141"/>
      <c r="BN500" s="141"/>
      <c r="BO500" s="141"/>
    </row>
    <row r="501" ht="13.5" customHeight="1">
      <c r="A501" s="138"/>
      <c r="B501" s="139"/>
      <c r="C501" s="138"/>
      <c r="D501" s="138"/>
      <c r="E501" s="140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  <c r="AL501" s="141"/>
      <c r="AM501" s="141"/>
      <c r="AN501" s="141"/>
      <c r="AO501" s="141"/>
      <c r="AP501" s="141"/>
      <c r="AQ501" s="141"/>
      <c r="AR501" s="141"/>
      <c r="AS501" s="141"/>
      <c r="AT501" s="141"/>
      <c r="AU501" s="141"/>
      <c r="AV501" s="141"/>
      <c r="AW501" s="141"/>
      <c r="AX501" s="141"/>
      <c r="AY501" s="141"/>
      <c r="AZ501" s="141"/>
      <c r="BA501" s="141"/>
      <c r="BB501" s="141"/>
      <c r="BC501" s="141"/>
      <c r="BD501" s="141"/>
      <c r="BE501" s="141"/>
      <c r="BF501" s="141"/>
      <c r="BG501" s="141"/>
      <c r="BH501" s="141"/>
      <c r="BI501" s="141"/>
      <c r="BJ501" s="141"/>
      <c r="BK501" s="141"/>
      <c r="BL501" s="141"/>
      <c r="BM501" s="141"/>
      <c r="BN501" s="141"/>
      <c r="BO501" s="141"/>
    </row>
    <row r="502" ht="13.5" customHeight="1">
      <c r="A502" s="138"/>
      <c r="B502" s="139"/>
      <c r="C502" s="138"/>
      <c r="D502" s="138"/>
      <c r="E502" s="140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  <c r="AL502" s="141"/>
      <c r="AM502" s="141"/>
      <c r="AN502" s="141"/>
      <c r="AO502" s="141"/>
      <c r="AP502" s="141"/>
      <c r="AQ502" s="141"/>
      <c r="AR502" s="141"/>
      <c r="AS502" s="141"/>
      <c r="AT502" s="141"/>
      <c r="AU502" s="141"/>
      <c r="AV502" s="141"/>
      <c r="AW502" s="141"/>
      <c r="AX502" s="141"/>
      <c r="AY502" s="141"/>
      <c r="AZ502" s="141"/>
      <c r="BA502" s="141"/>
      <c r="BB502" s="141"/>
      <c r="BC502" s="141"/>
      <c r="BD502" s="141"/>
      <c r="BE502" s="141"/>
      <c r="BF502" s="141"/>
      <c r="BG502" s="141"/>
      <c r="BH502" s="141"/>
      <c r="BI502" s="141"/>
      <c r="BJ502" s="141"/>
      <c r="BK502" s="141"/>
      <c r="BL502" s="141"/>
      <c r="BM502" s="141"/>
      <c r="BN502" s="141"/>
      <c r="BO502" s="141"/>
    </row>
    <row r="503" ht="13.5" customHeight="1">
      <c r="A503" s="138"/>
      <c r="B503" s="139"/>
      <c r="C503" s="138"/>
      <c r="D503" s="138"/>
      <c r="E503" s="140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/>
      <c r="AM503" s="141"/>
      <c r="AN503" s="141"/>
      <c r="AO503" s="141"/>
      <c r="AP503" s="141"/>
      <c r="AQ503" s="141"/>
      <c r="AR503" s="141"/>
      <c r="AS503" s="141"/>
      <c r="AT503" s="141"/>
      <c r="AU503" s="141"/>
      <c r="AV503" s="141"/>
      <c r="AW503" s="141"/>
      <c r="AX503" s="141"/>
      <c r="AY503" s="141"/>
      <c r="AZ503" s="141"/>
      <c r="BA503" s="141"/>
      <c r="BB503" s="141"/>
      <c r="BC503" s="141"/>
      <c r="BD503" s="141"/>
      <c r="BE503" s="141"/>
      <c r="BF503" s="141"/>
      <c r="BG503" s="141"/>
      <c r="BH503" s="141"/>
      <c r="BI503" s="141"/>
      <c r="BJ503" s="141"/>
      <c r="BK503" s="141"/>
      <c r="BL503" s="141"/>
      <c r="BM503" s="141"/>
      <c r="BN503" s="141"/>
      <c r="BO503" s="141"/>
    </row>
    <row r="504" ht="13.5" customHeight="1">
      <c r="A504" s="138"/>
      <c r="B504" s="139"/>
      <c r="C504" s="138"/>
      <c r="D504" s="138"/>
      <c r="E504" s="140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  <c r="AL504" s="141"/>
      <c r="AM504" s="141"/>
      <c r="AN504" s="141"/>
      <c r="AO504" s="141"/>
      <c r="AP504" s="141"/>
      <c r="AQ504" s="141"/>
      <c r="AR504" s="141"/>
      <c r="AS504" s="141"/>
      <c r="AT504" s="141"/>
      <c r="AU504" s="141"/>
      <c r="AV504" s="141"/>
      <c r="AW504" s="141"/>
      <c r="AX504" s="141"/>
      <c r="AY504" s="141"/>
      <c r="AZ504" s="141"/>
      <c r="BA504" s="141"/>
      <c r="BB504" s="141"/>
      <c r="BC504" s="141"/>
      <c r="BD504" s="141"/>
      <c r="BE504" s="141"/>
      <c r="BF504" s="141"/>
      <c r="BG504" s="141"/>
      <c r="BH504" s="141"/>
      <c r="BI504" s="141"/>
      <c r="BJ504" s="141"/>
      <c r="BK504" s="141"/>
      <c r="BL504" s="141"/>
      <c r="BM504" s="141"/>
      <c r="BN504" s="141"/>
      <c r="BO504" s="141"/>
    </row>
    <row r="505" ht="13.5" customHeight="1">
      <c r="A505" s="138"/>
      <c r="B505" s="139"/>
      <c r="C505" s="138"/>
      <c r="D505" s="138"/>
      <c r="E505" s="140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/>
      <c r="AM505" s="141"/>
      <c r="AN505" s="141"/>
      <c r="AO505" s="141"/>
      <c r="AP505" s="141"/>
      <c r="AQ505" s="141"/>
      <c r="AR505" s="141"/>
      <c r="AS505" s="141"/>
      <c r="AT505" s="141"/>
      <c r="AU505" s="141"/>
      <c r="AV505" s="141"/>
      <c r="AW505" s="141"/>
      <c r="AX505" s="141"/>
      <c r="AY505" s="141"/>
      <c r="AZ505" s="141"/>
      <c r="BA505" s="141"/>
      <c r="BB505" s="141"/>
      <c r="BC505" s="141"/>
      <c r="BD505" s="141"/>
      <c r="BE505" s="141"/>
      <c r="BF505" s="141"/>
      <c r="BG505" s="141"/>
      <c r="BH505" s="141"/>
      <c r="BI505" s="141"/>
      <c r="BJ505" s="141"/>
      <c r="BK505" s="141"/>
      <c r="BL505" s="141"/>
      <c r="BM505" s="141"/>
      <c r="BN505" s="141"/>
      <c r="BO505" s="141"/>
    </row>
    <row r="506" ht="13.5" customHeight="1">
      <c r="A506" s="138"/>
      <c r="B506" s="139"/>
      <c r="C506" s="138"/>
      <c r="D506" s="138"/>
      <c r="E506" s="140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  <c r="AL506" s="141"/>
      <c r="AM506" s="141"/>
      <c r="AN506" s="141"/>
      <c r="AO506" s="141"/>
      <c r="AP506" s="141"/>
      <c r="AQ506" s="141"/>
      <c r="AR506" s="141"/>
      <c r="AS506" s="141"/>
      <c r="AT506" s="141"/>
      <c r="AU506" s="141"/>
      <c r="AV506" s="141"/>
      <c r="AW506" s="141"/>
      <c r="AX506" s="141"/>
      <c r="AY506" s="141"/>
      <c r="AZ506" s="141"/>
      <c r="BA506" s="141"/>
      <c r="BB506" s="141"/>
      <c r="BC506" s="141"/>
      <c r="BD506" s="141"/>
      <c r="BE506" s="141"/>
      <c r="BF506" s="141"/>
      <c r="BG506" s="141"/>
      <c r="BH506" s="141"/>
      <c r="BI506" s="141"/>
      <c r="BJ506" s="141"/>
      <c r="BK506" s="141"/>
      <c r="BL506" s="141"/>
      <c r="BM506" s="141"/>
      <c r="BN506" s="141"/>
      <c r="BO506" s="141"/>
    </row>
    <row r="507" ht="13.5" customHeight="1">
      <c r="A507" s="138"/>
      <c r="B507" s="139"/>
      <c r="C507" s="138"/>
      <c r="D507" s="138"/>
      <c r="E507" s="140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  <c r="AM507" s="141"/>
      <c r="AN507" s="141"/>
      <c r="AO507" s="141"/>
      <c r="AP507" s="141"/>
      <c r="AQ507" s="141"/>
      <c r="AR507" s="141"/>
      <c r="AS507" s="141"/>
      <c r="AT507" s="141"/>
      <c r="AU507" s="141"/>
      <c r="AV507" s="141"/>
      <c r="AW507" s="141"/>
      <c r="AX507" s="141"/>
      <c r="AY507" s="141"/>
      <c r="AZ507" s="141"/>
      <c r="BA507" s="141"/>
      <c r="BB507" s="141"/>
      <c r="BC507" s="141"/>
      <c r="BD507" s="141"/>
      <c r="BE507" s="141"/>
      <c r="BF507" s="141"/>
      <c r="BG507" s="141"/>
      <c r="BH507" s="141"/>
      <c r="BI507" s="141"/>
      <c r="BJ507" s="141"/>
      <c r="BK507" s="141"/>
      <c r="BL507" s="141"/>
      <c r="BM507" s="141"/>
      <c r="BN507" s="141"/>
      <c r="BO507" s="141"/>
    </row>
    <row r="508" ht="13.5" customHeight="1">
      <c r="A508" s="138"/>
      <c r="B508" s="139"/>
      <c r="C508" s="138"/>
      <c r="D508" s="138"/>
      <c r="E508" s="140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  <c r="AM508" s="141"/>
      <c r="AN508" s="141"/>
      <c r="AO508" s="141"/>
      <c r="AP508" s="141"/>
      <c r="AQ508" s="141"/>
      <c r="AR508" s="141"/>
      <c r="AS508" s="141"/>
      <c r="AT508" s="141"/>
      <c r="AU508" s="141"/>
      <c r="AV508" s="141"/>
      <c r="AW508" s="141"/>
      <c r="AX508" s="141"/>
      <c r="AY508" s="141"/>
      <c r="AZ508" s="141"/>
      <c r="BA508" s="141"/>
      <c r="BB508" s="141"/>
      <c r="BC508" s="141"/>
      <c r="BD508" s="141"/>
      <c r="BE508" s="141"/>
      <c r="BF508" s="141"/>
      <c r="BG508" s="141"/>
      <c r="BH508" s="141"/>
      <c r="BI508" s="141"/>
      <c r="BJ508" s="141"/>
      <c r="BK508" s="141"/>
      <c r="BL508" s="141"/>
      <c r="BM508" s="141"/>
      <c r="BN508" s="141"/>
      <c r="BO508" s="141"/>
    </row>
    <row r="509" ht="13.5" customHeight="1">
      <c r="A509" s="138"/>
      <c r="B509" s="139"/>
      <c r="C509" s="138"/>
      <c r="D509" s="138"/>
      <c r="E509" s="140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  <c r="AM509" s="141"/>
      <c r="AN509" s="141"/>
      <c r="AO509" s="141"/>
      <c r="AP509" s="141"/>
      <c r="AQ509" s="141"/>
      <c r="AR509" s="141"/>
      <c r="AS509" s="141"/>
      <c r="AT509" s="141"/>
      <c r="AU509" s="141"/>
      <c r="AV509" s="141"/>
      <c r="AW509" s="141"/>
      <c r="AX509" s="141"/>
      <c r="AY509" s="141"/>
      <c r="AZ509" s="141"/>
      <c r="BA509" s="141"/>
      <c r="BB509" s="141"/>
      <c r="BC509" s="141"/>
      <c r="BD509" s="141"/>
      <c r="BE509" s="141"/>
      <c r="BF509" s="141"/>
      <c r="BG509" s="141"/>
      <c r="BH509" s="141"/>
      <c r="BI509" s="141"/>
      <c r="BJ509" s="141"/>
      <c r="BK509" s="141"/>
      <c r="BL509" s="141"/>
      <c r="BM509" s="141"/>
      <c r="BN509" s="141"/>
      <c r="BO509" s="141"/>
    </row>
    <row r="510" ht="13.5" customHeight="1">
      <c r="A510" s="138"/>
      <c r="B510" s="139"/>
      <c r="C510" s="138"/>
      <c r="D510" s="138"/>
      <c r="E510" s="140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  <c r="AL510" s="141"/>
      <c r="AM510" s="141"/>
      <c r="AN510" s="141"/>
      <c r="AO510" s="141"/>
      <c r="AP510" s="141"/>
      <c r="AQ510" s="141"/>
      <c r="AR510" s="141"/>
      <c r="AS510" s="141"/>
      <c r="AT510" s="141"/>
      <c r="AU510" s="141"/>
      <c r="AV510" s="141"/>
      <c r="AW510" s="141"/>
      <c r="AX510" s="141"/>
      <c r="AY510" s="141"/>
      <c r="AZ510" s="141"/>
      <c r="BA510" s="141"/>
      <c r="BB510" s="141"/>
      <c r="BC510" s="141"/>
      <c r="BD510" s="141"/>
      <c r="BE510" s="141"/>
      <c r="BF510" s="141"/>
      <c r="BG510" s="141"/>
      <c r="BH510" s="141"/>
      <c r="BI510" s="141"/>
      <c r="BJ510" s="141"/>
      <c r="BK510" s="141"/>
      <c r="BL510" s="141"/>
      <c r="BM510" s="141"/>
      <c r="BN510" s="141"/>
      <c r="BO510" s="141"/>
    </row>
    <row r="511" ht="13.5" customHeight="1">
      <c r="A511" s="138"/>
      <c r="B511" s="139"/>
      <c r="C511" s="138"/>
      <c r="D511" s="138"/>
      <c r="E511" s="140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  <c r="AM511" s="141"/>
      <c r="AN511" s="141"/>
      <c r="AO511" s="141"/>
      <c r="AP511" s="141"/>
      <c r="AQ511" s="141"/>
      <c r="AR511" s="141"/>
      <c r="AS511" s="141"/>
      <c r="AT511" s="141"/>
      <c r="AU511" s="141"/>
      <c r="AV511" s="141"/>
      <c r="AW511" s="141"/>
      <c r="AX511" s="141"/>
      <c r="AY511" s="141"/>
      <c r="AZ511" s="141"/>
      <c r="BA511" s="141"/>
      <c r="BB511" s="141"/>
      <c r="BC511" s="141"/>
      <c r="BD511" s="141"/>
      <c r="BE511" s="141"/>
      <c r="BF511" s="141"/>
      <c r="BG511" s="141"/>
      <c r="BH511" s="141"/>
      <c r="BI511" s="141"/>
      <c r="BJ511" s="141"/>
      <c r="BK511" s="141"/>
      <c r="BL511" s="141"/>
      <c r="BM511" s="141"/>
      <c r="BN511" s="141"/>
      <c r="BO511" s="141"/>
    </row>
    <row r="512" ht="13.5" customHeight="1">
      <c r="A512" s="138"/>
      <c r="B512" s="139"/>
      <c r="C512" s="138"/>
      <c r="D512" s="138"/>
      <c r="E512" s="140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  <c r="AM512" s="141"/>
      <c r="AN512" s="141"/>
      <c r="AO512" s="141"/>
      <c r="AP512" s="141"/>
      <c r="AQ512" s="141"/>
      <c r="AR512" s="141"/>
      <c r="AS512" s="141"/>
      <c r="AT512" s="141"/>
      <c r="AU512" s="141"/>
      <c r="AV512" s="141"/>
      <c r="AW512" s="141"/>
      <c r="AX512" s="141"/>
      <c r="AY512" s="141"/>
      <c r="AZ512" s="141"/>
      <c r="BA512" s="141"/>
      <c r="BB512" s="141"/>
      <c r="BC512" s="141"/>
      <c r="BD512" s="141"/>
      <c r="BE512" s="141"/>
      <c r="BF512" s="141"/>
      <c r="BG512" s="141"/>
      <c r="BH512" s="141"/>
      <c r="BI512" s="141"/>
      <c r="BJ512" s="141"/>
      <c r="BK512" s="141"/>
      <c r="BL512" s="141"/>
      <c r="BM512" s="141"/>
      <c r="BN512" s="141"/>
      <c r="BO512" s="141"/>
    </row>
    <row r="513" ht="13.5" customHeight="1">
      <c r="A513" s="138"/>
      <c r="B513" s="139"/>
      <c r="C513" s="138"/>
      <c r="D513" s="138"/>
      <c r="E513" s="140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  <c r="AM513" s="141"/>
      <c r="AN513" s="141"/>
      <c r="AO513" s="141"/>
      <c r="AP513" s="141"/>
      <c r="AQ513" s="141"/>
      <c r="AR513" s="141"/>
      <c r="AS513" s="141"/>
      <c r="AT513" s="141"/>
      <c r="AU513" s="141"/>
      <c r="AV513" s="141"/>
      <c r="AW513" s="141"/>
      <c r="AX513" s="141"/>
      <c r="AY513" s="141"/>
      <c r="AZ513" s="141"/>
      <c r="BA513" s="141"/>
      <c r="BB513" s="141"/>
      <c r="BC513" s="141"/>
      <c r="BD513" s="141"/>
      <c r="BE513" s="141"/>
      <c r="BF513" s="141"/>
      <c r="BG513" s="141"/>
      <c r="BH513" s="141"/>
      <c r="BI513" s="141"/>
      <c r="BJ513" s="141"/>
      <c r="BK513" s="141"/>
      <c r="BL513" s="141"/>
      <c r="BM513" s="141"/>
      <c r="BN513" s="141"/>
      <c r="BO513" s="141"/>
    </row>
    <row r="514" ht="13.5" customHeight="1">
      <c r="A514" s="138"/>
      <c r="B514" s="139"/>
      <c r="C514" s="138"/>
      <c r="D514" s="138"/>
      <c r="E514" s="140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  <c r="AM514" s="141"/>
      <c r="AN514" s="141"/>
      <c r="AO514" s="141"/>
      <c r="AP514" s="141"/>
      <c r="AQ514" s="141"/>
      <c r="AR514" s="141"/>
      <c r="AS514" s="141"/>
      <c r="AT514" s="141"/>
      <c r="AU514" s="141"/>
      <c r="AV514" s="141"/>
      <c r="AW514" s="141"/>
      <c r="AX514" s="141"/>
      <c r="AY514" s="141"/>
      <c r="AZ514" s="141"/>
      <c r="BA514" s="141"/>
      <c r="BB514" s="141"/>
      <c r="BC514" s="141"/>
      <c r="BD514" s="141"/>
      <c r="BE514" s="141"/>
      <c r="BF514" s="141"/>
      <c r="BG514" s="141"/>
      <c r="BH514" s="141"/>
      <c r="BI514" s="141"/>
      <c r="BJ514" s="141"/>
      <c r="BK514" s="141"/>
      <c r="BL514" s="141"/>
      <c r="BM514" s="141"/>
      <c r="BN514" s="141"/>
      <c r="BO514" s="141"/>
    </row>
    <row r="515" ht="13.5" customHeight="1">
      <c r="A515" s="138"/>
      <c r="B515" s="139"/>
      <c r="C515" s="138"/>
      <c r="D515" s="138"/>
      <c r="E515" s="140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/>
      <c r="AM515" s="141"/>
      <c r="AN515" s="141"/>
      <c r="AO515" s="141"/>
      <c r="AP515" s="141"/>
      <c r="AQ515" s="141"/>
      <c r="AR515" s="141"/>
      <c r="AS515" s="141"/>
      <c r="AT515" s="141"/>
      <c r="AU515" s="141"/>
      <c r="AV515" s="141"/>
      <c r="AW515" s="141"/>
      <c r="AX515" s="141"/>
      <c r="AY515" s="141"/>
      <c r="AZ515" s="141"/>
      <c r="BA515" s="141"/>
      <c r="BB515" s="141"/>
      <c r="BC515" s="141"/>
      <c r="BD515" s="141"/>
      <c r="BE515" s="141"/>
      <c r="BF515" s="141"/>
      <c r="BG515" s="141"/>
      <c r="BH515" s="141"/>
      <c r="BI515" s="141"/>
      <c r="BJ515" s="141"/>
      <c r="BK515" s="141"/>
      <c r="BL515" s="141"/>
      <c r="BM515" s="141"/>
      <c r="BN515" s="141"/>
      <c r="BO515" s="141"/>
    </row>
    <row r="516" ht="13.5" customHeight="1">
      <c r="A516" s="138"/>
      <c r="B516" s="139"/>
      <c r="C516" s="138"/>
      <c r="D516" s="138"/>
      <c r="E516" s="140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  <c r="AL516" s="141"/>
      <c r="AM516" s="141"/>
      <c r="AN516" s="141"/>
      <c r="AO516" s="141"/>
      <c r="AP516" s="141"/>
      <c r="AQ516" s="141"/>
      <c r="AR516" s="141"/>
      <c r="AS516" s="141"/>
      <c r="AT516" s="141"/>
      <c r="AU516" s="141"/>
      <c r="AV516" s="141"/>
      <c r="AW516" s="141"/>
      <c r="AX516" s="141"/>
      <c r="AY516" s="141"/>
      <c r="AZ516" s="141"/>
      <c r="BA516" s="141"/>
      <c r="BB516" s="141"/>
      <c r="BC516" s="141"/>
      <c r="BD516" s="141"/>
      <c r="BE516" s="141"/>
      <c r="BF516" s="141"/>
      <c r="BG516" s="141"/>
      <c r="BH516" s="141"/>
      <c r="BI516" s="141"/>
      <c r="BJ516" s="141"/>
      <c r="BK516" s="141"/>
      <c r="BL516" s="141"/>
      <c r="BM516" s="141"/>
      <c r="BN516" s="141"/>
      <c r="BO516" s="141"/>
    </row>
    <row r="517" ht="13.5" customHeight="1">
      <c r="A517" s="138"/>
      <c r="B517" s="139"/>
      <c r="C517" s="138"/>
      <c r="D517" s="138"/>
      <c r="E517" s="140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/>
      <c r="AM517" s="141"/>
      <c r="AN517" s="141"/>
      <c r="AO517" s="141"/>
      <c r="AP517" s="141"/>
      <c r="AQ517" s="141"/>
      <c r="AR517" s="141"/>
      <c r="AS517" s="141"/>
      <c r="AT517" s="141"/>
      <c r="AU517" s="141"/>
      <c r="AV517" s="141"/>
      <c r="AW517" s="141"/>
      <c r="AX517" s="141"/>
      <c r="AY517" s="141"/>
      <c r="AZ517" s="141"/>
      <c r="BA517" s="141"/>
      <c r="BB517" s="141"/>
      <c r="BC517" s="141"/>
      <c r="BD517" s="141"/>
      <c r="BE517" s="141"/>
      <c r="BF517" s="141"/>
      <c r="BG517" s="141"/>
      <c r="BH517" s="141"/>
      <c r="BI517" s="141"/>
      <c r="BJ517" s="141"/>
      <c r="BK517" s="141"/>
      <c r="BL517" s="141"/>
      <c r="BM517" s="141"/>
      <c r="BN517" s="141"/>
      <c r="BO517" s="141"/>
    </row>
    <row r="518" ht="13.5" customHeight="1">
      <c r="A518" s="138"/>
      <c r="B518" s="139"/>
      <c r="C518" s="138"/>
      <c r="D518" s="138"/>
      <c r="E518" s="140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  <c r="AL518" s="141"/>
      <c r="AM518" s="141"/>
      <c r="AN518" s="141"/>
      <c r="AO518" s="141"/>
      <c r="AP518" s="141"/>
      <c r="AQ518" s="141"/>
      <c r="AR518" s="141"/>
      <c r="AS518" s="141"/>
      <c r="AT518" s="141"/>
      <c r="AU518" s="141"/>
      <c r="AV518" s="141"/>
      <c r="AW518" s="141"/>
      <c r="AX518" s="141"/>
      <c r="AY518" s="141"/>
      <c r="AZ518" s="141"/>
      <c r="BA518" s="141"/>
      <c r="BB518" s="141"/>
      <c r="BC518" s="141"/>
      <c r="BD518" s="141"/>
      <c r="BE518" s="141"/>
      <c r="BF518" s="141"/>
      <c r="BG518" s="141"/>
      <c r="BH518" s="141"/>
      <c r="BI518" s="141"/>
      <c r="BJ518" s="141"/>
      <c r="BK518" s="141"/>
      <c r="BL518" s="141"/>
      <c r="BM518" s="141"/>
      <c r="BN518" s="141"/>
      <c r="BO518" s="141"/>
    </row>
    <row r="519" ht="13.5" customHeight="1">
      <c r="A519" s="138"/>
      <c r="B519" s="139"/>
      <c r="C519" s="138"/>
      <c r="D519" s="138"/>
      <c r="E519" s="140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/>
      <c r="AM519" s="141"/>
      <c r="AN519" s="141"/>
      <c r="AO519" s="141"/>
      <c r="AP519" s="141"/>
      <c r="AQ519" s="141"/>
      <c r="AR519" s="141"/>
      <c r="AS519" s="141"/>
      <c r="AT519" s="141"/>
      <c r="AU519" s="141"/>
      <c r="AV519" s="141"/>
      <c r="AW519" s="141"/>
      <c r="AX519" s="141"/>
      <c r="AY519" s="141"/>
      <c r="AZ519" s="141"/>
      <c r="BA519" s="141"/>
      <c r="BB519" s="141"/>
      <c r="BC519" s="141"/>
      <c r="BD519" s="141"/>
      <c r="BE519" s="141"/>
      <c r="BF519" s="141"/>
      <c r="BG519" s="141"/>
      <c r="BH519" s="141"/>
      <c r="BI519" s="141"/>
      <c r="BJ519" s="141"/>
      <c r="BK519" s="141"/>
      <c r="BL519" s="141"/>
      <c r="BM519" s="141"/>
      <c r="BN519" s="141"/>
      <c r="BO519" s="141"/>
    </row>
    <row r="520" ht="13.5" customHeight="1">
      <c r="A520" s="138"/>
      <c r="B520" s="139"/>
      <c r="C520" s="138"/>
      <c r="D520" s="138"/>
      <c r="E520" s="140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  <c r="AM520" s="141"/>
      <c r="AN520" s="141"/>
      <c r="AO520" s="141"/>
      <c r="AP520" s="141"/>
      <c r="AQ520" s="141"/>
      <c r="AR520" s="141"/>
      <c r="AS520" s="141"/>
      <c r="AT520" s="141"/>
      <c r="AU520" s="141"/>
      <c r="AV520" s="141"/>
      <c r="AW520" s="141"/>
      <c r="AX520" s="141"/>
      <c r="AY520" s="141"/>
      <c r="AZ520" s="141"/>
      <c r="BA520" s="141"/>
      <c r="BB520" s="141"/>
      <c r="BC520" s="141"/>
      <c r="BD520" s="141"/>
      <c r="BE520" s="141"/>
      <c r="BF520" s="141"/>
      <c r="BG520" s="141"/>
      <c r="BH520" s="141"/>
      <c r="BI520" s="141"/>
      <c r="BJ520" s="141"/>
      <c r="BK520" s="141"/>
      <c r="BL520" s="141"/>
      <c r="BM520" s="141"/>
      <c r="BN520" s="141"/>
      <c r="BO520" s="141"/>
    </row>
    <row r="521" ht="13.5" customHeight="1">
      <c r="A521" s="138"/>
      <c r="B521" s="139"/>
      <c r="C521" s="138"/>
      <c r="D521" s="138"/>
      <c r="E521" s="140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  <c r="AM521" s="141"/>
      <c r="AN521" s="141"/>
      <c r="AO521" s="141"/>
      <c r="AP521" s="141"/>
      <c r="AQ521" s="141"/>
      <c r="AR521" s="141"/>
      <c r="AS521" s="141"/>
      <c r="AT521" s="141"/>
      <c r="AU521" s="141"/>
      <c r="AV521" s="141"/>
      <c r="AW521" s="141"/>
      <c r="AX521" s="141"/>
      <c r="AY521" s="141"/>
      <c r="AZ521" s="141"/>
      <c r="BA521" s="141"/>
      <c r="BB521" s="141"/>
      <c r="BC521" s="141"/>
      <c r="BD521" s="141"/>
      <c r="BE521" s="141"/>
      <c r="BF521" s="141"/>
      <c r="BG521" s="141"/>
      <c r="BH521" s="141"/>
      <c r="BI521" s="141"/>
      <c r="BJ521" s="141"/>
      <c r="BK521" s="141"/>
      <c r="BL521" s="141"/>
      <c r="BM521" s="141"/>
      <c r="BN521" s="141"/>
      <c r="BO521" s="141"/>
    </row>
    <row r="522" ht="13.5" customHeight="1">
      <c r="A522" s="138"/>
      <c r="B522" s="139"/>
      <c r="C522" s="138"/>
      <c r="D522" s="138"/>
      <c r="E522" s="140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  <c r="AM522" s="141"/>
      <c r="AN522" s="141"/>
      <c r="AO522" s="141"/>
      <c r="AP522" s="141"/>
      <c r="AQ522" s="141"/>
      <c r="AR522" s="141"/>
      <c r="AS522" s="141"/>
      <c r="AT522" s="141"/>
      <c r="AU522" s="141"/>
      <c r="AV522" s="141"/>
      <c r="AW522" s="141"/>
      <c r="AX522" s="141"/>
      <c r="AY522" s="141"/>
      <c r="AZ522" s="141"/>
      <c r="BA522" s="141"/>
      <c r="BB522" s="141"/>
      <c r="BC522" s="141"/>
      <c r="BD522" s="141"/>
      <c r="BE522" s="141"/>
      <c r="BF522" s="141"/>
      <c r="BG522" s="141"/>
      <c r="BH522" s="141"/>
      <c r="BI522" s="141"/>
      <c r="BJ522" s="141"/>
      <c r="BK522" s="141"/>
      <c r="BL522" s="141"/>
      <c r="BM522" s="141"/>
      <c r="BN522" s="141"/>
      <c r="BO522" s="141"/>
    </row>
    <row r="523" ht="13.5" customHeight="1">
      <c r="A523" s="138"/>
      <c r="B523" s="139"/>
      <c r="C523" s="138"/>
      <c r="D523" s="138"/>
      <c r="E523" s="140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  <c r="AM523" s="141"/>
      <c r="AN523" s="141"/>
      <c r="AO523" s="141"/>
      <c r="AP523" s="141"/>
      <c r="AQ523" s="141"/>
      <c r="AR523" s="141"/>
      <c r="AS523" s="141"/>
      <c r="AT523" s="141"/>
      <c r="AU523" s="141"/>
      <c r="AV523" s="141"/>
      <c r="AW523" s="141"/>
      <c r="AX523" s="141"/>
      <c r="AY523" s="141"/>
      <c r="AZ523" s="141"/>
      <c r="BA523" s="141"/>
      <c r="BB523" s="141"/>
      <c r="BC523" s="141"/>
      <c r="BD523" s="141"/>
      <c r="BE523" s="141"/>
      <c r="BF523" s="141"/>
      <c r="BG523" s="141"/>
      <c r="BH523" s="141"/>
      <c r="BI523" s="141"/>
      <c r="BJ523" s="141"/>
      <c r="BK523" s="141"/>
      <c r="BL523" s="141"/>
      <c r="BM523" s="141"/>
      <c r="BN523" s="141"/>
      <c r="BO523" s="141"/>
    </row>
    <row r="524" ht="13.5" customHeight="1">
      <c r="A524" s="138"/>
      <c r="B524" s="139"/>
      <c r="C524" s="138"/>
      <c r="D524" s="138"/>
      <c r="E524" s="140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  <c r="AL524" s="141"/>
      <c r="AM524" s="141"/>
      <c r="AN524" s="141"/>
      <c r="AO524" s="141"/>
      <c r="AP524" s="141"/>
      <c r="AQ524" s="141"/>
      <c r="AR524" s="141"/>
      <c r="AS524" s="141"/>
      <c r="AT524" s="141"/>
      <c r="AU524" s="141"/>
      <c r="AV524" s="141"/>
      <c r="AW524" s="141"/>
      <c r="AX524" s="141"/>
      <c r="AY524" s="141"/>
      <c r="AZ524" s="141"/>
      <c r="BA524" s="141"/>
      <c r="BB524" s="141"/>
      <c r="BC524" s="141"/>
      <c r="BD524" s="141"/>
      <c r="BE524" s="141"/>
      <c r="BF524" s="141"/>
      <c r="BG524" s="141"/>
      <c r="BH524" s="141"/>
      <c r="BI524" s="141"/>
      <c r="BJ524" s="141"/>
      <c r="BK524" s="141"/>
      <c r="BL524" s="141"/>
      <c r="BM524" s="141"/>
      <c r="BN524" s="141"/>
      <c r="BO524" s="141"/>
    </row>
    <row r="525" ht="13.5" customHeight="1">
      <c r="A525" s="138"/>
      <c r="B525" s="139"/>
      <c r="C525" s="138"/>
      <c r="D525" s="138"/>
      <c r="E525" s="140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  <c r="AM525" s="141"/>
      <c r="AN525" s="141"/>
      <c r="AO525" s="141"/>
      <c r="AP525" s="141"/>
      <c r="AQ525" s="141"/>
      <c r="AR525" s="141"/>
      <c r="AS525" s="141"/>
      <c r="AT525" s="141"/>
      <c r="AU525" s="141"/>
      <c r="AV525" s="141"/>
      <c r="AW525" s="141"/>
      <c r="AX525" s="141"/>
      <c r="AY525" s="141"/>
      <c r="AZ525" s="141"/>
      <c r="BA525" s="141"/>
      <c r="BB525" s="141"/>
      <c r="BC525" s="141"/>
      <c r="BD525" s="141"/>
      <c r="BE525" s="141"/>
      <c r="BF525" s="141"/>
      <c r="BG525" s="141"/>
      <c r="BH525" s="141"/>
      <c r="BI525" s="141"/>
      <c r="BJ525" s="141"/>
      <c r="BK525" s="141"/>
      <c r="BL525" s="141"/>
      <c r="BM525" s="141"/>
      <c r="BN525" s="141"/>
      <c r="BO525" s="141"/>
    </row>
    <row r="526" ht="13.5" customHeight="1">
      <c r="A526" s="138"/>
      <c r="B526" s="139"/>
      <c r="C526" s="138"/>
      <c r="D526" s="138"/>
      <c r="E526" s="140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  <c r="AL526" s="141"/>
      <c r="AM526" s="141"/>
      <c r="AN526" s="141"/>
      <c r="AO526" s="141"/>
      <c r="AP526" s="141"/>
      <c r="AQ526" s="141"/>
      <c r="AR526" s="141"/>
      <c r="AS526" s="141"/>
      <c r="AT526" s="141"/>
      <c r="AU526" s="141"/>
      <c r="AV526" s="141"/>
      <c r="AW526" s="141"/>
      <c r="AX526" s="141"/>
      <c r="AY526" s="141"/>
      <c r="AZ526" s="141"/>
      <c r="BA526" s="141"/>
      <c r="BB526" s="141"/>
      <c r="BC526" s="141"/>
      <c r="BD526" s="141"/>
      <c r="BE526" s="141"/>
      <c r="BF526" s="141"/>
      <c r="BG526" s="141"/>
      <c r="BH526" s="141"/>
      <c r="BI526" s="141"/>
      <c r="BJ526" s="141"/>
      <c r="BK526" s="141"/>
      <c r="BL526" s="141"/>
      <c r="BM526" s="141"/>
      <c r="BN526" s="141"/>
      <c r="BO526" s="141"/>
    </row>
    <row r="527" ht="13.5" customHeight="1">
      <c r="A527" s="138"/>
      <c r="B527" s="139"/>
      <c r="C527" s="138"/>
      <c r="D527" s="138"/>
      <c r="E527" s="140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/>
      <c r="AM527" s="141"/>
      <c r="AN527" s="141"/>
      <c r="AO527" s="141"/>
      <c r="AP527" s="141"/>
      <c r="AQ527" s="141"/>
      <c r="AR527" s="141"/>
      <c r="AS527" s="141"/>
      <c r="AT527" s="141"/>
      <c r="AU527" s="141"/>
      <c r="AV527" s="141"/>
      <c r="AW527" s="141"/>
      <c r="AX527" s="141"/>
      <c r="AY527" s="141"/>
      <c r="AZ527" s="141"/>
      <c r="BA527" s="141"/>
      <c r="BB527" s="141"/>
      <c r="BC527" s="141"/>
      <c r="BD527" s="141"/>
      <c r="BE527" s="141"/>
      <c r="BF527" s="141"/>
      <c r="BG527" s="141"/>
      <c r="BH527" s="141"/>
      <c r="BI527" s="141"/>
      <c r="BJ527" s="141"/>
      <c r="BK527" s="141"/>
      <c r="BL527" s="141"/>
      <c r="BM527" s="141"/>
      <c r="BN527" s="141"/>
      <c r="BO527" s="141"/>
    </row>
    <row r="528" ht="13.5" customHeight="1">
      <c r="A528" s="138"/>
      <c r="B528" s="139"/>
      <c r="C528" s="138"/>
      <c r="D528" s="138"/>
      <c r="E528" s="140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1"/>
      <c r="AM528" s="141"/>
      <c r="AN528" s="141"/>
      <c r="AO528" s="141"/>
      <c r="AP528" s="141"/>
      <c r="AQ528" s="141"/>
      <c r="AR528" s="141"/>
      <c r="AS528" s="141"/>
      <c r="AT528" s="141"/>
      <c r="AU528" s="141"/>
      <c r="AV528" s="141"/>
      <c r="AW528" s="141"/>
      <c r="AX528" s="141"/>
      <c r="AY528" s="141"/>
      <c r="AZ528" s="141"/>
      <c r="BA528" s="141"/>
      <c r="BB528" s="141"/>
      <c r="BC528" s="141"/>
      <c r="BD528" s="141"/>
      <c r="BE528" s="141"/>
      <c r="BF528" s="141"/>
      <c r="BG528" s="141"/>
      <c r="BH528" s="141"/>
      <c r="BI528" s="141"/>
      <c r="BJ528" s="141"/>
      <c r="BK528" s="141"/>
      <c r="BL528" s="141"/>
      <c r="BM528" s="141"/>
      <c r="BN528" s="141"/>
      <c r="BO528" s="141"/>
    </row>
    <row r="529" ht="13.5" customHeight="1">
      <c r="A529" s="138"/>
      <c r="B529" s="139"/>
      <c r="C529" s="138"/>
      <c r="D529" s="138"/>
      <c r="E529" s="140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  <c r="AM529" s="141"/>
      <c r="AN529" s="141"/>
      <c r="AO529" s="141"/>
      <c r="AP529" s="141"/>
      <c r="AQ529" s="141"/>
      <c r="AR529" s="141"/>
      <c r="AS529" s="141"/>
      <c r="AT529" s="141"/>
      <c r="AU529" s="141"/>
      <c r="AV529" s="141"/>
      <c r="AW529" s="141"/>
      <c r="AX529" s="141"/>
      <c r="AY529" s="141"/>
      <c r="AZ529" s="141"/>
      <c r="BA529" s="141"/>
      <c r="BB529" s="141"/>
      <c r="BC529" s="141"/>
      <c r="BD529" s="141"/>
      <c r="BE529" s="141"/>
      <c r="BF529" s="141"/>
      <c r="BG529" s="141"/>
      <c r="BH529" s="141"/>
      <c r="BI529" s="141"/>
      <c r="BJ529" s="141"/>
      <c r="BK529" s="141"/>
      <c r="BL529" s="141"/>
      <c r="BM529" s="141"/>
      <c r="BN529" s="141"/>
      <c r="BO529" s="141"/>
    </row>
    <row r="530" ht="13.5" customHeight="1">
      <c r="A530" s="138"/>
      <c r="B530" s="139"/>
      <c r="C530" s="138"/>
      <c r="D530" s="138"/>
      <c r="E530" s="140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1"/>
      <c r="AM530" s="141"/>
      <c r="AN530" s="141"/>
      <c r="AO530" s="141"/>
      <c r="AP530" s="141"/>
      <c r="AQ530" s="141"/>
      <c r="AR530" s="141"/>
      <c r="AS530" s="141"/>
      <c r="AT530" s="141"/>
      <c r="AU530" s="141"/>
      <c r="AV530" s="141"/>
      <c r="AW530" s="141"/>
      <c r="AX530" s="141"/>
      <c r="AY530" s="141"/>
      <c r="AZ530" s="141"/>
      <c r="BA530" s="141"/>
      <c r="BB530" s="141"/>
      <c r="BC530" s="141"/>
      <c r="BD530" s="141"/>
      <c r="BE530" s="141"/>
      <c r="BF530" s="141"/>
      <c r="BG530" s="141"/>
      <c r="BH530" s="141"/>
      <c r="BI530" s="141"/>
      <c r="BJ530" s="141"/>
      <c r="BK530" s="141"/>
      <c r="BL530" s="141"/>
      <c r="BM530" s="141"/>
      <c r="BN530" s="141"/>
      <c r="BO530" s="141"/>
    </row>
    <row r="531" ht="13.5" customHeight="1">
      <c r="A531" s="138"/>
      <c r="B531" s="139"/>
      <c r="C531" s="138"/>
      <c r="D531" s="138"/>
      <c r="E531" s="140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/>
      <c r="AM531" s="141"/>
      <c r="AN531" s="141"/>
      <c r="AO531" s="141"/>
      <c r="AP531" s="141"/>
      <c r="AQ531" s="141"/>
      <c r="AR531" s="141"/>
      <c r="AS531" s="141"/>
      <c r="AT531" s="141"/>
      <c r="AU531" s="141"/>
      <c r="AV531" s="141"/>
      <c r="AW531" s="141"/>
      <c r="AX531" s="141"/>
      <c r="AY531" s="141"/>
      <c r="AZ531" s="141"/>
      <c r="BA531" s="141"/>
      <c r="BB531" s="141"/>
      <c r="BC531" s="141"/>
      <c r="BD531" s="141"/>
      <c r="BE531" s="141"/>
      <c r="BF531" s="141"/>
      <c r="BG531" s="141"/>
      <c r="BH531" s="141"/>
      <c r="BI531" s="141"/>
      <c r="BJ531" s="141"/>
      <c r="BK531" s="141"/>
      <c r="BL531" s="141"/>
      <c r="BM531" s="141"/>
      <c r="BN531" s="141"/>
      <c r="BO531" s="141"/>
    </row>
    <row r="532" ht="13.5" customHeight="1">
      <c r="A532" s="138"/>
      <c r="B532" s="139"/>
      <c r="C532" s="138"/>
      <c r="D532" s="138"/>
      <c r="E532" s="140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1"/>
      <c r="AM532" s="141"/>
      <c r="AN532" s="141"/>
      <c r="AO532" s="141"/>
      <c r="AP532" s="141"/>
      <c r="AQ532" s="141"/>
      <c r="AR532" s="141"/>
      <c r="AS532" s="141"/>
      <c r="AT532" s="141"/>
      <c r="AU532" s="141"/>
      <c r="AV532" s="141"/>
      <c r="AW532" s="141"/>
      <c r="AX532" s="141"/>
      <c r="AY532" s="141"/>
      <c r="AZ532" s="141"/>
      <c r="BA532" s="141"/>
      <c r="BB532" s="141"/>
      <c r="BC532" s="141"/>
      <c r="BD532" s="141"/>
      <c r="BE532" s="141"/>
      <c r="BF532" s="141"/>
      <c r="BG532" s="141"/>
      <c r="BH532" s="141"/>
      <c r="BI532" s="141"/>
      <c r="BJ532" s="141"/>
      <c r="BK532" s="141"/>
      <c r="BL532" s="141"/>
      <c r="BM532" s="141"/>
      <c r="BN532" s="141"/>
      <c r="BO532" s="141"/>
    </row>
    <row r="533" ht="13.5" customHeight="1">
      <c r="A533" s="138"/>
      <c r="B533" s="139"/>
      <c r="C533" s="138"/>
      <c r="D533" s="138"/>
      <c r="E533" s="140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  <c r="AM533" s="141"/>
      <c r="AN533" s="141"/>
      <c r="AO533" s="141"/>
      <c r="AP533" s="141"/>
      <c r="AQ533" s="141"/>
      <c r="AR533" s="141"/>
      <c r="AS533" s="141"/>
      <c r="AT533" s="141"/>
      <c r="AU533" s="141"/>
      <c r="AV533" s="141"/>
      <c r="AW533" s="141"/>
      <c r="AX533" s="141"/>
      <c r="AY533" s="141"/>
      <c r="AZ533" s="141"/>
      <c r="BA533" s="141"/>
      <c r="BB533" s="141"/>
      <c r="BC533" s="141"/>
      <c r="BD533" s="141"/>
      <c r="BE533" s="141"/>
      <c r="BF533" s="141"/>
      <c r="BG533" s="141"/>
      <c r="BH533" s="141"/>
      <c r="BI533" s="141"/>
      <c r="BJ533" s="141"/>
      <c r="BK533" s="141"/>
      <c r="BL533" s="141"/>
      <c r="BM533" s="141"/>
      <c r="BN533" s="141"/>
      <c r="BO533" s="141"/>
    </row>
    <row r="534" ht="13.5" customHeight="1">
      <c r="A534" s="138"/>
      <c r="B534" s="139"/>
      <c r="C534" s="138"/>
      <c r="D534" s="138"/>
      <c r="E534" s="140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1"/>
      <c r="AM534" s="141"/>
      <c r="AN534" s="141"/>
      <c r="AO534" s="141"/>
      <c r="AP534" s="141"/>
      <c r="AQ534" s="141"/>
      <c r="AR534" s="141"/>
      <c r="AS534" s="141"/>
      <c r="AT534" s="141"/>
      <c r="AU534" s="141"/>
      <c r="AV534" s="141"/>
      <c r="AW534" s="141"/>
      <c r="AX534" s="141"/>
      <c r="AY534" s="141"/>
      <c r="AZ534" s="141"/>
      <c r="BA534" s="141"/>
      <c r="BB534" s="141"/>
      <c r="BC534" s="141"/>
      <c r="BD534" s="141"/>
      <c r="BE534" s="141"/>
      <c r="BF534" s="141"/>
      <c r="BG534" s="141"/>
      <c r="BH534" s="141"/>
      <c r="BI534" s="141"/>
      <c r="BJ534" s="141"/>
      <c r="BK534" s="141"/>
      <c r="BL534" s="141"/>
      <c r="BM534" s="141"/>
      <c r="BN534" s="141"/>
      <c r="BO534" s="141"/>
    </row>
    <row r="535" ht="13.5" customHeight="1">
      <c r="A535" s="138"/>
      <c r="B535" s="139"/>
      <c r="C535" s="138"/>
      <c r="D535" s="138"/>
      <c r="E535" s="140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1"/>
      <c r="AM535" s="141"/>
      <c r="AN535" s="141"/>
      <c r="AO535" s="141"/>
      <c r="AP535" s="141"/>
      <c r="AQ535" s="141"/>
      <c r="AR535" s="141"/>
      <c r="AS535" s="141"/>
      <c r="AT535" s="141"/>
      <c r="AU535" s="141"/>
      <c r="AV535" s="141"/>
      <c r="AW535" s="141"/>
      <c r="AX535" s="141"/>
      <c r="AY535" s="141"/>
      <c r="AZ535" s="141"/>
      <c r="BA535" s="141"/>
      <c r="BB535" s="141"/>
      <c r="BC535" s="141"/>
      <c r="BD535" s="141"/>
      <c r="BE535" s="141"/>
      <c r="BF535" s="141"/>
      <c r="BG535" s="141"/>
      <c r="BH535" s="141"/>
      <c r="BI535" s="141"/>
      <c r="BJ535" s="141"/>
      <c r="BK535" s="141"/>
      <c r="BL535" s="141"/>
      <c r="BM535" s="141"/>
      <c r="BN535" s="141"/>
      <c r="BO535" s="141"/>
    </row>
    <row r="536" ht="13.5" customHeight="1">
      <c r="A536" s="138"/>
      <c r="B536" s="139"/>
      <c r="C536" s="138"/>
      <c r="D536" s="138"/>
      <c r="E536" s="140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1"/>
      <c r="AM536" s="141"/>
      <c r="AN536" s="141"/>
      <c r="AO536" s="141"/>
      <c r="AP536" s="141"/>
      <c r="AQ536" s="141"/>
      <c r="AR536" s="141"/>
      <c r="AS536" s="141"/>
      <c r="AT536" s="141"/>
      <c r="AU536" s="141"/>
      <c r="AV536" s="141"/>
      <c r="AW536" s="141"/>
      <c r="AX536" s="141"/>
      <c r="AY536" s="141"/>
      <c r="AZ536" s="141"/>
      <c r="BA536" s="141"/>
      <c r="BB536" s="141"/>
      <c r="BC536" s="141"/>
      <c r="BD536" s="141"/>
      <c r="BE536" s="141"/>
      <c r="BF536" s="141"/>
      <c r="BG536" s="141"/>
      <c r="BH536" s="141"/>
      <c r="BI536" s="141"/>
      <c r="BJ536" s="141"/>
      <c r="BK536" s="141"/>
      <c r="BL536" s="141"/>
      <c r="BM536" s="141"/>
      <c r="BN536" s="141"/>
      <c r="BO536" s="141"/>
    </row>
    <row r="537" ht="13.5" customHeight="1">
      <c r="A537" s="138"/>
      <c r="B537" s="139"/>
      <c r="C537" s="138"/>
      <c r="D537" s="138"/>
      <c r="E537" s="140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1"/>
      <c r="AM537" s="141"/>
      <c r="AN537" s="141"/>
      <c r="AO537" s="141"/>
      <c r="AP537" s="141"/>
      <c r="AQ537" s="141"/>
      <c r="AR537" s="141"/>
      <c r="AS537" s="141"/>
      <c r="AT537" s="141"/>
      <c r="AU537" s="141"/>
      <c r="AV537" s="141"/>
      <c r="AW537" s="141"/>
      <c r="AX537" s="141"/>
      <c r="AY537" s="141"/>
      <c r="AZ537" s="141"/>
      <c r="BA537" s="141"/>
      <c r="BB537" s="141"/>
      <c r="BC537" s="141"/>
      <c r="BD537" s="141"/>
      <c r="BE537" s="141"/>
      <c r="BF537" s="141"/>
      <c r="BG537" s="141"/>
      <c r="BH537" s="141"/>
      <c r="BI537" s="141"/>
      <c r="BJ537" s="141"/>
      <c r="BK537" s="141"/>
      <c r="BL537" s="141"/>
      <c r="BM537" s="141"/>
      <c r="BN537" s="141"/>
      <c r="BO537" s="141"/>
    </row>
    <row r="538" ht="13.5" customHeight="1">
      <c r="A538" s="138"/>
      <c r="B538" s="139"/>
      <c r="C538" s="138"/>
      <c r="D538" s="138"/>
      <c r="E538" s="140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1"/>
      <c r="AM538" s="141"/>
      <c r="AN538" s="141"/>
      <c r="AO538" s="141"/>
      <c r="AP538" s="141"/>
      <c r="AQ538" s="141"/>
      <c r="AR538" s="141"/>
      <c r="AS538" s="141"/>
      <c r="AT538" s="141"/>
      <c r="AU538" s="141"/>
      <c r="AV538" s="141"/>
      <c r="AW538" s="141"/>
      <c r="AX538" s="141"/>
      <c r="AY538" s="141"/>
      <c r="AZ538" s="141"/>
      <c r="BA538" s="141"/>
      <c r="BB538" s="141"/>
      <c r="BC538" s="141"/>
      <c r="BD538" s="141"/>
      <c r="BE538" s="141"/>
      <c r="BF538" s="141"/>
      <c r="BG538" s="141"/>
      <c r="BH538" s="141"/>
      <c r="BI538" s="141"/>
      <c r="BJ538" s="141"/>
      <c r="BK538" s="141"/>
      <c r="BL538" s="141"/>
      <c r="BM538" s="141"/>
      <c r="BN538" s="141"/>
      <c r="BO538" s="141"/>
    </row>
    <row r="539" ht="13.5" customHeight="1">
      <c r="A539" s="138"/>
      <c r="B539" s="139"/>
      <c r="C539" s="138"/>
      <c r="D539" s="138"/>
      <c r="E539" s="140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1"/>
      <c r="AM539" s="141"/>
      <c r="AN539" s="141"/>
      <c r="AO539" s="141"/>
      <c r="AP539" s="141"/>
      <c r="AQ539" s="141"/>
      <c r="AR539" s="141"/>
      <c r="AS539" s="141"/>
      <c r="AT539" s="141"/>
      <c r="AU539" s="141"/>
      <c r="AV539" s="141"/>
      <c r="AW539" s="141"/>
      <c r="AX539" s="141"/>
      <c r="AY539" s="141"/>
      <c r="AZ539" s="141"/>
      <c r="BA539" s="141"/>
      <c r="BB539" s="141"/>
      <c r="BC539" s="141"/>
      <c r="BD539" s="141"/>
      <c r="BE539" s="141"/>
      <c r="BF539" s="141"/>
      <c r="BG539" s="141"/>
      <c r="BH539" s="141"/>
      <c r="BI539" s="141"/>
      <c r="BJ539" s="141"/>
      <c r="BK539" s="141"/>
      <c r="BL539" s="141"/>
      <c r="BM539" s="141"/>
      <c r="BN539" s="141"/>
      <c r="BO539" s="141"/>
    </row>
    <row r="540" ht="13.5" customHeight="1">
      <c r="A540" s="138"/>
      <c r="B540" s="139"/>
      <c r="C540" s="138"/>
      <c r="D540" s="138"/>
      <c r="E540" s="140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  <c r="AM540" s="141"/>
      <c r="AN540" s="141"/>
      <c r="AO540" s="141"/>
      <c r="AP540" s="141"/>
      <c r="AQ540" s="141"/>
      <c r="AR540" s="141"/>
      <c r="AS540" s="141"/>
      <c r="AT540" s="141"/>
      <c r="AU540" s="141"/>
      <c r="AV540" s="141"/>
      <c r="AW540" s="141"/>
      <c r="AX540" s="141"/>
      <c r="AY540" s="141"/>
      <c r="AZ540" s="141"/>
      <c r="BA540" s="141"/>
      <c r="BB540" s="141"/>
      <c r="BC540" s="141"/>
      <c r="BD540" s="141"/>
      <c r="BE540" s="141"/>
      <c r="BF540" s="141"/>
      <c r="BG540" s="141"/>
      <c r="BH540" s="141"/>
      <c r="BI540" s="141"/>
      <c r="BJ540" s="141"/>
      <c r="BK540" s="141"/>
      <c r="BL540" s="141"/>
      <c r="BM540" s="141"/>
      <c r="BN540" s="141"/>
      <c r="BO540" s="141"/>
    </row>
    <row r="541" ht="13.5" customHeight="1">
      <c r="A541" s="138"/>
      <c r="B541" s="139"/>
      <c r="C541" s="138"/>
      <c r="D541" s="138"/>
      <c r="E541" s="140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/>
      <c r="AM541" s="141"/>
      <c r="AN541" s="141"/>
      <c r="AO541" s="141"/>
      <c r="AP541" s="141"/>
      <c r="AQ541" s="141"/>
      <c r="AR541" s="141"/>
      <c r="AS541" s="141"/>
      <c r="AT541" s="141"/>
      <c r="AU541" s="141"/>
      <c r="AV541" s="141"/>
      <c r="AW541" s="141"/>
      <c r="AX541" s="141"/>
      <c r="AY541" s="141"/>
      <c r="AZ541" s="141"/>
      <c r="BA541" s="141"/>
      <c r="BB541" s="141"/>
      <c r="BC541" s="141"/>
      <c r="BD541" s="141"/>
      <c r="BE541" s="141"/>
      <c r="BF541" s="141"/>
      <c r="BG541" s="141"/>
      <c r="BH541" s="141"/>
      <c r="BI541" s="141"/>
      <c r="BJ541" s="141"/>
      <c r="BK541" s="141"/>
      <c r="BL541" s="141"/>
      <c r="BM541" s="141"/>
      <c r="BN541" s="141"/>
      <c r="BO541" s="141"/>
    </row>
    <row r="542" ht="13.5" customHeight="1">
      <c r="A542" s="138"/>
      <c r="B542" s="139"/>
      <c r="C542" s="138"/>
      <c r="D542" s="138"/>
      <c r="E542" s="140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1"/>
      <c r="AM542" s="141"/>
      <c r="AN542" s="141"/>
      <c r="AO542" s="141"/>
      <c r="AP542" s="141"/>
      <c r="AQ542" s="141"/>
      <c r="AR542" s="141"/>
      <c r="AS542" s="141"/>
      <c r="AT542" s="141"/>
      <c r="AU542" s="141"/>
      <c r="AV542" s="141"/>
      <c r="AW542" s="141"/>
      <c r="AX542" s="141"/>
      <c r="AY542" s="141"/>
      <c r="AZ542" s="141"/>
      <c r="BA542" s="141"/>
      <c r="BB542" s="141"/>
      <c r="BC542" s="141"/>
      <c r="BD542" s="141"/>
      <c r="BE542" s="141"/>
      <c r="BF542" s="141"/>
      <c r="BG542" s="141"/>
      <c r="BH542" s="141"/>
      <c r="BI542" s="141"/>
      <c r="BJ542" s="141"/>
      <c r="BK542" s="141"/>
      <c r="BL542" s="141"/>
      <c r="BM542" s="141"/>
      <c r="BN542" s="141"/>
      <c r="BO542" s="141"/>
    </row>
    <row r="543" ht="13.5" customHeight="1">
      <c r="A543" s="138"/>
      <c r="B543" s="139"/>
      <c r="C543" s="138"/>
      <c r="D543" s="138"/>
      <c r="E543" s="140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  <c r="AM543" s="141"/>
      <c r="AN543" s="141"/>
      <c r="AO543" s="141"/>
      <c r="AP543" s="141"/>
      <c r="AQ543" s="141"/>
      <c r="AR543" s="141"/>
      <c r="AS543" s="141"/>
      <c r="AT543" s="141"/>
      <c r="AU543" s="141"/>
      <c r="AV543" s="141"/>
      <c r="AW543" s="141"/>
      <c r="AX543" s="141"/>
      <c r="AY543" s="141"/>
      <c r="AZ543" s="141"/>
      <c r="BA543" s="141"/>
      <c r="BB543" s="141"/>
      <c r="BC543" s="141"/>
      <c r="BD543" s="141"/>
      <c r="BE543" s="141"/>
      <c r="BF543" s="141"/>
      <c r="BG543" s="141"/>
      <c r="BH543" s="141"/>
      <c r="BI543" s="141"/>
      <c r="BJ543" s="141"/>
      <c r="BK543" s="141"/>
      <c r="BL543" s="141"/>
      <c r="BM543" s="141"/>
      <c r="BN543" s="141"/>
      <c r="BO543" s="141"/>
    </row>
    <row r="544" ht="13.5" customHeight="1">
      <c r="A544" s="138"/>
      <c r="B544" s="139"/>
      <c r="C544" s="138"/>
      <c r="D544" s="138"/>
      <c r="E544" s="140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1"/>
      <c r="AM544" s="141"/>
      <c r="AN544" s="141"/>
      <c r="AO544" s="141"/>
      <c r="AP544" s="141"/>
      <c r="AQ544" s="141"/>
      <c r="AR544" s="141"/>
      <c r="AS544" s="141"/>
      <c r="AT544" s="141"/>
      <c r="AU544" s="141"/>
      <c r="AV544" s="141"/>
      <c r="AW544" s="141"/>
      <c r="AX544" s="141"/>
      <c r="AY544" s="141"/>
      <c r="AZ544" s="141"/>
      <c r="BA544" s="141"/>
      <c r="BB544" s="141"/>
      <c r="BC544" s="141"/>
      <c r="BD544" s="141"/>
      <c r="BE544" s="141"/>
      <c r="BF544" s="141"/>
      <c r="BG544" s="141"/>
      <c r="BH544" s="141"/>
      <c r="BI544" s="141"/>
      <c r="BJ544" s="141"/>
      <c r="BK544" s="141"/>
      <c r="BL544" s="141"/>
      <c r="BM544" s="141"/>
      <c r="BN544" s="141"/>
      <c r="BO544" s="141"/>
    </row>
    <row r="545" ht="13.5" customHeight="1">
      <c r="A545" s="138"/>
      <c r="B545" s="139"/>
      <c r="C545" s="138"/>
      <c r="D545" s="138"/>
      <c r="E545" s="140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  <c r="AO545" s="141"/>
      <c r="AP545" s="141"/>
      <c r="AQ545" s="141"/>
      <c r="AR545" s="141"/>
      <c r="AS545" s="141"/>
      <c r="AT545" s="141"/>
      <c r="AU545" s="141"/>
      <c r="AV545" s="141"/>
      <c r="AW545" s="141"/>
      <c r="AX545" s="141"/>
      <c r="AY545" s="141"/>
      <c r="AZ545" s="141"/>
      <c r="BA545" s="141"/>
      <c r="BB545" s="141"/>
      <c r="BC545" s="141"/>
      <c r="BD545" s="141"/>
      <c r="BE545" s="141"/>
      <c r="BF545" s="141"/>
      <c r="BG545" s="141"/>
      <c r="BH545" s="141"/>
      <c r="BI545" s="141"/>
      <c r="BJ545" s="141"/>
      <c r="BK545" s="141"/>
      <c r="BL545" s="141"/>
      <c r="BM545" s="141"/>
      <c r="BN545" s="141"/>
      <c r="BO545" s="141"/>
    </row>
    <row r="546" ht="13.5" customHeight="1">
      <c r="A546" s="138"/>
      <c r="B546" s="139"/>
      <c r="C546" s="138"/>
      <c r="D546" s="138"/>
      <c r="E546" s="140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1"/>
      <c r="AM546" s="141"/>
      <c r="AN546" s="141"/>
      <c r="AO546" s="141"/>
      <c r="AP546" s="141"/>
      <c r="AQ546" s="141"/>
      <c r="AR546" s="141"/>
      <c r="AS546" s="141"/>
      <c r="AT546" s="141"/>
      <c r="AU546" s="141"/>
      <c r="AV546" s="141"/>
      <c r="AW546" s="141"/>
      <c r="AX546" s="141"/>
      <c r="AY546" s="141"/>
      <c r="AZ546" s="141"/>
      <c r="BA546" s="141"/>
      <c r="BB546" s="141"/>
      <c r="BC546" s="141"/>
      <c r="BD546" s="141"/>
      <c r="BE546" s="141"/>
      <c r="BF546" s="141"/>
      <c r="BG546" s="141"/>
      <c r="BH546" s="141"/>
      <c r="BI546" s="141"/>
      <c r="BJ546" s="141"/>
      <c r="BK546" s="141"/>
      <c r="BL546" s="141"/>
      <c r="BM546" s="141"/>
      <c r="BN546" s="141"/>
      <c r="BO546" s="141"/>
    </row>
    <row r="547" ht="13.5" customHeight="1">
      <c r="A547" s="138"/>
      <c r="B547" s="139"/>
      <c r="C547" s="138"/>
      <c r="D547" s="138"/>
      <c r="E547" s="140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  <c r="AM547" s="141"/>
      <c r="AN547" s="141"/>
      <c r="AO547" s="141"/>
      <c r="AP547" s="141"/>
      <c r="AQ547" s="141"/>
      <c r="AR547" s="141"/>
      <c r="AS547" s="141"/>
      <c r="AT547" s="141"/>
      <c r="AU547" s="141"/>
      <c r="AV547" s="141"/>
      <c r="AW547" s="141"/>
      <c r="AX547" s="141"/>
      <c r="AY547" s="141"/>
      <c r="AZ547" s="141"/>
      <c r="BA547" s="141"/>
      <c r="BB547" s="141"/>
      <c r="BC547" s="141"/>
      <c r="BD547" s="141"/>
      <c r="BE547" s="141"/>
      <c r="BF547" s="141"/>
      <c r="BG547" s="141"/>
      <c r="BH547" s="141"/>
      <c r="BI547" s="141"/>
      <c r="BJ547" s="141"/>
      <c r="BK547" s="141"/>
      <c r="BL547" s="141"/>
      <c r="BM547" s="141"/>
      <c r="BN547" s="141"/>
      <c r="BO547" s="141"/>
    </row>
    <row r="548" ht="13.5" customHeight="1">
      <c r="A548" s="138"/>
      <c r="B548" s="139"/>
      <c r="C548" s="138"/>
      <c r="D548" s="138"/>
      <c r="E548" s="140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  <c r="AL548" s="141"/>
      <c r="AM548" s="141"/>
      <c r="AN548" s="141"/>
      <c r="AO548" s="141"/>
      <c r="AP548" s="141"/>
      <c r="AQ548" s="141"/>
      <c r="AR548" s="141"/>
      <c r="AS548" s="141"/>
      <c r="AT548" s="141"/>
      <c r="AU548" s="141"/>
      <c r="AV548" s="141"/>
      <c r="AW548" s="141"/>
      <c r="AX548" s="141"/>
      <c r="AY548" s="141"/>
      <c r="AZ548" s="141"/>
      <c r="BA548" s="141"/>
      <c r="BB548" s="141"/>
      <c r="BC548" s="141"/>
      <c r="BD548" s="141"/>
      <c r="BE548" s="141"/>
      <c r="BF548" s="141"/>
      <c r="BG548" s="141"/>
      <c r="BH548" s="141"/>
      <c r="BI548" s="141"/>
      <c r="BJ548" s="141"/>
      <c r="BK548" s="141"/>
      <c r="BL548" s="141"/>
      <c r="BM548" s="141"/>
      <c r="BN548" s="141"/>
      <c r="BO548" s="141"/>
    </row>
    <row r="549" ht="13.5" customHeight="1">
      <c r="A549" s="138"/>
      <c r="B549" s="139"/>
      <c r="C549" s="138"/>
      <c r="D549" s="138"/>
      <c r="E549" s="140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1"/>
      <c r="AM549" s="141"/>
      <c r="AN549" s="141"/>
      <c r="AO549" s="141"/>
      <c r="AP549" s="141"/>
      <c r="AQ549" s="141"/>
      <c r="AR549" s="141"/>
      <c r="AS549" s="141"/>
      <c r="AT549" s="141"/>
      <c r="AU549" s="141"/>
      <c r="AV549" s="141"/>
      <c r="AW549" s="141"/>
      <c r="AX549" s="141"/>
      <c r="AY549" s="141"/>
      <c r="AZ549" s="141"/>
      <c r="BA549" s="141"/>
      <c r="BB549" s="141"/>
      <c r="BC549" s="141"/>
      <c r="BD549" s="141"/>
      <c r="BE549" s="141"/>
      <c r="BF549" s="141"/>
      <c r="BG549" s="141"/>
      <c r="BH549" s="141"/>
      <c r="BI549" s="141"/>
      <c r="BJ549" s="141"/>
      <c r="BK549" s="141"/>
      <c r="BL549" s="141"/>
      <c r="BM549" s="141"/>
      <c r="BN549" s="141"/>
      <c r="BO549" s="141"/>
    </row>
    <row r="550" ht="13.5" customHeight="1">
      <c r="A550" s="138"/>
      <c r="B550" s="139"/>
      <c r="C550" s="138"/>
      <c r="D550" s="138"/>
      <c r="E550" s="140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  <c r="AL550" s="141"/>
      <c r="AM550" s="141"/>
      <c r="AN550" s="141"/>
      <c r="AO550" s="141"/>
      <c r="AP550" s="141"/>
      <c r="AQ550" s="141"/>
      <c r="AR550" s="141"/>
      <c r="AS550" s="141"/>
      <c r="AT550" s="141"/>
      <c r="AU550" s="141"/>
      <c r="AV550" s="141"/>
      <c r="AW550" s="141"/>
      <c r="AX550" s="141"/>
      <c r="AY550" s="141"/>
      <c r="AZ550" s="141"/>
      <c r="BA550" s="141"/>
      <c r="BB550" s="141"/>
      <c r="BC550" s="141"/>
      <c r="BD550" s="141"/>
      <c r="BE550" s="141"/>
      <c r="BF550" s="141"/>
      <c r="BG550" s="141"/>
      <c r="BH550" s="141"/>
      <c r="BI550" s="141"/>
      <c r="BJ550" s="141"/>
      <c r="BK550" s="141"/>
      <c r="BL550" s="141"/>
      <c r="BM550" s="141"/>
      <c r="BN550" s="141"/>
      <c r="BO550" s="141"/>
    </row>
    <row r="551" ht="13.5" customHeight="1">
      <c r="A551" s="138"/>
      <c r="B551" s="139"/>
      <c r="C551" s="138"/>
      <c r="D551" s="138"/>
      <c r="E551" s="140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/>
      <c r="AM551" s="141"/>
      <c r="AN551" s="141"/>
      <c r="AO551" s="141"/>
      <c r="AP551" s="141"/>
      <c r="AQ551" s="141"/>
      <c r="AR551" s="141"/>
      <c r="AS551" s="141"/>
      <c r="AT551" s="141"/>
      <c r="AU551" s="141"/>
      <c r="AV551" s="141"/>
      <c r="AW551" s="141"/>
      <c r="AX551" s="141"/>
      <c r="AY551" s="141"/>
      <c r="AZ551" s="141"/>
      <c r="BA551" s="141"/>
      <c r="BB551" s="141"/>
      <c r="BC551" s="141"/>
      <c r="BD551" s="141"/>
      <c r="BE551" s="141"/>
      <c r="BF551" s="141"/>
      <c r="BG551" s="141"/>
      <c r="BH551" s="141"/>
      <c r="BI551" s="141"/>
      <c r="BJ551" s="141"/>
      <c r="BK551" s="141"/>
      <c r="BL551" s="141"/>
      <c r="BM551" s="141"/>
      <c r="BN551" s="141"/>
      <c r="BO551" s="141"/>
    </row>
    <row r="552" ht="13.5" customHeight="1">
      <c r="A552" s="138"/>
      <c r="B552" s="139"/>
      <c r="C552" s="138"/>
      <c r="D552" s="138"/>
      <c r="E552" s="140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  <c r="AL552" s="141"/>
      <c r="AM552" s="141"/>
      <c r="AN552" s="141"/>
      <c r="AO552" s="141"/>
      <c r="AP552" s="141"/>
      <c r="AQ552" s="141"/>
      <c r="AR552" s="141"/>
      <c r="AS552" s="141"/>
      <c r="AT552" s="141"/>
      <c r="AU552" s="141"/>
      <c r="AV552" s="141"/>
      <c r="AW552" s="141"/>
      <c r="AX552" s="141"/>
      <c r="AY552" s="141"/>
      <c r="AZ552" s="141"/>
      <c r="BA552" s="141"/>
      <c r="BB552" s="141"/>
      <c r="BC552" s="141"/>
      <c r="BD552" s="141"/>
      <c r="BE552" s="141"/>
      <c r="BF552" s="141"/>
      <c r="BG552" s="141"/>
      <c r="BH552" s="141"/>
      <c r="BI552" s="141"/>
      <c r="BJ552" s="141"/>
      <c r="BK552" s="141"/>
      <c r="BL552" s="141"/>
      <c r="BM552" s="141"/>
      <c r="BN552" s="141"/>
      <c r="BO552" s="141"/>
    </row>
    <row r="553" ht="13.5" customHeight="1">
      <c r="A553" s="138"/>
      <c r="B553" s="139"/>
      <c r="C553" s="138"/>
      <c r="D553" s="138"/>
      <c r="E553" s="140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1"/>
      <c r="AM553" s="141"/>
      <c r="AN553" s="141"/>
      <c r="AO553" s="141"/>
      <c r="AP553" s="141"/>
      <c r="AQ553" s="141"/>
      <c r="AR553" s="141"/>
      <c r="AS553" s="141"/>
      <c r="AT553" s="141"/>
      <c r="AU553" s="141"/>
      <c r="AV553" s="141"/>
      <c r="AW553" s="141"/>
      <c r="AX553" s="141"/>
      <c r="AY553" s="141"/>
      <c r="AZ553" s="141"/>
      <c r="BA553" s="141"/>
      <c r="BB553" s="141"/>
      <c r="BC553" s="141"/>
      <c r="BD553" s="141"/>
      <c r="BE553" s="141"/>
      <c r="BF553" s="141"/>
      <c r="BG553" s="141"/>
      <c r="BH553" s="141"/>
      <c r="BI553" s="141"/>
      <c r="BJ553" s="141"/>
      <c r="BK553" s="141"/>
      <c r="BL553" s="141"/>
      <c r="BM553" s="141"/>
      <c r="BN553" s="141"/>
      <c r="BO553" s="141"/>
    </row>
    <row r="554" ht="13.5" customHeight="1">
      <c r="A554" s="138"/>
      <c r="B554" s="139"/>
      <c r="C554" s="138"/>
      <c r="D554" s="138"/>
      <c r="E554" s="140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  <c r="AL554" s="141"/>
      <c r="AM554" s="141"/>
      <c r="AN554" s="141"/>
      <c r="AO554" s="141"/>
      <c r="AP554" s="141"/>
      <c r="AQ554" s="141"/>
      <c r="AR554" s="141"/>
      <c r="AS554" s="141"/>
      <c r="AT554" s="141"/>
      <c r="AU554" s="141"/>
      <c r="AV554" s="141"/>
      <c r="AW554" s="141"/>
      <c r="AX554" s="141"/>
      <c r="AY554" s="141"/>
      <c r="AZ554" s="141"/>
      <c r="BA554" s="141"/>
      <c r="BB554" s="141"/>
      <c r="BC554" s="141"/>
      <c r="BD554" s="141"/>
      <c r="BE554" s="141"/>
      <c r="BF554" s="141"/>
      <c r="BG554" s="141"/>
      <c r="BH554" s="141"/>
      <c r="BI554" s="141"/>
      <c r="BJ554" s="141"/>
      <c r="BK554" s="141"/>
      <c r="BL554" s="141"/>
      <c r="BM554" s="141"/>
      <c r="BN554" s="141"/>
      <c r="BO554" s="141"/>
    </row>
    <row r="555" ht="13.5" customHeight="1">
      <c r="A555" s="138"/>
      <c r="B555" s="139"/>
      <c r="C555" s="138"/>
      <c r="D555" s="138"/>
      <c r="E555" s="140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1"/>
      <c r="AM555" s="141"/>
      <c r="AN555" s="141"/>
      <c r="AO555" s="141"/>
      <c r="AP555" s="141"/>
      <c r="AQ555" s="141"/>
      <c r="AR555" s="141"/>
      <c r="AS555" s="141"/>
      <c r="AT555" s="141"/>
      <c r="AU555" s="141"/>
      <c r="AV555" s="141"/>
      <c r="AW555" s="141"/>
      <c r="AX555" s="141"/>
      <c r="AY555" s="141"/>
      <c r="AZ555" s="141"/>
      <c r="BA555" s="141"/>
      <c r="BB555" s="141"/>
      <c r="BC555" s="141"/>
      <c r="BD555" s="141"/>
      <c r="BE555" s="141"/>
      <c r="BF555" s="141"/>
      <c r="BG555" s="141"/>
      <c r="BH555" s="141"/>
      <c r="BI555" s="141"/>
      <c r="BJ555" s="141"/>
      <c r="BK555" s="141"/>
      <c r="BL555" s="141"/>
      <c r="BM555" s="141"/>
      <c r="BN555" s="141"/>
      <c r="BO555" s="141"/>
    </row>
    <row r="556" ht="13.5" customHeight="1">
      <c r="A556" s="138"/>
      <c r="B556" s="139"/>
      <c r="C556" s="138"/>
      <c r="D556" s="138"/>
      <c r="E556" s="140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1"/>
      <c r="AM556" s="141"/>
      <c r="AN556" s="141"/>
      <c r="AO556" s="141"/>
      <c r="AP556" s="141"/>
      <c r="AQ556" s="141"/>
      <c r="AR556" s="141"/>
      <c r="AS556" s="141"/>
      <c r="AT556" s="141"/>
      <c r="AU556" s="141"/>
      <c r="AV556" s="141"/>
      <c r="AW556" s="141"/>
      <c r="AX556" s="141"/>
      <c r="AY556" s="141"/>
      <c r="AZ556" s="141"/>
      <c r="BA556" s="141"/>
      <c r="BB556" s="141"/>
      <c r="BC556" s="141"/>
      <c r="BD556" s="141"/>
      <c r="BE556" s="141"/>
      <c r="BF556" s="141"/>
      <c r="BG556" s="141"/>
      <c r="BH556" s="141"/>
      <c r="BI556" s="141"/>
      <c r="BJ556" s="141"/>
      <c r="BK556" s="141"/>
      <c r="BL556" s="141"/>
      <c r="BM556" s="141"/>
      <c r="BN556" s="141"/>
      <c r="BO556" s="141"/>
    </row>
    <row r="557" ht="13.5" customHeight="1">
      <c r="A557" s="138"/>
      <c r="B557" s="139"/>
      <c r="C557" s="138"/>
      <c r="D557" s="138"/>
      <c r="E557" s="140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1"/>
      <c r="AM557" s="141"/>
      <c r="AN557" s="141"/>
      <c r="AO557" s="141"/>
      <c r="AP557" s="141"/>
      <c r="AQ557" s="141"/>
      <c r="AR557" s="141"/>
      <c r="AS557" s="141"/>
      <c r="AT557" s="141"/>
      <c r="AU557" s="141"/>
      <c r="AV557" s="141"/>
      <c r="AW557" s="141"/>
      <c r="AX557" s="141"/>
      <c r="AY557" s="141"/>
      <c r="AZ557" s="141"/>
      <c r="BA557" s="141"/>
      <c r="BB557" s="141"/>
      <c r="BC557" s="141"/>
      <c r="BD557" s="141"/>
      <c r="BE557" s="141"/>
      <c r="BF557" s="141"/>
      <c r="BG557" s="141"/>
      <c r="BH557" s="141"/>
      <c r="BI557" s="141"/>
      <c r="BJ557" s="141"/>
      <c r="BK557" s="141"/>
      <c r="BL557" s="141"/>
      <c r="BM557" s="141"/>
      <c r="BN557" s="141"/>
      <c r="BO557" s="141"/>
    </row>
    <row r="558" ht="13.5" customHeight="1">
      <c r="A558" s="138"/>
      <c r="B558" s="139"/>
      <c r="C558" s="138"/>
      <c r="D558" s="138"/>
      <c r="E558" s="140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  <c r="AL558" s="141"/>
      <c r="AM558" s="141"/>
      <c r="AN558" s="141"/>
      <c r="AO558" s="141"/>
      <c r="AP558" s="141"/>
      <c r="AQ558" s="141"/>
      <c r="AR558" s="141"/>
      <c r="AS558" s="141"/>
      <c r="AT558" s="141"/>
      <c r="AU558" s="141"/>
      <c r="AV558" s="141"/>
      <c r="AW558" s="141"/>
      <c r="AX558" s="141"/>
      <c r="AY558" s="141"/>
      <c r="AZ558" s="141"/>
      <c r="BA558" s="141"/>
      <c r="BB558" s="141"/>
      <c r="BC558" s="141"/>
      <c r="BD558" s="141"/>
      <c r="BE558" s="141"/>
      <c r="BF558" s="141"/>
      <c r="BG558" s="141"/>
      <c r="BH558" s="141"/>
      <c r="BI558" s="141"/>
      <c r="BJ558" s="141"/>
      <c r="BK558" s="141"/>
      <c r="BL558" s="141"/>
      <c r="BM558" s="141"/>
      <c r="BN558" s="141"/>
      <c r="BO558" s="141"/>
    </row>
    <row r="559" ht="13.5" customHeight="1">
      <c r="A559" s="138"/>
      <c r="B559" s="139"/>
      <c r="C559" s="138"/>
      <c r="D559" s="138"/>
      <c r="E559" s="140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  <c r="AL559" s="141"/>
      <c r="AM559" s="141"/>
      <c r="AN559" s="141"/>
      <c r="AO559" s="141"/>
      <c r="AP559" s="141"/>
      <c r="AQ559" s="141"/>
      <c r="AR559" s="141"/>
      <c r="AS559" s="141"/>
      <c r="AT559" s="141"/>
      <c r="AU559" s="141"/>
      <c r="AV559" s="141"/>
      <c r="AW559" s="141"/>
      <c r="AX559" s="141"/>
      <c r="AY559" s="141"/>
      <c r="AZ559" s="141"/>
      <c r="BA559" s="141"/>
      <c r="BB559" s="141"/>
      <c r="BC559" s="141"/>
      <c r="BD559" s="141"/>
      <c r="BE559" s="141"/>
      <c r="BF559" s="141"/>
      <c r="BG559" s="141"/>
      <c r="BH559" s="141"/>
      <c r="BI559" s="141"/>
      <c r="BJ559" s="141"/>
      <c r="BK559" s="141"/>
      <c r="BL559" s="141"/>
      <c r="BM559" s="141"/>
      <c r="BN559" s="141"/>
      <c r="BO559" s="141"/>
    </row>
    <row r="560" ht="13.5" customHeight="1">
      <c r="A560" s="138"/>
      <c r="B560" s="139"/>
      <c r="C560" s="138"/>
      <c r="D560" s="138"/>
      <c r="E560" s="140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  <c r="AL560" s="141"/>
      <c r="AM560" s="141"/>
      <c r="AN560" s="141"/>
      <c r="AO560" s="141"/>
      <c r="AP560" s="141"/>
      <c r="AQ560" s="141"/>
      <c r="AR560" s="141"/>
      <c r="AS560" s="141"/>
      <c r="AT560" s="141"/>
      <c r="AU560" s="141"/>
      <c r="AV560" s="141"/>
      <c r="AW560" s="141"/>
      <c r="AX560" s="141"/>
      <c r="AY560" s="141"/>
      <c r="AZ560" s="141"/>
      <c r="BA560" s="141"/>
      <c r="BB560" s="141"/>
      <c r="BC560" s="141"/>
      <c r="BD560" s="141"/>
      <c r="BE560" s="141"/>
      <c r="BF560" s="141"/>
      <c r="BG560" s="141"/>
      <c r="BH560" s="141"/>
      <c r="BI560" s="141"/>
      <c r="BJ560" s="141"/>
      <c r="BK560" s="141"/>
      <c r="BL560" s="141"/>
      <c r="BM560" s="141"/>
      <c r="BN560" s="141"/>
      <c r="BO560" s="141"/>
    </row>
    <row r="561" ht="13.5" customHeight="1">
      <c r="A561" s="138"/>
      <c r="B561" s="139"/>
      <c r="C561" s="138"/>
      <c r="D561" s="138"/>
      <c r="E561" s="140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1"/>
      <c r="AM561" s="141"/>
      <c r="AN561" s="141"/>
      <c r="AO561" s="141"/>
      <c r="AP561" s="141"/>
      <c r="AQ561" s="141"/>
      <c r="AR561" s="141"/>
      <c r="AS561" s="141"/>
      <c r="AT561" s="141"/>
      <c r="AU561" s="141"/>
      <c r="AV561" s="141"/>
      <c r="AW561" s="141"/>
      <c r="AX561" s="141"/>
      <c r="AY561" s="141"/>
      <c r="AZ561" s="141"/>
      <c r="BA561" s="141"/>
      <c r="BB561" s="141"/>
      <c r="BC561" s="141"/>
      <c r="BD561" s="141"/>
      <c r="BE561" s="141"/>
      <c r="BF561" s="141"/>
      <c r="BG561" s="141"/>
      <c r="BH561" s="141"/>
      <c r="BI561" s="141"/>
      <c r="BJ561" s="141"/>
      <c r="BK561" s="141"/>
      <c r="BL561" s="141"/>
      <c r="BM561" s="141"/>
      <c r="BN561" s="141"/>
      <c r="BO561" s="141"/>
    </row>
    <row r="562" ht="13.5" customHeight="1">
      <c r="A562" s="138"/>
      <c r="B562" s="139"/>
      <c r="C562" s="138"/>
      <c r="D562" s="138"/>
      <c r="E562" s="140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1"/>
      <c r="AM562" s="141"/>
      <c r="AN562" s="141"/>
      <c r="AO562" s="141"/>
      <c r="AP562" s="141"/>
      <c r="AQ562" s="141"/>
      <c r="AR562" s="141"/>
      <c r="AS562" s="141"/>
      <c r="AT562" s="141"/>
      <c r="AU562" s="141"/>
      <c r="AV562" s="141"/>
      <c r="AW562" s="141"/>
      <c r="AX562" s="141"/>
      <c r="AY562" s="141"/>
      <c r="AZ562" s="141"/>
      <c r="BA562" s="141"/>
      <c r="BB562" s="141"/>
      <c r="BC562" s="141"/>
      <c r="BD562" s="141"/>
      <c r="BE562" s="141"/>
      <c r="BF562" s="141"/>
      <c r="BG562" s="141"/>
      <c r="BH562" s="141"/>
      <c r="BI562" s="141"/>
      <c r="BJ562" s="141"/>
      <c r="BK562" s="141"/>
      <c r="BL562" s="141"/>
      <c r="BM562" s="141"/>
      <c r="BN562" s="141"/>
      <c r="BO562" s="141"/>
    </row>
    <row r="563" ht="13.5" customHeight="1">
      <c r="A563" s="138"/>
      <c r="B563" s="139"/>
      <c r="C563" s="138"/>
      <c r="D563" s="138"/>
      <c r="E563" s="140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1"/>
      <c r="AM563" s="141"/>
      <c r="AN563" s="141"/>
      <c r="AO563" s="141"/>
      <c r="AP563" s="141"/>
      <c r="AQ563" s="141"/>
      <c r="AR563" s="141"/>
      <c r="AS563" s="141"/>
      <c r="AT563" s="141"/>
      <c r="AU563" s="141"/>
      <c r="AV563" s="141"/>
      <c r="AW563" s="141"/>
      <c r="AX563" s="141"/>
      <c r="AY563" s="141"/>
      <c r="AZ563" s="141"/>
      <c r="BA563" s="141"/>
      <c r="BB563" s="141"/>
      <c r="BC563" s="141"/>
      <c r="BD563" s="141"/>
      <c r="BE563" s="141"/>
      <c r="BF563" s="141"/>
      <c r="BG563" s="141"/>
      <c r="BH563" s="141"/>
      <c r="BI563" s="141"/>
      <c r="BJ563" s="141"/>
      <c r="BK563" s="141"/>
      <c r="BL563" s="141"/>
      <c r="BM563" s="141"/>
      <c r="BN563" s="141"/>
      <c r="BO563" s="141"/>
    </row>
    <row r="564" ht="13.5" customHeight="1">
      <c r="A564" s="138"/>
      <c r="B564" s="139"/>
      <c r="C564" s="138"/>
      <c r="D564" s="138"/>
      <c r="E564" s="140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  <c r="AL564" s="141"/>
      <c r="AM564" s="141"/>
      <c r="AN564" s="141"/>
      <c r="AO564" s="141"/>
      <c r="AP564" s="141"/>
      <c r="AQ564" s="141"/>
      <c r="AR564" s="141"/>
      <c r="AS564" s="141"/>
      <c r="AT564" s="141"/>
      <c r="AU564" s="141"/>
      <c r="AV564" s="141"/>
      <c r="AW564" s="141"/>
      <c r="AX564" s="141"/>
      <c r="AY564" s="141"/>
      <c r="AZ564" s="141"/>
      <c r="BA564" s="141"/>
      <c r="BB564" s="141"/>
      <c r="BC564" s="141"/>
      <c r="BD564" s="141"/>
      <c r="BE564" s="141"/>
      <c r="BF564" s="141"/>
      <c r="BG564" s="141"/>
      <c r="BH564" s="141"/>
      <c r="BI564" s="141"/>
      <c r="BJ564" s="141"/>
      <c r="BK564" s="141"/>
      <c r="BL564" s="141"/>
      <c r="BM564" s="141"/>
      <c r="BN564" s="141"/>
      <c r="BO564" s="141"/>
    </row>
    <row r="565" ht="13.5" customHeight="1">
      <c r="A565" s="138"/>
      <c r="B565" s="139"/>
      <c r="C565" s="138"/>
      <c r="D565" s="138"/>
      <c r="E565" s="140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  <c r="AL565" s="141"/>
      <c r="AM565" s="141"/>
      <c r="AN565" s="141"/>
      <c r="AO565" s="141"/>
      <c r="AP565" s="141"/>
      <c r="AQ565" s="141"/>
      <c r="AR565" s="141"/>
      <c r="AS565" s="141"/>
      <c r="AT565" s="141"/>
      <c r="AU565" s="141"/>
      <c r="AV565" s="141"/>
      <c r="AW565" s="141"/>
      <c r="AX565" s="141"/>
      <c r="AY565" s="141"/>
      <c r="AZ565" s="141"/>
      <c r="BA565" s="141"/>
      <c r="BB565" s="141"/>
      <c r="BC565" s="141"/>
      <c r="BD565" s="141"/>
      <c r="BE565" s="141"/>
      <c r="BF565" s="141"/>
      <c r="BG565" s="141"/>
      <c r="BH565" s="141"/>
      <c r="BI565" s="141"/>
      <c r="BJ565" s="141"/>
      <c r="BK565" s="141"/>
      <c r="BL565" s="141"/>
      <c r="BM565" s="141"/>
      <c r="BN565" s="141"/>
      <c r="BO565" s="141"/>
    </row>
    <row r="566" ht="13.5" customHeight="1">
      <c r="A566" s="138"/>
      <c r="B566" s="139"/>
      <c r="C566" s="138"/>
      <c r="D566" s="138"/>
      <c r="E566" s="140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  <c r="AL566" s="141"/>
      <c r="AM566" s="141"/>
      <c r="AN566" s="141"/>
      <c r="AO566" s="141"/>
      <c r="AP566" s="141"/>
      <c r="AQ566" s="141"/>
      <c r="AR566" s="141"/>
      <c r="AS566" s="141"/>
      <c r="AT566" s="141"/>
      <c r="AU566" s="141"/>
      <c r="AV566" s="141"/>
      <c r="AW566" s="141"/>
      <c r="AX566" s="141"/>
      <c r="AY566" s="141"/>
      <c r="AZ566" s="141"/>
      <c r="BA566" s="141"/>
      <c r="BB566" s="141"/>
      <c r="BC566" s="141"/>
      <c r="BD566" s="141"/>
      <c r="BE566" s="141"/>
      <c r="BF566" s="141"/>
      <c r="BG566" s="141"/>
      <c r="BH566" s="141"/>
      <c r="BI566" s="141"/>
      <c r="BJ566" s="141"/>
      <c r="BK566" s="141"/>
      <c r="BL566" s="141"/>
      <c r="BM566" s="141"/>
      <c r="BN566" s="141"/>
      <c r="BO566" s="141"/>
    </row>
    <row r="567" ht="13.5" customHeight="1">
      <c r="A567" s="138"/>
      <c r="B567" s="139"/>
      <c r="C567" s="138"/>
      <c r="D567" s="138"/>
      <c r="E567" s="140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  <c r="AL567" s="141"/>
      <c r="AM567" s="141"/>
      <c r="AN567" s="141"/>
      <c r="AO567" s="141"/>
      <c r="AP567" s="141"/>
      <c r="AQ567" s="141"/>
      <c r="AR567" s="141"/>
      <c r="AS567" s="141"/>
      <c r="AT567" s="141"/>
      <c r="AU567" s="141"/>
      <c r="AV567" s="141"/>
      <c r="AW567" s="141"/>
      <c r="AX567" s="141"/>
      <c r="AY567" s="141"/>
      <c r="AZ567" s="141"/>
      <c r="BA567" s="141"/>
      <c r="BB567" s="141"/>
      <c r="BC567" s="141"/>
      <c r="BD567" s="141"/>
      <c r="BE567" s="141"/>
      <c r="BF567" s="141"/>
      <c r="BG567" s="141"/>
      <c r="BH567" s="141"/>
      <c r="BI567" s="141"/>
      <c r="BJ567" s="141"/>
      <c r="BK567" s="141"/>
      <c r="BL567" s="141"/>
      <c r="BM567" s="141"/>
      <c r="BN567" s="141"/>
      <c r="BO567" s="141"/>
    </row>
    <row r="568" ht="13.5" customHeight="1">
      <c r="A568" s="138"/>
      <c r="B568" s="139"/>
      <c r="C568" s="138"/>
      <c r="D568" s="138"/>
      <c r="E568" s="140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1"/>
      <c r="AM568" s="141"/>
      <c r="AN568" s="141"/>
      <c r="AO568" s="141"/>
      <c r="AP568" s="141"/>
      <c r="AQ568" s="141"/>
      <c r="AR568" s="141"/>
      <c r="AS568" s="141"/>
      <c r="AT568" s="141"/>
      <c r="AU568" s="141"/>
      <c r="AV568" s="141"/>
      <c r="AW568" s="141"/>
      <c r="AX568" s="141"/>
      <c r="AY568" s="141"/>
      <c r="AZ568" s="141"/>
      <c r="BA568" s="141"/>
      <c r="BB568" s="141"/>
      <c r="BC568" s="141"/>
      <c r="BD568" s="141"/>
      <c r="BE568" s="141"/>
      <c r="BF568" s="141"/>
      <c r="BG568" s="141"/>
      <c r="BH568" s="141"/>
      <c r="BI568" s="141"/>
      <c r="BJ568" s="141"/>
      <c r="BK568" s="141"/>
      <c r="BL568" s="141"/>
      <c r="BM568" s="141"/>
      <c r="BN568" s="141"/>
      <c r="BO568" s="141"/>
    </row>
    <row r="569" ht="13.5" customHeight="1">
      <c r="A569" s="138"/>
      <c r="B569" s="139"/>
      <c r="C569" s="138"/>
      <c r="D569" s="138"/>
      <c r="E569" s="140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  <c r="AL569" s="141"/>
      <c r="AM569" s="141"/>
      <c r="AN569" s="141"/>
      <c r="AO569" s="141"/>
      <c r="AP569" s="141"/>
      <c r="AQ569" s="141"/>
      <c r="AR569" s="141"/>
      <c r="AS569" s="141"/>
      <c r="AT569" s="141"/>
      <c r="AU569" s="141"/>
      <c r="AV569" s="141"/>
      <c r="AW569" s="141"/>
      <c r="AX569" s="141"/>
      <c r="AY569" s="141"/>
      <c r="AZ569" s="141"/>
      <c r="BA569" s="141"/>
      <c r="BB569" s="141"/>
      <c r="BC569" s="141"/>
      <c r="BD569" s="141"/>
      <c r="BE569" s="141"/>
      <c r="BF569" s="141"/>
      <c r="BG569" s="141"/>
      <c r="BH569" s="141"/>
      <c r="BI569" s="141"/>
      <c r="BJ569" s="141"/>
      <c r="BK569" s="141"/>
      <c r="BL569" s="141"/>
      <c r="BM569" s="141"/>
      <c r="BN569" s="141"/>
      <c r="BO569" s="141"/>
    </row>
    <row r="570" ht="13.5" customHeight="1">
      <c r="A570" s="138"/>
      <c r="B570" s="139"/>
      <c r="C570" s="138"/>
      <c r="D570" s="138"/>
      <c r="E570" s="140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  <c r="AL570" s="141"/>
      <c r="AM570" s="141"/>
      <c r="AN570" s="141"/>
      <c r="AO570" s="141"/>
      <c r="AP570" s="141"/>
      <c r="AQ570" s="141"/>
      <c r="AR570" s="141"/>
      <c r="AS570" s="141"/>
      <c r="AT570" s="141"/>
      <c r="AU570" s="141"/>
      <c r="AV570" s="141"/>
      <c r="AW570" s="141"/>
      <c r="AX570" s="141"/>
      <c r="AY570" s="141"/>
      <c r="AZ570" s="141"/>
      <c r="BA570" s="141"/>
      <c r="BB570" s="141"/>
      <c r="BC570" s="141"/>
      <c r="BD570" s="141"/>
      <c r="BE570" s="141"/>
      <c r="BF570" s="141"/>
      <c r="BG570" s="141"/>
      <c r="BH570" s="141"/>
      <c r="BI570" s="141"/>
      <c r="BJ570" s="141"/>
      <c r="BK570" s="141"/>
      <c r="BL570" s="141"/>
      <c r="BM570" s="141"/>
      <c r="BN570" s="141"/>
      <c r="BO570" s="141"/>
    </row>
    <row r="571" ht="13.5" customHeight="1">
      <c r="A571" s="138"/>
      <c r="B571" s="139"/>
      <c r="C571" s="138"/>
      <c r="D571" s="138"/>
      <c r="E571" s="140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  <c r="AM571" s="141"/>
      <c r="AN571" s="141"/>
      <c r="AO571" s="141"/>
      <c r="AP571" s="141"/>
      <c r="AQ571" s="141"/>
      <c r="AR571" s="141"/>
      <c r="AS571" s="141"/>
      <c r="AT571" s="141"/>
      <c r="AU571" s="141"/>
      <c r="AV571" s="141"/>
      <c r="AW571" s="141"/>
      <c r="AX571" s="141"/>
      <c r="AY571" s="141"/>
      <c r="AZ571" s="141"/>
      <c r="BA571" s="141"/>
      <c r="BB571" s="141"/>
      <c r="BC571" s="141"/>
      <c r="BD571" s="141"/>
      <c r="BE571" s="141"/>
      <c r="BF571" s="141"/>
      <c r="BG571" s="141"/>
      <c r="BH571" s="141"/>
      <c r="BI571" s="141"/>
      <c r="BJ571" s="141"/>
      <c r="BK571" s="141"/>
      <c r="BL571" s="141"/>
      <c r="BM571" s="141"/>
      <c r="BN571" s="141"/>
      <c r="BO571" s="141"/>
    </row>
    <row r="572" ht="13.5" customHeight="1">
      <c r="A572" s="138"/>
      <c r="B572" s="139"/>
      <c r="C572" s="138"/>
      <c r="D572" s="138"/>
      <c r="E572" s="140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1"/>
      <c r="AM572" s="141"/>
      <c r="AN572" s="141"/>
      <c r="AO572" s="141"/>
      <c r="AP572" s="141"/>
      <c r="AQ572" s="141"/>
      <c r="AR572" s="141"/>
      <c r="AS572" s="141"/>
      <c r="AT572" s="141"/>
      <c r="AU572" s="141"/>
      <c r="AV572" s="141"/>
      <c r="AW572" s="141"/>
      <c r="AX572" s="141"/>
      <c r="AY572" s="141"/>
      <c r="AZ572" s="141"/>
      <c r="BA572" s="141"/>
      <c r="BB572" s="141"/>
      <c r="BC572" s="141"/>
      <c r="BD572" s="141"/>
      <c r="BE572" s="141"/>
      <c r="BF572" s="141"/>
      <c r="BG572" s="141"/>
      <c r="BH572" s="141"/>
      <c r="BI572" s="141"/>
      <c r="BJ572" s="141"/>
      <c r="BK572" s="141"/>
      <c r="BL572" s="141"/>
      <c r="BM572" s="141"/>
      <c r="BN572" s="141"/>
      <c r="BO572" s="141"/>
    </row>
    <row r="573" ht="13.5" customHeight="1">
      <c r="A573" s="138"/>
      <c r="B573" s="139"/>
      <c r="C573" s="138"/>
      <c r="D573" s="138"/>
      <c r="E573" s="140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  <c r="AL573" s="141"/>
      <c r="AM573" s="141"/>
      <c r="AN573" s="141"/>
      <c r="AO573" s="141"/>
      <c r="AP573" s="141"/>
      <c r="AQ573" s="141"/>
      <c r="AR573" s="141"/>
      <c r="AS573" s="141"/>
      <c r="AT573" s="141"/>
      <c r="AU573" s="141"/>
      <c r="AV573" s="141"/>
      <c r="AW573" s="141"/>
      <c r="AX573" s="141"/>
      <c r="AY573" s="141"/>
      <c r="AZ573" s="141"/>
      <c r="BA573" s="141"/>
      <c r="BB573" s="141"/>
      <c r="BC573" s="141"/>
      <c r="BD573" s="141"/>
      <c r="BE573" s="141"/>
      <c r="BF573" s="141"/>
      <c r="BG573" s="141"/>
      <c r="BH573" s="141"/>
      <c r="BI573" s="141"/>
      <c r="BJ573" s="141"/>
      <c r="BK573" s="141"/>
      <c r="BL573" s="141"/>
      <c r="BM573" s="141"/>
      <c r="BN573" s="141"/>
      <c r="BO573" s="141"/>
    </row>
    <row r="574" ht="13.5" customHeight="1">
      <c r="A574" s="138"/>
      <c r="B574" s="139"/>
      <c r="C574" s="138"/>
      <c r="D574" s="138"/>
      <c r="E574" s="140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  <c r="AL574" s="141"/>
      <c r="AM574" s="141"/>
      <c r="AN574" s="141"/>
      <c r="AO574" s="141"/>
      <c r="AP574" s="141"/>
      <c r="AQ574" s="141"/>
      <c r="AR574" s="141"/>
      <c r="AS574" s="141"/>
      <c r="AT574" s="141"/>
      <c r="AU574" s="141"/>
      <c r="AV574" s="141"/>
      <c r="AW574" s="141"/>
      <c r="AX574" s="141"/>
      <c r="AY574" s="141"/>
      <c r="AZ574" s="141"/>
      <c r="BA574" s="141"/>
      <c r="BB574" s="141"/>
      <c r="BC574" s="141"/>
      <c r="BD574" s="141"/>
      <c r="BE574" s="141"/>
      <c r="BF574" s="141"/>
      <c r="BG574" s="141"/>
      <c r="BH574" s="141"/>
      <c r="BI574" s="141"/>
      <c r="BJ574" s="141"/>
      <c r="BK574" s="141"/>
      <c r="BL574" s="141"/>
      <c r="BM574" s="141"/>
      <c r="BN574" s="141"/>
      <c r="BO574" s="141"/>
    </row>
    <row r="575" ht="13.5" customHeight="1">
      <c r="A575" s="138"/>
      <c r="B575" s="139"/>
      <c r="C575" s="138"/>
      <c r="D575" s="138"/>
      <c r="E575" s="140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  <c r="AL575" s="141"/>
      <c r="AM575" s="141"/>
      <c r="AN575" s="141"/>
      <c r="AO575" s="141"/>
      <c r="AP575" s="141"/>
      <c r="AQ575" s="141"/>
      <c r="AR575" s="141"/>
      <c r="AS575" s="141"/>
      <c r="AT575" s="141"/>
      <c r="AU575" s="141"/>
      <c r="AV575" s="141"/>
      <c r="AW575" s="141"/>
      <c r="AX575" s="141"/>
      <c r="AY575" s="141"/>
      <c r="AZ575" s="141"/>
      <c r="BA575" s="141"/>
      <c r="BB575" s="141"/>
      <c r="BC575" s="141"/>
      <c r="BD575" s="141"/>
      <c r="BE575" s="141"/>
      <c r="BF575" s="141"/>
      <c r="BG575" s="141"/>
      <c r="BH575" s="141"/>
      <c r="BI575" s="141"/>
      <c r="BJ575" s="141"/>
      <c r="BK575" s="141"/>
      <c r="BL575" s="141"/>
      <c r="BM575" s="141"/>
      <c r="BN575" s="141"/>
      <c r="BO575" s="141"/>
    </row>
    <row r="576" ht="13.5" customHeight="1">
      <c r="A576" s="138"/>
      <c r="B576" s="139"/>
      <c r="C576" s="138"/>
      <c r="D576" s="138"/>
      <c r="E576" s="140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1"/>
      <c r="AM576" s="141"/>
      <c r="AN576" s="141"/>
      <c r="AO576" s="141"/>
      <c r="AP576" s="141"/>
      <c r="AQ576" s="141"/>
      <c r="AR576" s="141"/>
      <c r="AS576" s="141"/>
      <c r="AT576" s="141"/>
      <c r="AU576" s="141"/>
      <c r="AV576" s="141"/>
      <c r="AW576" s="141"/>
      <c r="AX576" s="141"/>
      <c r="AY576" s="141"/>
      <c r="AZ576" s="141"/>
      <c r="BA576" s="141"/>
      <c r="BB576" s="141"/>
      <c r="BC576" s="141"/>
      <c r="BD576" s="141"/>
      <c r="BE576" s="141"/>
      <c r="BF576" s="141"/>
      <c r="BG576" s="141"/>
      <c r="BH576" s="141"/>
      <c r="BI576" s="141"/>
      <c r="BJ576" s="141"/>
      <c r="BK576" s="141"/>
      <c r="BL576" s="141"/>
      <c r="BM576" s="141"/>
      <c r="BN576" s="141"/>
      <c r="BO576" s="141"/>
    </row>
    <row r="577" ht="13.5" customHeight="1">
      <c r="A577" s="138"/>
      <c r="B577" s="139"/>
      <c r="C577" s="138"/>
      <c r="D577" s="138"/>
      <c r="E577" s="140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  <c r="AL577" s="141"/>
      <c r="AM577" s="141"/>
      <c r="AN577" s="141"/>
      <c r="AO577" s="141"/>
      <c r="AP577" s="141"/>
      <c r="AQ577" s="141"/>
      <c r="AR577" s="141"/>
      <c r="AS577" s="141"/>
      <c r="AT577" s="141"/>
      <c r="AU577" s="141"/>
      <c r="AV577" s="141"/>
      <c r="AW577" s="141"/>
      <c r="AX577" s="141"/>
      <c r="AY577" s="141"/>
      <c r="AZ577" s="141"/>
      <c r="BA577" s="141"/>
      <c r="BB577" s="141"/>
      <c r="BC577" s="141"/>
      <c r="BD577" s="141"/>
      <c r="BE577" s="141"/>
      <c r="BF577" s="141"/>
      <c r="BG577" s="141"/>
      <c r="BH577" s="141"/>
      <c r="BI577" s="141"/>
      <c r="BJ577" s="141"/>
      <c r="BK577" s="141"/>
      <c r="BL577" s="141"/>
      <c r="BM577" s="141"/>
      <c r="BN577" s="141"/>
      <c r="BO577" s="141"/>
    </row>
    <row r="578" ht="13.5" customHeight="1">
      <c r="A578" s="138"/>
      <c r="B578" s="139"/>
      <c r="C578" s="138"/>
      <c r="D578" s="138"/>
      <c r="E578" s="140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1"/>
      <c r="AM578" s="141"/>
      <c r="AN578" s="141"/>
      <c r="AO578" s="141"/>
      <c r="AP578" s="141"/>
      <c r="AQ578" s="141"/>
      <c r="AR578" s="141"/>
      <c r="AS578" s="141"/>
      <c r="AT578" s="141"/>
      <c r="AU578" s="141"/>
      <c r="AV578" s="141"/>
      <c r="AW578" s="141"/>
      <c r="AX578" s="141"/>
      <c r="AY578" s="141"/>
      <c r="AZ578" s="141"/>
      <c r="BA578" s="141"/>
      <c r="BB578" s="141"/>
      <c r="BC578" s="141"/>
      <c r="BD578" s="141"/>
      <c r="BE578" s="141"/>
      <c r="BF578" s="141"/>
      <c r="BG578" s="141"/>
      <c r="BH578" s="141"/>
      <c r="BI578" s="141"/>
      <c r="BJ578" s="141"/>
      <c r="BK578" s="141"/>
      <c r="BL578" s="141"/>
      <c r="BM578" s="141"/>
      <c r="BN578" s="141"/>
      <c r="BO578" s="141"/>
    </row>
    <row r="579" ht="13.5" customHeight="1">
      <c r="A579" s="138"/>
      <c r="B579" s="139"/>
      <c r="C579" s="138"/>
      <c r="D579" s="138"/>
      <c r="E579" s="140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  <c r="AM579" s="141"/>
      <c r="AN579" s="141"/>
      <c r="AO579" s="141"/>
      <c r="AP579" s="141"/>
      <c r="AQ579" s="141"/>
      <c r="AR579" s="141"/>
      <c r="AS579" s="141"/>
      <c r="AT579" s="141"/>
      <c r="AU579" s="141"/>
      <c r="AV579" s="141"/>
      <c r="AW579" s="141"/>
      <c r="AX579" s="141"/>
      <c r="AY579" s="141"/>
      <c r="AZ579" s="141"/>
      <c r="BA579" s="141"/>
      <c r="BB579" s="141"/>
      <c r="BC579" s="141"/>
      <c r="BD579" s="141"/>
      <c r="BE579" s="141"/>
      <c r="BF579" s="141"/>
      <c r="BG579" s="141"/>
      <c r="BH579" s="141"/>
      <c r="BI579" s="141"/>
      <c r="BJ579" s="141"/>
      <c r="BK579" s="141"/>
      <c r="BL579" s="141"/>
      <c r="BM579" s="141"/>
      <c r="BN579" s="141"/>
      <c r="BO579" s="141"/>
    </row>
    <row r="580" ht="13.5" customHeight="1">
      <c r="A580" s="138"/>
      <c r="B580" s="139"/>
      <c r="C580" s="138"/>
      <c r="D580" s="138"/>
      <c r="E580" s="140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  <c r="AL580" s="141"/>
      <c r="AM580" s="141"/>
      <c r="AN580" s="141"/>
      <c r="AO580" s="141"/>
      <c r="AP580" s="141"/>
      <c r="AQ580" s="141"/>
      <c r="AR580" s="141"/>
      <c r="AS580" s="141"/>
      <c r="AT580" s="141"/>
      <c r="AU580" s="141"/>
      <c r="AV580" s="141"/>
      <c r="AW580" s="141"/>
      <c r="AX580" s="141"/>
      <c r="AY580" s="141"/>
      <c r="AZ580" s="141"/>
      <c r="BA580" s="141"/>
      <c r="BB580" s="141"/>
      <c r="BC580" s="141"/>
      <c r="BD580" s="141"/>
      <c r="BE580" s="141"/>
      <c r="BF580" s="141"/>
      <c r="BG580" s="141"/>
      <c r="BH580" s="141"/>
      <c r="BI580" s="141"/>
      <c r="BJ580" s="141"/>
      <c r="BK580" s="141"/>
      <c r="BL580" s="141"/>
      <c r="BM580" s="141"/>
      <c r="BN580" s="141"/>
      <c r="BO580" s="141"/>
    </row>
    <row r="581" ht="13.5" customHeight="1">
      <c r="A581" s="138"/>
      <c r="B581" s="139"/>
      <c r="C581" s="138"/>
      <c r="D581" s="138"/>
      <c r="E581" s="140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  <c r="AL581" s="141"/>
      <c r="AM581" s="141"/>
      <c r="AN581" s="141"/>
      <c r="AO581" s="141"/>
      <c r="AP581" s="141"/>
      <c r="AQ581" s="141"/>
      <c r="AR581" s="141"/>
      <c r="AS581" s="141"/>
      <c r="AT581" s="141"/>
      <c r="AU581" s="141"/>
      <c r="AV581" s="141"/>
      <c r="AW581" s="141"/>
      <c r="AX581" s="141"/>
      <c r="AY581" s="141"/>
      <c r="AZ581" s="141"/>
      <c r="BA581" s="141"/>
      <c r="BB581" s="141"/>
      <c r="BC581" s="141"/>
      <c r="BD581" s="141"/>
      <c r="BE581" s="141"/>
      <c r="BF581" s="141"/>
      <c r="BG581" s="141"/>
      <c r="BH581" s="141"/>
      <c r="BI581" s="141"/>
      <c r="BJ581" s="141"/>
      <c r="BK581" s="141"/>
      <c r="BL581" s="141"/>
      <c r="BM581" s="141"/>
      <c r="BN581" s="141"/>
      <c r="BO581" s="141"/>
    </row>
    <row r="582" ht="13.5" customHeight="1">
      <c r="A582" s="138"/>
      <c r="B582" s="139"/>
      <c r="C582" s="138"/>
      <c r="D582" s="138"/>
      <c r="E582" s="140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  <c r="AL582" s="141"/>
      <c r="AM582" s="141"/>
      <c r="AN582" s="141"/>
      <c r="AO582" s="141"/>
      <c r="AP582" s="141"/>
      <c r="AQ582" s="141"/>
      <c r="AR582" s="141"/>
      <c r="AS582" s="141"/>
      <c r="AT582" s="141"/>
      <c r="AU582" s="141"/>
      <c r="AV582" s="141"/>
      <c r="AW582" s="141"/>
      <c r="AX582" s="141"/>
      <c r="AY582" s="141"/>
      <c r="AZ582" s="141"/>
      <c r="BA582" s="141"/>
      <c r="BB582" s="141"/>
      <c r="BC582" s="141"/>
      <c r="BD582" s="141"/>
      <c r="BE582" s="141"/>
      <c r="BF582" s="141"/>
      <c r="BG582" s="141"/>
      <c r="BH582" s="141"/>
      <c r="BI582" s="141"/>
      <c r="BJ582" s="141"/>
      <c r="BK582" s="141"/>
      <c r="BL582" s="141"/>
      <c r="BM582" s="141"/>
      <c r="BN582" s="141"/>
      <c r="BO582" s="141"/>
    </row>
    <row r="583" ht="13.5" customHeight="1">
      <c r="A583" s="138"/>
      <c r="B583" s="139"/>
      <c r="C583" s="138"/>
      <c r="D583" s="138"/>
      <c r="E583" s="140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  <c r="AL583" s="141"/>
      <c r="AM583" s="141"/>
      <c r="AN583" s="141"/>
      <c r="AO583" s="141"/>
      <c r="AP583" s="141"/>
      <c r="AQ583" s="141"/>
      <c r="AR583" s="141"/>
      <c r="AS583" s="141"/>
      <c r="AT583" s="141"/>
      <c r="AU583" s="141"/>
      <c r="AV583" s="141"/>
      <c r="AW583" s="141"/>
      <c r="AX583" s="141"/>
      <c r="AY583" s="141"/>
      <c r="AZ583" s="141"/>
      <c r="BA583" s="141"/>
      <c r="BB583" s="141"/>
      <c r="BC583" s="141"/>
      <c r="BD583" s="141"/>
      <c r="BE583" s="141"/>
      <c r="BF583" s="141"/>
      <c r="BG583" s="141"/>
      <c r="BH583" s="141"/>
      <c r="BI583" s="141"/>
      <c r="BJ583" s="141"/>
      <c r="BK583" s="141"/>
      <c r="BL583" s="141"/>
      <c r="BM583" s="141"/>
      <c r="BN583" s="141"/>
      <c r="BO583" s="141"/>
    </row>
    <row r="584" ht="13.5" customHeight="1">
      <c r="A584" s="138"/>
      <c r="B584" s="139"/>
      <c r="C584" s="138"/>
      <c r="D584" s="138"/>
      <c r="E584" s="140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1"/>
      <c r="AM584" s="141"/>
      <c r="AN584" s="141"/>
      <c r="AO584" s="141"/>
      <c r="AP584" s="141"/>
      <c r="AQ584" s="141"/>
      <c r="AR584" s="141"/>
      <c r="AS584" s="141"/>
      <c r="AT584" s="141"/>
      <c r="AU584" s="141"/>
      <c r="AV584" s="141"/>
      <c r="AW584" s="141"/>
      <c r="AX584" s="141"/>
      <c r="AY584" s="141"/>
      <c r="AZ584" s="141"/>
      <c r="BA584" s="141"/>
      <c r="BB584" s="141"/>
      <c r="BC584" s="141"/>
      <c r="BD584" s="141"/>
      <c r="BE584" s="141"/>
      <c r="BF584" s="141"/>
      <c r="BG584" s="141"/>
      <c r="BH584" s="141"/>
      <c r="BI584" s="141"/>
      <c r="BJ584" s="141"/>
      <c r="BK584" s="141"/>
      <c r="BL584" s="141"/>
      <c r="BM584" s="141"/>
      <c r="BN584" s="141"/>
      <c r="BO584" s="141"/>
    </row>
    <row r="585" ht="13.5" customHeight="1">
      <c r="A585" s="138"/>
      <c r="B585" s="139"/>
      <c r="C585" s="138"/>
      <c r="D585" s="138"/>
      <c r="E585" s="140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  <c r="AL585" s="141"/>
      <c r="AM585" s="141"/>
      <c r="AN585" s="141"/>
      <c r="AO585" s="141"/>
      <c r="AP585" s="141"/>
      <c r="AQ585" s="141"/>
      <c r="AR585" s="141"/>
      <c r="AS585" s="141"/>
      <c r="AT585" s="141"/>
      <c r="AU585" s="141"/>
      <c r="AV585" s="141"/>
      <c r="AW585" s="141"/>
      <c r="AX585" s="141"/>
      <c r="AY585" s="141"/>
      <c r="AZ585" s="141"/>
      <c r="BA585" s="141"/>
      <c r="BB585" s="141"/>
      <c r="BC585" s="141"/>
      <c r="BD585" s="141"/>
      <c r="BE585" s="141"/>
      <c r="BF585" s="141"/>
      <c r="BG585" s="141"/>
      <c r="BH585" s="141"/>
      <c r="BI585" s="141"/>
      <c r="BJ585" s="141"/>
      <c r="BK585" s="141"/>
      <c r="BL585" s="141"/>
      <c r="BM585" s="141"/>
      <c r="BN585" s="141"/>
      <c r="BO585" s="141"/>
    </row>
    <row r="586" ht="13.5" customHeight="1">
      <c r="A586" s="138"/>
      <c r="B586" s="139"/>
      <c r="C586" s="138"/>
      <c r="D586" s="138"/>
      <c r="E586" s="140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  <c r="AL586" s="141"/>
      <c r="AM586" s="141"/>
      <c r="AN586" s="141"/>
      <c r="AO586" s="141"/>
      <c r="AP586" s="141"/>
      <c r="AQ586" s="141"/>
      <c r="AR586" s="141"/>
      <c r="AS586" s="141"/>
      <c r="AT586" s="141"/>
      <c r="AU586" s="141"/>
      <c r="AV586" s="141"/>
      <c r="AW586" s="141"/>
      <c r="AX586" s="141"/>
      <c r="AY586" s="141"/>
      <c r="AZ586" s="141"/>
      <c r="BA586" s="141"/>
      <c r="BB586" s="141"/>
      <c r="BC586" s="141"/>
      <c r="BD586" s="141"/>
      <c r="BE586" s="141"/>
      <c r="BF586" s="141"/>
      <c r="BG586" s="141"/>
      <c r="BH586" s="141"/>
      <c r="BI586" s="141"/>
      <c r="BJ586" s="141"/>
      <c r="BK586" s="141"/>
      <c r="BL586" s="141"/>
      <c r="BM586" s="141"/>
      <c r="BN586" s="141"/>
      <c r="BO586" s="141"/>
    </row>
    <row r="587" ht="13.5" customHeight="1">
      <c r="A587" s="138"/>
      <c r="B587" s="139"/>
      <c r="C587" s="138"/>
      <c r="D587" s="138"/>
      <c r="E587" s="140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  <c r="AL587" s="141"/>
      <c r="AM587" s="141"/>
      <c r="AN587" s="141"/>
      <c r="AO587" s="141"/>
      <c r="AP587" s="141"/>
      <c r="AQ587" s="141"/>
      <c r="AR587" s="141"/>
      <c r="AS587" s="141"/>
      <c r="AT587" s="141"/>
      <c r="AU587" s="141"/>
      <c r="AV587" s="141"/>
      <c r="AW587" s="141"/>
      <c r="AX587" s="141"/>
      <c r="AY587" s="141"/>
      <c r="AZ587" s="141"/>
      <c r="BA587" s="141"/>
      <c r="BB587" s="141"/>
      <c r="BC587" s="141"/>
      <c r="BD587" s="141"/>
      <c r="BE587" s="141"/>
      <c r="BF587" s="141"/>
      <c r="BG587" s="141"/>
      <c r="BH587" s="141"/>
      <c r="BI587" s="141"/>
      <c r="BJ587" s="141"/>
      <c r="BK587" s="141"/>
      <c r="BL587" s="141"/>
      <c r="BM587" s="141"/>
      <c r="BN587" s="141"/>
      <c r="BO587" s="141"/>
    </row>
    <row r="588" ht="13.5" customHeight="1">
      <c r="A588" s="138"/>
      <c r="B588" s="139"/>
      <c r="C588" s="138"/>
      <c r="D588" s="138"/>
      <c r="E588" s="140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  <c r="AL588" s="141"/>
      <c r="AM588" s="141"/>
      <c r="AN588" s="141"/>
      <c r="AO588" s="141"/>
      <c r="AP588" s="141"/>
      <c r="AQ588" s="141"/>
      <c r="AR588" s="141"/>
      <c r="AS588" s="141"/>
      <c r="AT588" s="141"/>
      <c r="AU588" s="141"/>
      <c r="AV588" s="141"/>
      <c r="AW588" s="141"/>
      <c r="AX588" s="141"/>
      <c r="AY588" s="141"/>
      <c r="AZ588" s="141"/>
      <c r="BA588" s="141"/>
      <c r="BB588" s="141"/>
      <c r="BC588" s="141"/>
      <c r="BD588" s="141"/>
      <c r="BE588" s="141"/>
      <c r="BF588" s="141"/>
      <c r="BG588" s="141"/>
      <c r="BH588" s="141"/>
      <c r="BI588" s="141"/>
      <c r="BJ588" s="141"/>
      <c r="BK588" s="141"/>
      <c r="BL588" s="141"/>
      <c r="BM588" s="141"/>
      <c r="BN588" s="141"/>
      <c r="BO588" s="141"/>
    </row>
    <row r="589" ht="13.5" customHeight="1">
      <c r="A589" s="138"/>
      <c r="B589" s="139"/>
      <c r="C589" s="138"/>
      <c r="D589" s="138"/>
      <c r="E589" s="140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  <c r="AL589" s="141"/>
      <c r="AM589" s="141"/>
      <c r="AN589" s="141"/>
      <c r="AO589" s="141"/>
      <c r="AP589" s="141"/>
      <c r="AQ589" s="141"/>
      <c r="AR589" s="141"/>
      <c r="AS589" s="141"/>
      <c r="AT589" s="141"/>
      <c r="AU589" s="141"/>
      <c r="AV589" s="141"/>
      <c r="AW589" s="141"/>
      <c r="AX589" s="141"/>
      <c r="AY589" s="141"/>
      <c r="AZ589" s="141"/>
      <c r="BA589" s="141"/>
      <c r="BB589" s="141"/>
      <c r="BC589" s="141"/>
      <c r="BD589" s="141"/>
      <c r="BE589" s="141"/>
      <c r="BF589" s="141"/>
      <c r="BG589" s="141"/>
      <c r="BH589" s="141"/>
      <c r="BI589" s="141"/>
      <c r="BJ589" s="141"/>
      <c r="BK589" s="141"/>
      <c r="BL589" s="141"/>
      <c r="BM589" s="141"/>
      <c r="BN589" s="141"/>
      <c r="BO589" s="141"/>
    </row>
    <row r="590" ht="13.5" customHeight="1">
      <c r="A590" s="138"/>
      <c r="B590" s="139"/>
      <c r="C590" s="138"/>
      <c r="D590" s="138"/>
      <c r="E590" s="140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1"/>
      <c r="AM590" s="141"/>
      <c r="AN590" s="141"/>
      <c r="AO590" s="141"/>
      <c r="AP590" s="141"/>
      <c r="AQ590" s="141"/>
      <c r="AR590" s="141"/>
      <c r="AS590" s="141"/>
      <c r="AT590" s="141"/>
      <c r="AU590" s="141"/>
      <c r="AV590" s="141"/>
      <c r="AW590" s="141"/>
      <c r="AX590" s="141"/>
      <c r="AY590" s="141"/>
      <c r="AZ590" s="141"/>
      <c r="BA590" s="141"/>
      <c r="BB590" s="141"/>
      <c r="BC590" s="141"/>
      <c r="BD590" s="141"/>
      <c r="BE590" s="141"/>
      <c r="BF590" s="141"/>
      <c r="BG590" s="141"/>
      <c r="BH590" s="141"/>
      <c r="BI590" s="141"/>
      <c r="BJ590" s="141"/>
      <c r="BK590" s="141"/>
      <c r="BL590" s="141"/>
      <c r="BM590" s="141"/>
      <c r="BN590" s="141"/>
      <c r="BO590" s="141"/>
    </row>
    <row r="591" ht="13.5" customHeight="1">
      <c r="A591" s="138"/>
      <c r="B591" s="139"/>
      <c r="C591" s="138"/>
      <c r="D591" s="138"/>
      <c r="E591" s="140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  <c r="AL591" s="141"/>
      <c r="AM591" s="141"/>
      <c r="AN591" s="141"/>
      <c r="AO591" s="141"/>
      <c r="AP591" s="141"/>
      <c r="AQ591" s="141"/>
      <c r="AR591" s="141"/>
      <c r="AS591" s="141"/>
      <c r="AT591" s="141"/>
      <c r="AU591" s="141"/>
      <c r="AV591" s="141"/>
      <c r="AW591" s="141"/>
      <c r="AX591" s="141"/>
      <c r="AY591" s="141"/>
      <c r="AZ591" s="141"/>
      <c r="BA591" s="141"/>
      <c r="BB591" s="141"/>
      <c r="BC591" s="141"/>
      <c r="BD591" s="141"/>
      <c r="BE591" s="141"/>
      <c r="BF591" s="141"/>
      <c r="BG591" s="141"/>
      <c r="BH591" s="141"/>
      <c r="BI591" s="141"/>
      <c r="BJ591" s="141"/>
      <c r="BK591" s="141"/>
      <c r="BL591" s="141"/>
      <c r="BM591" s="141"/>
      <c r="BN591" s="141"/>
      <c r="BO591" s="141"/>
    </row>
    <row r="592" ht="13.5" customHeight="1">
      <c r="A592" s="138"/>
      <c r="B592" s="139"/>
      <c r="C592" s="138"/>
      <c r="D592" s="138"/>
      <c r="E592" s="140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  <c r="AL592" s="141"/>
      <c r="AM592" s="141"/>
      <c r="AN592" s="141"/>
      <c r="AO592" s="141"/>
      <c r="AP592" s="141"/>
      <c r="AQ592" s="141"/>
      <c r="AR592" s="141"/>
      <c r="AS592" s="141"/>
      <c r="AT592" s="141"/>
      <c r="AU592" s="141"/>
      <c r="AV592" s="141"/>
      <c r="AW592" s="141"/>
      <c r="AX592" s="141"/>
      <c r="AY592" s="141"/>
      <c r="AZ592" s="141"/>
      <c r="BA592" s="141"/>
      <c r="BB592" s="141"/>
      <c r="BC592" s="141"/>
      <c r="BD592" s="141"/>
      <c r="BE592" s="141"/>
      <c r="BF592" s="141"/>
      <c r="BG592" s="141"/>
      <c r="BH592" s="141"/>
      <c r="BI592" s="141"/>
      <c r="BJ592" s="141"/>
      <c r="BK592" s="141"/>
      <c r="BL592" s="141"/>
      <c r="BM592" s="141"/>
      <c r="BN592" s="141"/>
      <c r="BO592" s="141"/>
    </row>
    <row r="593" ht="13.5" customHeight="1">
      <c r="A593" s="138"/>
      <c r="B593" s="139"/>
      <c r="C593" s="138"/>
      <c r="D593" s="138"/>
      <c r="E593" s="140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1"/>
      <c r="AM593" s="141"/>
      <c r="AN593" s="141"/>
      <c r="AO593" s="141"/>
      <c r="AP593" s="141"/>
      <c r="AQ593" s="141"/>
      <c r="AR593" s="141"/>
      <c r="AS593" s="141"/>
      <c r="AT593" s="141"/>
      <c r="AU593" s="141"/>
      <c r="AV593" s="141"/>
      <c r="AW593" s="141"/>
      <c r="AX593" s="141"/>
      <c r="AY593" s="141"/>
      <c r="AZ593" s="141"/>
      <c r="BA593" s="141"/>
      <c r="BB593" s="141"/>
      <c r="BC593" s="141"/>
      <c r="BD593" s="141"/>
      <c r="BE593" s="141"/>
      <c r="BF593" s="141"/>
      <c r="BG593" s="141"/>
      <c r="BH593" s="141"/>
      <c r="BI593" s="141"/>
      <c r="BJ593" s="141"/>
      <c r="BK593" s="141"/>
      <c r="BL593" s="141"/>
      <c r="BM593" s="141"/>
      <c r="BN593" s="141"/>
      <c r="BO593" s="141"/>
    </row>
    <row r="594" ht="13.5" customHeight="1">
      <c r="A594" s="138"/>
      <c r="B594" s="139"/>
      <c r="C594" s="138"/>
      <c r="D594" s="138"/>
      <c r="E594" s="140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1"/>
      <c r="AM594" s="141"/>
      <c r="AN594" s="141"/>
      <c r="AO594" s="141"/>
      <c r="AP594" s="141"/>
      <c r="AQ594" s="141"/>
      <c r="AR594" s="141"/>
      <c r="AS594" s="141"/>
      <c r="AT594" s="141"/>
      <c r="AU594" s="141"/>
      <c r="AV594" s="141"/>
      <c r="AW594" s="141"/>
      <c r="AX594" s="141"/>
      <c r="AY594" s="141"/>
      <c r="AZ594" s="141"/>
      <c r="BA594" s="141"/>
      <c r="BB594" s="141"/>
      <c r="BC594" s="141"/>
      <c r="BD594" s="141"/>
      <c r="BE594" s="141"/>
      <c r="BF594" s="141"/>
      <c r="BG594" s="141"/>
      <c r="BH594" s="141"/>
      <c r="BI594" s="141"/>
      <c r="BJ594" s="141"/>
      <c r="BK594" s="141"/>
      <c r="BL594" s="141"/>
      <c r="BM594" s="141"/>
      <c r="BN594" s="141"/>
      <c r="BO594" s="141"/>
    </row>
    <row r="595" ht="13.5" customHeight="1">
      <c r="A595" s="138"/>
      <c r="B595" s="139"/>
      <c r="C595" s="138"/>
      <c r="D595" s="138"/>
      <c r="E595" s="140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1"/>
      <c r="AM595" s="141"/>
      <c r="AN595" s="141"/>
      <c r="AO595" s="141"/>
      <c r="AP595" s="141"/>
      <c r="AQ595" s="141"/>
      <c r="AR595" s="141"/>
      <c r="AS595" s="141"/>
      <c r="AT595" s="141"/>
      <c r="AU595" s="141"/>
      <c r="AV595" s="141"/>
      <c r="AW595" s="141"/>
      <c r="AX595" s="141"/>
      <c r="AY595" s="141"/>
      <c r="AZ595" s="141"/>
      <c r="BA595" s="141"/>
      <c r="BB595" s="141"/>
      <c r="BC595" s="141"/>
      <c r="BD595" s="141"/>
      <c r="BE595" s="141"/>
      <c r="BF595" s="141"/>
      <c r="BG595" s="141"/>
      <c r="BH595" s="141"/>
      <c r="BI595" s="141"/>
      <c r="BJ595" s="141"/>
      <c r="BK595" s="141"/>
      <c r="BL595" s="141"/>
      <c r="BM595" s="141"/>
      <c r="BN595" s="141"/>
      <c r="BO595" s="141"/>
    </row>
    <row r="596" ht="13.5" customHeight="1">
      <c r="A596" s="138"/>
      <c r="B596" s="139"/>
      <c r="C596" s="138"/>
      <c r="D596" s="138"/>
      <c r="E596" s="140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  <c r="AL596" s="141"/>
      <c r="AM596" s="141"/>
      <c r="AN596" s="141"/>
      <c r="AO596" s="141"/>
      <c r="AP596" s="141"/>
      <c r="AQ596" s="141"/>
      <c r="AR596" s="141"/>
      <c r="AS596" s="141"/>
      <c r="AT596" s="141"/>
      <c r="AU596" s="141"/>
      <c r="AV596" s="141"/>
      <c r="AW596" s="141"/>
      <c r="AX596" s="141"/>
      <c r="AY596" s="141"/>
      <c r="AZ596" s="141"/>
      <c r="BA596" s="141"/>
      <c r="BB596" s="141"/>
      <c r="BC596" s="141"/>
      <c r="BD596" s="141"/>
      <c r="BE596" s="141"/>
      <c r="BF596" s="141"/>
      <c r="BG596" s="141"/>
      <c r="BH596" s="141"/>
      <c r="BI596" s="141"/>
      <c r="BJ596" s="141"/>
      <c r="BK596" s="141"/>
      <c r="BL596" s="141"/>
      <c r="BM596" s="141"/>
      <c r="BN596" s="141"/>
      <c r="BO596" s="141"/>
    </row>
    <row r="597" ht="13.5" customHeight="1">
      <c r="A597" s="138"/>
      <c r="B597" s="139"/>
      <c r="C597" s="138"/>
      <c r="D597" s="138"/>
      <c r="E597" s="140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1"/>
      <c r="AM597" s="141"/>
      <c r="AN597" s="141"/>
      <c r="AO597" s="141"/>
      <c r="AP597" s="141"/>
      <c r="AQ597" s="141"/>
      <c r="AR597" s="141"/>
      <c r="AS597" s="141"/>
      <c r="AT597" s="141"/>
      <c r="AU597" s="141"/>
      <c r="AV597" s="141"/>
      <c r="AW597" s="141"/>
      <c r="AX597" s="141"/>
      <c r="AY597" s="141"/>
      <c r="AZ597" s="141"/>
      <c r="BA597" s="141"/>
      <c r="BB597" s="141"/>
      <c r="BC597" s="141"/>
      <c r="BD597" s="141"/>
      <c r="BE597" s="141"/>
      <c r="BF597" s="141"/>
      <c r="BG597" s="141"/>
      <c r="BH597" s="141"/>
      <c r="BI597" s="141"/>
      <c r="BJ597" s="141"/>
      <c r="BK597" s="141"/>
      <c r="BL597" s="141"/>
      <c r="BM597" s="141"/>
      <c r="BN597" s="141"/>
      <c r="BO597" s="141"/>
    </row>
    <row r="598" ht="13.5" customHeight="1">
      <c r="A598" s="138"/>
      <c r="B598" s="139"/>
      <c r="C598" s="138"/>
      <c r="D598" s="138"/>
      <c r="E598" s="140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  <c r="AL598" s="141"/>
      <c r="AM598" s="141"/>
      <c r="AN598" s="141"/>
      <c r="AO598" s="141"/>
      <c r="AP598" s="141"/>
      <c r="AQ598" s="141"/>
      <c r="AR598" s="141"/>
      <c r="AS598" s="141"/>
      <c r="AT598" s="141"/>
      <c r="AU598" s="141"/>
      <c r="AV598" s="141"/>
      <c r="AW598" s="141"/>
      <c r="AX598" s="141"/>
      <c r="AY598" s="141"/>
      <c r="AZ598" s="141"/>
      <c r="BA598" s="141"/>
      <c r="BB598" s="141"/>
      <c r="BC598" s="141"/>
      <c r="BD598" s="141"/>
      <c r="BE598" s="141"/>
      <c r="BF598" s="141"/>
      <c r="BG598" s="141"/>
      <c r="BH598" s="141"/>
      <c r="BI598" s="141"/>
      <c r="BJ598" s="141"/>
      <c r="BK598" s="141"/>
      <c r="BL598" s="141"/>
      <c r="BM598" s="141"/>
      <c r="BN598" s="141"/>
      <c r="BO598" s="141"/>
    </row>
    <row r="599" ht="13.5" customHeight="1">
      <c r="A599" s="138"/>
      <c r="B599" s="139"/>
      <c r="C599" s="138"/>
      <c r="D599" s="138"/>
      <c r="E599" s="140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1"/>
      <c r="AM599" s="141"/>
      <c r="AN599" s="141"/>
      <c r="AO599" s="141"/>
      <c r="AP599" s="141"/>
      <c r="AQ599" s="141"/>
      <c r="AR599" s="141"/>
      <c r="AS599" s="141"/>
      <c r="AT599" s="141"/>
      <c r="AU599" s="141"/>
      <c r="AV599" s="141"/>
      <c r="AW599" s="141"/>
      <c r="AX599" s="141"/>
      <c r="AY599" s="141"/>
      <c r="AZ599" s="141"/>
      <c r="BA599" s="141"/>
      <c r="BB599" s="141"/>
      <c r="BC599" s="141"/>
      <c r="BD599" s="141"/>
      <c r="BE599" s="141"/>
      <c r="BF599" s="141"/>
      <c r="BG599" s="141"/>
      <c r="BH599" s="141"/>
      <c r="BI599" s="141"/>
      <c r="BJ599" s="141"/>
      <c r="BK599" s="141"/>
      <c r="BL599" s="141"/>
      <c r="BM599" s="141"/>
      <c r="BN599" s="141"/>
      <c r="BO599" s="141"/>
    </row>
    <row r="600" ht="13.5" customHeight="1">
      <c r="A600" s="138"/>
      <c r="B600" s="139"/>
      <c r="C600" s="138"/>
      <c r="D600" s="138"/>
      <c r="E600" s="140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  <c r="AL600" s="141"/>
      <c r="AM600" s="141"/>
      <c r="AN600" s="141"/>
      <c r="AO600" s="141"/>
      <c r="AP600" s="141"/>
      <c r="AQ600" s="141"/>
      <c r="AR600" s="141"/>
      <c r="AS600" s="141"/>
      <c r="AT600" s="141"/>
      <c r="AU600" s="141"/>
      <c r="AV600" s="141"/>
      <c r="AW600" s="141"/>
      <c r="AX600" s="141"/>
      <c r="AY600" s="141"/>
      <c r="AZ600" s="141"/>
      <c r="BA600" s="141"/>
      <c r="BB600" s="141"/>
      <c r="BC600" s="141"/>
      <c r="BD600" s="141"/>
      <c r="BE600" s="141"/>
      <c r="BF600" s="141"/>
      <c r="BG600" s="141"/>
      <c r="BH600" s="141"/>
      <c r="BI600" s="141"/>
      <c r="BJ600" s="141"/>
      <c r="BK600" s="141"/>
      <c r="BL600" s="141"/>
      <c r="BM600" s="141"/>
      <c r="BN600" s="141"/>
      <c r="BO600" s="141"/>
    </row>
    <row r="601" ht="13.5" customHeight="1">
      <c r="A601" s="138"/>
      <c r="B601" s="139"/>
      <c r="C601" s="138"/>
      <c r="D601" s="138"/>
      <c r="E601" s="140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  <c r="AL601" s="141"/>
      <c r="AM601" s="141"/>
      <c r="AN601" s="141"/>
      <c r="AO601" s="141"/>
      <c r="AP601" s="141"/>
      <c r="AQ601" s="141"/>
      <c r="AR601" s="141"/>
      <c r="AS601" s="141"/>
      <c r="AT601" s="141"/>
      <c r="AU601" s="141"/>
      <c r="AV601" s="141"/>
      <c r="AW601" s="141"/>
      <c r="AX601" s="141"/>
      <c r="AY601" s="141"/>
      <c r="AZ601" s="141"/>
      <c r="BA601" s="141"/>
      <c r="BB601" s="141"/>
      <c r="BC601" s="141"/>
      <c r="BD601" s="141"/>
      <c r="BE601" s="141"/>
      <c r="BF601" s="141"/>
      <c r="BG601" s="141"/>
      <c r="BH601" s="141"/>
      <c r="BI601" s="141"/>
      <c r="BJ601" s="141"/>
      <c r="BK601" s="141"/>
      <c r="BL601" s="141"/>
      <c r="BM601" s="141"/>
      <c r="BN601" s="141"/>
      <c r="BO601" s="141"/>
    </row>
    <row r="602" ht="13.5" customHeight="1">
      <c r="A602" s="138"/>
      <c r="B602" s="139"/>
      <c r="C602" s="138"/>
      <c r="D602" s="138"/>
      <c r="E602" s="140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1"/>
      <c r="AM602" s="141"/>
      <c r="AN602" s="141"/>
      <c r="AO602" s="141"/>
      <c r="AP602" s="141"/>
      <c r="AQ602" s="141"/>
      <c r="AR602" s="141"/>
      <c r="AS602" s="141"/>
      <c r="AT602" s="141"/>
      <c r="AU602" s="141"/>
      <c r="AV602" s="141"/>
      <c r="AW602" s="141"/>
      <c r="AX602" s="141"/>
      <c r="AY602" s="141"/>
      <c r="AZ602" s="141"/>
      <c r="BA602" s="141"/>
      <c r="BB602" s="141"/>
      <c r="BC602" s="141"/>
      <c r="BD602" s="141"/>
      <c r="BE602" s="141"/>
      <c r="BF602" s="141"/>
      <c r="BG602" s="141"/>
      <c r="BH602" s="141"/>
      <c r="BI602" s="141"/>
      <c r="BJ602" s="141"/>
      <c r="BK602" s="141"/>
      <c r="BL602" s="141"/>
      <c r="BM602" s="141"/>
      <c r="BN602" s="141"/>
      <c r="BO602" s="141"/>
    </row>
    <row r="603" ht="13.5" customHeight="1">
      <c r="A603" s="138"/>
      <c r="B603" s="139"/>
      <c r="C603" s="138"/>
      <c r="D603" s="138"/>
      <c r="E603" s="140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  <c r="AL603" s="141"/>
      <c r="AM603" s="141"/>
      <c r="AN603" s="141"/>
      <c r="AO603" s="141"/>
      <c r="AP603" s="141"/>
      <c r="AQ603" s="141"/>
      <c r="AR603" s="141"/>
      <c r="AS603" s="141"/>
      <c r="AT603" s="141"/>
      <c r="AU603" s="141"/>
      <c r="AV603" s="141"/>
      <c r="AW603" s="141"/>
      <c r="AX603" s="141"/>
      <c r="AY603" s="141"/>
      <c r="AZ603" s="141"/>
      <c r="BA603" s="141"/>
      <c r="BB603" s="141"/>
      <c r="BC603" s="141"/>
      <c r="BD603" s="141"/>
      <c r="BE603" s="141"/>
      <c r="BF603" s="141"/>
      <c r="BG603" s="141"/>
      <c r="BH603" s="141"/>
      <c r="BI603" s="141"/>
      <c r="BJ603" s="141"/>
      <c r="BK603" s="141"/>
      <c r="BL603" s="141"/>
      <c r="BM603" s="141"/>
      <c r="BN603" s="141"/>
      <c r="BO603" s="141"/>
    </row>
    <row r="604" ht="13.5" customHeight="1">
      <c r="A604" s="138"/>
      <c r="B604" s="139"/>
      <c r="C604" s="138"/>
      <c r="D604" s="138"/>
      <c r="E604" s="140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  <c r="AL604" s="141"/>
      <c r="AM604" s="141"/>
      <c r="AN604" s="141"/>
      <c r="AO604" s="141"/>
      <c r="AP604" s="141"/>
      <c r="AQ604" s="141"/>
      <c r="AR604" s="141"/>
      <c r="AS604" s="141"/>
      <c r="AT604" s="141"/>
      <c r="AU604" s="141"/>
      <c r="AV604" s="141"/>
      <c r="AW604" s="141"/>
      <c r="AX604" s="141"/>
      <c r="AY604" s="141"/>
      <c r="AZ604" s="141"/>
      <c r="BA604" s="141"/>
      <c r="BB604" s="141"/>
      <c r="BC604" s="141"/>
      <c r="BD604" s="141"/>
      <c r="BE604" s="141"/>
      <c r="BF604" s="141"/>
      <c r="BG604" s="141"/>
      <c r="BH604" s="141"/>
      <c r="BI604" s="141"/>
      <c r="BJ604" s="141"/>
      <c r="BK604" s="141"/>
      <c r="BL604" s="141"/>
      <c r="BM604" s="141"/>
      <c r="BN604" s="141"/>
      <c r="BO604" s="141"/>
    </row>
    <row r="605" ht="13.5" customHeight="1">
      <c r="A605" s="138"/>
      <c r="B605" s="139"/>
      <c r="C605" s="138"/>
      <c r="D605" s="138"/>
      <c r="E605" s="140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1"/>
      <c r="AM605" s="141"/>
      <c r="AN605" s="141"/>
      <c r="AO605" s="141"/>
      <c r="AP605" s="141"/>
      <c r="AQ605" s="141"/>
      <c r="AR605" s="141"/>
      <c r="AS605" s="141"/>
      <c r="AT605" s="141"/>
      <c r="AU605" s="141"/>
      <c r="AV605" s="141"/>
      <c r="AW605" s="141"/>
      <c r="AX605" s="141"/>
      <c r="AY605" s="141"/>
      <c r="AZ605" s="141"/>
      <c r="BA605" s="141"/>
      <c r="BB605" s="141"/>
      <c r="BC605" s="141"/>
      <c r="BD605" s="141"/>
      <c r="BE605" s="141"/>
      <c r="BF605" s="141"/>
      <c r="BG605" s="141"/>
      <c r="BH605" s="141"/>
      <c r="BI605" s="141"/>
      <c r="BJ605" s="141"/>
      <c r="BK605" s="141"/>
      <c r="BL605" s="141"/>
      <c r="BM605" s="141"/>
      <c r="BN605" s="141"/>
      <c r="BO605" s="141"/>
    </row>
    <row r="606" ht="13.5" customHeight="1">
      <c r="A606" s="138"/>
      <c r="B606" s="139"/>
      <c r="C606" s="138"/>
      <c r="D606" s="138"/>
      <c r="E606" s="140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  <c r="AL606" s="141"/>
      <c r="AM606" s="141"/>
      <c r="AN606" s="141"/>
      <c r="AO606" s="141"/>
      <c r="AP606" s="141"/>
      <c r="AQ606" s="141"/>
      <c r="AR606" s="141"/>
      <c r="AS606" s="141"/>
      <c r="AT606" s="141"/>
      <c r="AU606" s="141"/>
      <c r="AV606" s="141"/>
      <c r="AW606" s="141"/>
      <c r="AX606" s="141"/>
      <c r="AY606" s="141"/>
      <c r="AZ606" s="141"/>
      <c r="BA606" s="141"/>
      <c r="BB606" s="141"/>
      <c r="BC606" s="141"/>
      <c r="BD606" s="141"/>
      <c r="BE606" s="141"/>
      <c r="BF606" s="141"/>
      <c r="BG606" s="141"/>
      <c r="BH606" s="141"/>
      <c r="BI606" s="141"/>
      <c r="BJ606" s="141"/>
      <c r="BK606" s="141"/>
      <c r="BL606" s="141"/>
      <c r="BM606" s="141"/>
      <c r="BN606" s="141"/>
      <c r="BO606" s="141"/>
    </row>
    <row r="607" ht="13.5" customHeight="1">
      <c r="A607" s="138"/>
      <c r="B607" s="139"/>
      <c r="C607" s="138"/>
      <c r="D607" s="138"/>
      <c r="E607" s="140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  <c r="AL607" s="141"/>
      <c r="AM607" s="141"/>
      <c r="AN607" s="141"/>
      <c r="AO607" s="141"/>
      <c r="AP607" s="141"/>
      <c r="AQ607" s="141"/>
      <c r="AR607" s="141"/>
      <c r="AS607" s="141"/>
      <c r="AT607" s="141"/>
      <c r="AU607" s="141"/>
      <c r="AV607" s="141"/>
      <c r="AW607" s="141"/>
      <c r="AX607" s="141"/>
      <c r="AY607" s="141"/>
      <c r="AZ607" s="141"/>
      <c r="BA607" s="141"/>
      <c r="BB607" s="141"/>
      <c r="BC607" s="141"/>
      <c r="BD607" s="141"/>
      <c r="BE607" s="141"/>
      <c r="BF607" s="141"/>
      <c r="BG607" s="141"/>
      <c r="BH607" s="141"/>
      <c r="BI607" s="141"/>
      <c r="BJ607" s="141"/>
      <c r="BK607" s="141"/>
      <c r="BL607" s="141"/>
      <c r="BM607" s="141"/>
      <c r="BN607" s="141"/>
      <c r="BO607" s="141"/>
    </row>
    <row r="608" ht="13.5" customHeight="1">
      <c r="A608" s="138"/>
      <c r="B608" s="139"/>
      <c r="C608" s="138"/>
      <c r="D608" s="138"/>
      <c r="E608" s="140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  <c r="AL608" s="141"/>
      <c r="AM608" s="141"/>
      <c r="AN608" s="141"/>
      <c r="AO608" s="141"/>
      <c r="AP608" s="141"/>
      <c r="AQ608" s="141"/>
      <c r="AR608" s="141"/>
      <c r="AS608" s="141"/>
      <c r="AT608" s="141"/>
      <c r="AU608" s="141"/>
      <c r="AV608" s="141"/>
      <c r="AW608" s="141"/>
      <c r="AX608" s="141"/>
      <c r="AY608" s="141"/>
      <c r="AZ608" s="141"/>
      <c r="BA608" s="141"/>
      <c r="BB608" s="141"/>
      <c r="BC608" s="141"/>
      <c r="BD608" s="141"/>
      <c r="BE608" s="141"/>
      <c r="BF608" s="141"/>
      <c r="BG608" s="141"/>
      <c r="BH608" s="141"/>
      <c r="BI608" s="141"/>
      <c r="BJ608" s="141"/>
      <c r="BK608" s="141"/>
      <c r="BL608" s="141"/>
      <c r="BM608" s="141"/>
      <c r="BN608" s="141"/>
      <c r="BO608" s="141"/>
    </row>
    <row r="609" ht="13.5" customHeight="1">
      <c r="A609" s="138"/>
      <c r="B609" s="139"/>
      <c r="C609" s="138"/>
      <c r="D609" s="138"/>
      <c r="E609" s="140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  <c r="AL609" s="141"/>
      <c r="AM609" s="141"/>
      <c r="AN609" s="141"/>
      <c r="AO609" s="141"/>
      <c r="AP609" s="141"/>
      <c r="AQ609" s="141"/>
      <c r="AR609" s="141"/>
      <c r="AS609" s="141"/>
      <c r="AT609" s="141"/>
      <c r="AU609" s="141"/>
      <c r="AV609" s="141"/>
      <c r="AW609" s="141"/>
      <c r="AX609" s="141"/>
      <c r="AY609" s="141"/>
      <c r="AZ609" s="141"/>
      <c r="BA609" s="141"/>
      <c r="BB609" s="141"/>
      <c r="BC609" s="141"/>
      <c r="BD609" s="141"/>
      <c r="BE609" s="141"/>
      <c r="BF609" s="141"/>
      <c r="BG609" s="141"/>
      <c r="BH609" s="141"/>
      <c r="BI609" s="141"/>
      <c r="BJ609" s="141"/>
      <c r="BK609" s="141"/>
      <c r="BL609" s="141"/>
      <c r="BM609" s="141"/>
      <c r="BN609" s="141"/>
      <c r="BO609" s="141"/>
    </row>
    <row r="610" ht="13.5" customHeight="1">
      <c r="A610" s="138"/>
      <c r="B610" s="139"/>
      <c r="C610" s="138"/>
      <c r="D610" s="138"/>
      <c r="E610" s="140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  <c r="AL610" s="141"/>
      <c r="AM610" s="141"/>
      <c r="AN610" s="141"/>
      <c r="AO610" s="141"/>
      <c r="AP610" s="141"/>
      <c r="AQ610" s="141"/>
      <c r="AR610" s="141"/>
      <c r="AS610" s="141"/>
      <c r="AT610" s="141"/>
      <c r="AU610" s="141"/>
      <c r="AV610" s="141"/>
      <c r="AW610" s="141"/>
      <c r="AX610" s="141"/>
      <c r="AY610" s="141"/>
      <c r="AZ610" s="141"/>
      <c r="BA610" s="141"/>
      <c r="BB610" s="141"/>
      <c r="BC610" s="141"/>
      <c r="BD610" s="141"/>
      <c r="BE610" s="141"/>
      <c r="BF610" s="141"/>
      <c r="BG610" s="141"/>
      <c r="BH610" s="141"/>
      <c r="BI610" s="141"/>
      <c r="BJ610" s="141"/>
      <c r="BK610" s="141"/>
      <c r="BL610" s="141"/>
      <c r="BM610" s="141"/>
      <c r="BN610" s="141"/>
      <c r="BO610" s="141"/>
    </row>
    <row r="611" ht="13.5" customHeight="1">
      <c r="A611" s="138"/>
      <c r="B611" s="139"/>
      <c r="C611" s="138"/>
      <c r="D611" s="138"/>
      <c r="E611" s="140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1"/>
      <c r="AM611" s="141"/>
      <c r="AN611" s="141"/>
      <c r="AO611" s="141"/>
      <c r="AP611" s="141"/>
      <c r="AQ611" s="141"/>
      <c r="AR611" s="141"/>
      <c r="AS611" s="141"/>
      <c r="AT611" s="141"/>
      <c r="AU611" s="141"/>
      <c r="AV611" s="141"/>
      <c r="AW611" s="141"/>
      <c r="AX611" s="141"/>
      <c r="AY611" s="141"/>
      <c r="AZ611" s="141"/>
      <c r="BA611" s="141"/>
      <c r="BB611" s="141"/>
      <c r="BC611" s="141"/>
      <c r="BD611" s="141"/>
      <c r="BE611" s="141"/>
      <c r="BF611" s="141"/>
      <c r="BG611" s="141"/>
      <c r="BH611" s="141"/>
      <c r="BI611" s="141"/>
      <c r="BJ611" s="141"/>
      <c r="BK611" s="141"/>
      <c r="BL611" s="141"/>
      <c r="BM611" s="141"/>
      <c r="BN611" s="141"/>
      <c r="BO611" s="141"/>
    </row>
    <row r="612" ht="13.5" customHeight="1">
      <c r="A612" s="138"/>
      <c r="B612" s="139"/>
      <c r="C612" s="138"/>
      <c r="D612" s="138"/>
      <c r="E612" s="140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  <c r="AM612" s="141"/>
      <c r="AN612" s="141"/>
      <c r="AO612" s="141"/>
      <c r="AP612" s="141"/>
      <c r="AQ612" s="141"/>
      <c r="AR612" s="141"/>
      <c r="AS612" s="141"/>
      <c r="AT612" s="141"/>
      <c r="AU612" s="141"/>
      <c r="AV612" s="141"/>
      <c r="AW612" s="141"/>
      <c r="AX612" s="141"/>
      <c r="AY612" s="141"/>
      <c r="AZ612" s="141"/>
      <c r="BA612" s="141"/>
      <c r="BB612" s="141"/>
      <c r="BC612" s="141"/>
      <c r="BD612" s="141"/>
      <c r="BE612" s="141"/>
      <c r="BF612" s="141"/>
      <c r="BG612" s="141"/>
      <c r="BH612" s="141"/>
      <c r="BI612" s="141"/>
      <c r="BJ612" s="141"/>
      <c r="BK612" s="141"/>
      <c r="BL612" s="141"/>
      <c r="BM612" s="141"/>
      <c r="BN612" s="141"/>
      <c r="BO612" s="141"/>
    </row>
    <row r="613" ht="13.5" customHeight="1">
      <c r="A613" s="138"/>
      <c r="B613" s="139"/>
      <c r="C613" s="138"/>
      <c r="D613" s="138"/>
      <c r="E613" s="140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  <c r="AL613" s="141"/>
      <c r="AM613" s="141"/>
      <c r="AN613" s="141"/>
      <c r="AO613" s="141"/>
      <c r="AP613" s="141"/>
      <c r="AQ613" s="141"/>
      <c r="AR613" s="141"/>
      <c r="AS613" s="141"/>
      <c r="AT613" s="141"/>
      <c r="AU613" s="141"/>
      <c r="AV613" s="141"/>
      <c r="AW613" s="141"/>
      <c r="AX613" s="141"/>
      <c r="AY613" s="141"/>
      <c r="AZ613" s="141"/>
      <c r="BA613" s="141"/>
      <c r="BB613" s="141"/>
      <c r="BC613" s="141"/>
      <c r="BD613" s="141"/>
      <c r="BE613" s="141"/>
      <c r="BF613" s="141"/>
      <c r="BG613" s="141"/>
      <c r="BH613" s="141"/>
      <c r="BI613" s="141"/>
      <c r="BJ613" s="141"/>
      <c r="BK613" s="141"/>
      <c r="BL613" s="141"/>
      <c r="BM613" s="141"/>
      <c r="BN613" s="141"/>
      <c r="BO613" s="141"/>
    </row>
    <row r="614" ht="13.5" customHeight="1">
      <c r="A614" s="138"/>
      <c r="B614" s="139"/>
      <c r="C614" s="138"/>
      <c r="D614" s="138"/>
      <c r="E614" s="140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1"/>
      <c r="AM614" s="141"/>
      <c r="AN614" s="141"/>
      <c r="AO614" s="141"/>
      <c r="AP614" s="141"/>
      <c r="AQ614" s="141"/>
      <c r="AR614" s="141"/>
      <c r="AS614" s="141"/>
      <c r="AT614" s="141"/>
      <c r="AU614" s="141"/>
      <c r="AV614" s="141"/>
      <c r="AW614" s="141"/>
      <c r="AX614" s="141"/>
      <c r="AY614" s="141"/>
      <c r="AZ614" s="141"/>
      <c r="BA614" s="141"/>
      <c r="BB614" s="141"/>
      <c r="BC614" s="141"/>
      <c r="BD614" s="141"/>
      <c r="BE614" s="141"/>
      <c r="BF614" s="141"/>
      <c r="BG614" s="141"/>
      <c r="BH614" s="141"/>
      <c r="BI614" s="141"/>
      <c r="BJ614" s="141"/>
      <c r="BK614" s="141"/>
      <c r="BL614" s="141"/>
      <c r="BM614" s="141"/>
      <c r="BN614" s="141"/>
      <c r="BO614" s="141"/>
    </row>
    <row r="615" ht="13.5" customHeight="1">
      <c r="A615" s="138"/>
      <c r="B615" s="139"/>
      <c r="C615" s="138"/>
      <c r="D615" s="138"/>
      <c r="E615" s="140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  <c r="AL615" s="141"/>
      <c r="AM615" s="141"/>
      <c r="AN615" s="141"/>
      <c r="AO615" s="141"/>
      <c r="AP615" s="141"/>
      <c r="AQ615" s="141"/>
      <c r="AR615" s="141"/>
      <c r="AS615" s="141"/>
      <c r="AT615" s="141"/>
      <c r="AU615" s="141"/>
      <c r="AV615" s="141"/>
      <c r="AW615" s="141"/>
      <c r="AX615" s="141"/>
      <c r="AY615" s="141"/>
      <c r="AZ615" s="141"/>
      <c r="BA615" s="141"/>
      <c r="BB615" s="141"/>
      <c r="BC615" s="141"/>
      <c r="BD615" s="141"/>
      <c r="BE615" s="141"/>
      <c r="BF615" s="141"/>
      <c r="BG615" s="141"/>
      <c r="BH615" s="141"/>
      <c r="BI615" s="141"/>
      <c r="BJ615" s="141"/>
      <c r="BK615" s="141"/>
      <c r="BL615" s="141"/>
      <c r="BM615" s="141"/>
      <c r="BN615" s="141"/>
      <c r="BO615" s="141"/>
    </row>
    <row r="616" ht="13.5" customHeight="1">
      <c r="A616" s="138"/>
      <c r="B616" s="139"/>
      <c r="C616" s="138"/>
      <c r="D616" s="138"/>
      <c r="E616" s="140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1"/>
      <c r="AM616" s="141"/>
      <c r="AN616" s="141"/>
      <c r="AO616" s="141"/>
      <c r="AP616" s="141"/>
      <c r="AQ616" s="141"/>
      <c r="AR616" s="141"/>
      <c r="AS616" s="141"/>
      <c r="AT616" s="141"/>
      <c r="AU616" s="141"/>
      <c r="AV616" s="141"/>
      <c r="AW616" s="141"/>
      <c r="AX616" s="141"/>
      <c r="AY616" s="141"/>
      <c r="AZ616" s="141"/>
      <c r="BA616" s="141"/>
      <c r="BB616" s="141"/>
      <c r="BC616" s="141"/>
      <c r="BD616" s="141"/>
      <c r="BE616" s="141"/>
      <c r="BF616" s="141"/>
      <c r="BG616" s="141"/>
      <c r="BH616" s="141"/>
      <c r="BI616" s="141"/>
      <c r="BJ616" s="141"/>
      <c r="BK616" s="141"/>
      <c r="BL616" s="141"/>
      <c r="BM616" s="141"/>
      <c r="BN616" s="141"/>
      <c r="BO616" s="141"/>
    </row>
    <row r="617" ht="13.5" customHeight="1">
      <c r="A617" s="138"/>
      <c r="B617" s="139"/>
      <c r="C617" s="138"/>
      <c r="D617" s="138"/>
      <c r="E617" s="140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1"/>
      <c r="AM617" s="141"/>
      <c r="AN617" s="141"/>
      <c r="AO617" s="141"/>
      <c r="AP617" s="141"/>
      <c r="AQ617" s="141"/>
      <c r="AR617" s="141"/>
      <c r="AS617" s="141"/>
      <c r="AT617" s="141"/>
      <c r="AU617" s="141"/>
      <c r="AV617" s="141"/>
      <c r="AW617" s="141"/>
      <c r="AX617" s="141"/>
      <c r="AY617" s="141"/>
      <c r="AZ617" s="141"/>
      <c r="BA617" s="141"/>
      <c r="BB617" s="141"/>
      <c r="BC617" s="141"/>
      <c r="BD617" s="141"/>
      <c r="BE617" s="141"/>
      <c r="BF617" s="141"/>
      <c r="BG617" s="141"/>
      <c r="BH617" s="141"/>
      <c r="BI617" s="141"/>
      <c r="BJ617" s="141"/>
      <c r="BK617" s="141"/>
      <c r="BL617" s="141"/>
      <c r="BM617" s="141"/>
      <c r="BN617" s="141"/>
      <c r="BO617" s="141"/>
    </row>
    <row r="618" ht="13.5" customHeight="1">
      <c r="A618" s="138"/>
      <c r="B618" s="139"/>
      <c r="C618" s="138"/>
      <c r="D618" s="138"/>
      <c r="E618" s="140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1"/>
      <c r="AM618" s="141"/>
      <c r="AN618" s="141"/>
      <c r="AO618" s="141"/>
      <c r="AP618" s="141"/>
      <c r="AQ618" s="141"/>
      <c r="AR618" s="141"/>
      <c r="AS618" s="141"/>
      <c r="AT618" s="141"/>
      <c r="AU618" s="141"/>
      <c r="AV618" s="141"/>
      <c r="AW618" s="141"/>
      <c r="AX618" s="141"/>
      <c r="AY618" s="141"/>
      <c r="AZ618" s="141"/>
      <c r="BA618" s="141"/>
      <c r="BB618" s="141"/>
      <c r="BC618" s="141"/>
      <c r="BD618" s="141"/>
      <c r="BE618" s="141"/>
      <c r="BF618" s="141"/>
      <c r="BG618" s="141"/>
      <c r="BH618" s="141"/>
      <c r="BI618" s="141"/>
      <c r="BJ618" s="141"/>
      <c r="BK618" s="141"/>
      <c r="BL618" s="141"/>
      <c r="BM618" s="141"/>
      <c r="BN618" s="141"/>
      <c r="BO618" s="141"/>
    </row>
    <row r="619" ht="13.5" customHeight="1">
      <c r="A619" s="138"/>
      <c r="B619" s="139"/>
      <c r="C619" s="138"/>
      <c r="D619" s="138"/>
      <c r="E619" s="140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1"/>
      <c r="AM619" s="141"/>
      <c r="AN619" s="141"/>
      <c r="AO619" s="141"/>
      <c r="AP619" s="141"/>
      <c r="AQ619" s="141"/>
      <c r="AR619" s="141"/>
      <c r="AS619" s="141"/>
      <c r="AT619" s="141"/>
      <c r="AU619" s="141"/>
      <c r="AV619" s="141"/>
      <c r="AW619" s="141"/>
      <c r="AX619" s="141"/>
      <c r="AY619" s="141"/>
      <c r="AZ619" s="141"/>
      <c r="BA619" s="141"/>
      <c r="BB619" s="141"/>
      <c r="BC619" s="141"/>
      <c r="BD619" s="141"/>
      <c r="BE619" s="141"/>
      <c r="BF619" s="141"/>
      <c r="BG619" s="141"/>
      <c r="BH619" s="141"/>
      <c r="BI619" s="141"/>
      <c r="BJ619" s="141"/>
      <c r="BK619" s="141"/>
      <c r="BL619" s="141"/>
      <c r="BM619" s="141"/>
      <c r="BN619" s="141"/>
      <c r="BO619" s="141"/>
    </row>
    <row r="620" ht="13.5" customHeight="1">
      <c r="A620" s="138"/>
      <c r="B620" s="139"/>
      <c r="C620" s="138"/>
      <c r="D620" s="138"/>
      <c r="E620" s="140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1"/>
      <c r="AM620" s="141"/>
      <c r="AN620" s="141"/>
      <c r="AO620" s="141"/>
      <c r="AP620" s="141"/>
      <c r="AQ620" s="141"/>
      <c r="AR620" s="141"/>
      <c r="AS620" s="141"/>
      <c r="AT620" s="141"/>
      <c r="AU620" s="141"/>
      <c r="AV620" s="141"/>
      <c r="AW620" s="141"/>
      <c r="AX620" s="141"/>
      <c r="AY620" s="141"/>
      <c r="AZ620" s="141"/>
      <c r="BA620" s="141"/>
      <c r="BB620" s="141"/>
      <c r="BC620" s="141"/>
      <c r="BD620" s="141"/>
      <c r="BE620" s="141"/>
      <c r="BF620" s="141"/>
      <c r="BG620" s="141"/>
      <c r="BH620" s="141"/>
      <c r="BI620" s="141"/>
      <c r="BJ620" s="141"/>
      <c r="BK620" s="141"/>
      <c r="BL620" s="141"/>
      <c r="BM620" s="141"/>
      <c r="BN620" s="141"/>
      <c r="BO620" s="141"/>
    </row>
    <row r="621" ht="13.5" customHeight="1">
      <c r="A621" s="138"/>
      <c r="B621" s="139"/>
      <c r="C621" s="138"/>
      <c r="D621" s="138"/>
      <c r="E621" s="140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  <c r="AL621" s="141"/>
      <c r="AM621" s="141"/>
      <c r="AN621" s="141"/>
      <c r="AO621" s="141"/>
      <c r="AP621" s="141"/>
      <c r="AQ621" s="141"/>
      <c r="AR621" s="141"/>
      <c r="AS621" s="141"/>
      <c r="AT621" s="141"/>
      <c r="AU621" s="141"/>
      <c r="AV621" s="141"/>
      <c r="AW621" s="141"/>
      <c r="AX621" s="141"/>
      <c r="AY621" s="141"/>
      <c r="AZ621" s="141"/>
      <c r="BA621" s="141"/>
      <c r="BB621" s="141"/>
      <c r="BC621" s="141"/>
      <c r="BD621" s="141"/>
      <c r="BE621" s="141"/>
      <c r="BF621" s="141"/>
      <c r="BG621" s="141"/>
      <c r="BH621" s="141"/>
      <c r="BI621" s="141"/>
      <c r="BJ621" s="141"/>
      <c r="BK621" s="141"/>
      <c r="BL621" s="141"/>
      <c r="BM621" s="141"/>
      <c r="BN621" s="141"/>
      <c r="BO621" s="141"/>
    </row>
    <row r="622" ht="13.5" customHeight="1">
      <c r="A622" s="138"/>
      <c r="B622" s="139"/>
      <c r="C622" s="138"/>
      <c r="D622" s="138"/>
      <c r="E622" s="140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1"/>
      <c r="AM622" s="141"/>
      <c r="AN622" s="141"/>
      <c r="AO622" s="141"/>
      <c r="AP622" s="141"/>
      <c r="AQ622" s="141"/>
      <c r="AR622" s="141"/>
      <c r="AS622" s="141"/>
      <c r="AT622" s="141"/>
      <c r="AU622" s="141"/>
      <c r="AV622" s="141"/>
      <c r="AW622" s="141"/>
      <c r="AX622" s="141"/>
      <c r="AY622" s="141"/>
      <c r="AZ622" s="141"/>
      <c r="BA622" s="141"/>
      <c r="BB622" s="141"/>
      <c r="BC622" s="141"/>
      <c r="BD622" s="141"/>
      <c r="BE622" s="141"/>
      <c r="BF622" s="141"/>
      <c r="BG622" s="141"/>
      <c r="BH622" s="141"/>
      <c r="BI622" s="141"/>
      <c r="BJ622" s="141"/>
      <c r="BK622" s="141"/>
      <c r="BL622" s="141"/>
      <c r="BM622" s="141"/>
      <c r="BN622" s="141"/>
      <c r="BO622" s="141"/>
    </row>
    <row r="623" ht="13.5" customHeight="1">
      <c r="A623" s="138"/>
      <c r="B623" s="139"/>
      <c r="C623" s="138"/>
      <c r="D623" s="138"/>
      <c r="E623" s="140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  <c r="AL623" s="141"/>
      <c r="AM623" s="141"/>
      <c r="AN623" s="141"/>
      <c r="AO623" s="141"/>
      <c r="AP623" s="141"/>
      <c r="AQ623" s="141"/>
      <c r="AR623" s="141"/>
      <c r="AS623" s="141"/>
      <c r="AT623" s="141"/>
      <c r="AU623" s="141"/>
      <c r="AV623" s="141"/>
      <c r="AW623" s="141"/>
      <c r="AX623" s="141"/>
      <c r="AY623" s="141"/>
      <c r="AZ623" s="141"/>
      <c r="BA623" s="141"/>
      <c r="BB623" s="141"/>
      <c r="BC623" s="141"/>
      <c r="BD623" s="141"/>
      <c r="BE623" s="141"/>
      <c r="BF623" s="141"/>
      <c r="BG623" s="141"/>
      <c r="BH623" s="141"/>
      <c r="BI623" s="141"/>
      <c r="BJ623" s="141"/>
      <c r="BK623" s="141"/>
      <c r="BL623" s="141"/>
      <c r="BM623" s="141"/>
      <c r="BN623" s="141"/>
      <c r="BO623" s="141"/>
    </row>
    <row r="624" ht="13.5" customHeight="1">
      <c r="A624" s="138"/>
      <c r="B624" s="139"/>
      <c r="C624" s="138"/>
      <c r="D624" s="138"/>
      <c r="E624" s="140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  <c r="AL624" s="141"/>
      <c r="AM624" s="141"/>
      <c r="AN624" s="141"/>
      <c r="AO624" s="141"/>
      <c r="AP624" s="141"/>
      <c r="AQ624" s="141"/>
      <c r="AR624" s="141"/>
      <c r="AS624" s="141"/>
      <c r="AT624" s="141"/>
      <c r="AU624" s="141"/>
      <c r="AV624" s="141"/>
      <c r="AW624" s="141"/>
      <c r="AX624" s="141"/>
      <c r="AY624" s="141"/>
      <c r="AZ624" s="141"/>
      <c r="BA624" s="141"/>
      <c r="BB624" s="141"/>
      <c r="BC624" s="141"/>
      <c r="BD624" s="141"/>
      <c r="BE624" s="141"/>
      <c r="BF624" s="141"/>
      <c r="BG624" s="141"/>
      <c r="BH624" s="141"/>
      <c r="BI624" s="141"/>
      <c r="BJ624" s="141"/>
      <c r="BK624" s="141"/>
      <c r="BL624" s="141"/>
      <c r="BM624" s="141"/>
      <c r="BN624" s="141"/>
      <c r="BO624" s="141"/>
    </row>
    <row r="625" ht="13.5" customHeight="1">
      <c r="A625" s="138"/>
      <c r="B625" s="139"/>
      <c r="C625" s="138"/>
      <c r="D625" s="138"/>
      <c r="E625" s="140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1"/>
      <c r="AM625" s="141"/>
      <c r="AN625" s="141"/>
      <c r="AO625" s="141"/>
      <c r="AP625" s="141"/>
      <c r="AQ625" s="141"/>
      <c r="AR625" s="141"/>
      <c r="AS625" s="141"/>
      <c r="AT625" s="141"/>
      <c r="AU625" s="141"/>
      <c r="AV625" s="141"/>
      <c r="AW625" s="141"/>
      <c r="AX625" s="141"/>
      <c r="AY625" s="141"/>
      <c r="AZ625" s="141"/>
      <c r="BA625" s="141"/>
      <c r="BB625" s="141"/>
      <c r="BC625" s="141"/>
      <c r="BD625" s="141"/>
      <c r="BE625" s="141"/>
      <c r="BF625" s="141"/>
      <c r="BG625" s="141"/>
      <c r="BH625" s="141"/>
      <c r="BI625" s="141"/>
      <c r="BJ625" s="141"/>
      <c r="BK625" s="141"/>
      <c r="BL625" s="141"/>
      <c r="BM625" s="141"/>
      <c r="BN625" s="141"/>
      <c r="BO625" s="141"/>
    </row>
    <row r="626" ht="13.5" customHeight="1">
      <c r="A626" s="138"/>
      <c r="B626" s="139"/>
      <c r="C626" s="138"/>
      <c r="D626" s="138"/>
      <c r="E626" s="140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  <c r="AL626" s="141"/>
      <c r="AM626" s="141"/>
      <c r="AN626" s="141"/>
      <c r="AO626" s="141"/>
      <c r="AP626" s="141"/>
      <c r="AQ626" s="141"/>
      <c r="AR626" s="141"/>
      <c r="AS626" s="141"/>
      <c r="AT626" s="141"/>
      <c r="AU626" s="141"/>
      <c r="AV626" s="141"/>
      <c r="AW626" s="141"/>
      <c r="AX626" s="141"/>
      <c r="AY626" s="141"/>
      <c r="AZ626" s="141"/>
      <c r="BA626" s="141"/>
      <c r="BB626" s="141"/>
      <c r="BC626" s="141"/>
      <c r="BD626" s="141"/>
      <c r="BE626" s="141"/>
      <c r="BF626" s="141"/>
      <c r="BG626" s="141"/>
      <c r="BH626" s="141"/>
      <c r="BI626" s="141"/>
      <c r="BJ626" s="141"/>
      <c r="BK626" s="141"/>
      <c r="BL626" s="141"/>
      <c r="BM626" s="141"/>
      <c r="BN626" s="141"/>
      <c r="BO626" s="141"/>
    </row>
    <row r="627" ht="13.5" customHeight="1">
      <c r="A627" s="138"/>
      <c r="B627" s="139"/>
      <c r="C627" s="138"/>
      <c r="D627" s="138"/>
      <c r="E627" s="140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1"/>
      <c r="AM627" s="141"/>
      <c r="AN627" s="141"/>
      <c r="AO627" s="141"/>
      <c r="AP627" s="141"/>
      <c r="AQ627" s="141"/>
      <c r="AR627" s="141"/>
      <c r="AS627" s="141"/>
      <c r="AT627" s="141"/>
      <c r="AU627" s="141"/>
      <c r="AV627" s="141"/>
      <c r="AW627" s="141"/>
      <c r="AX627" s="141"/>
      <c r="AY627" s="141"/>
      <c r="AZ627" s="141"/>
      <c r="BA627" s="141"/>
      <c r="BB627" s="141"/>
      <c r="BC627" s="141"/>
      <c r="BD627" s="141"/>
      <c r="BE627" s="141"/>
      <c r="BF627" s="141"/>
      <c r="BG627" s="141"/>
      <c r="BH627" s="141"/>
      <c r="BI627" s="141"/>
      <c r="BJ627" s="141"/>
      <c r="BK627" s="141"/>
      <c r="BL627" s="141"/>
      <c r="BM627" s="141"/>
      <c r="BN627" s="141"/>
      <c r="BO627" s="141"/>
    </row>
    <row r="628" ht="13.5" customHeight="1">
      <c r="A628" s="138"/>
      <c r="B628" s="139"/>
      <c r="C628" s="138"/>
      <c r="D628" s="138"/>
      <c r="E628" s="140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  <c r="AL628" s="141"/>
      <c r="AM628" s="141"/>
      <c r="AN628" s="141"/>
      <c r="AO628" s="141"/>
      <c r="AP628" s="141"/>
      <c r="AQ628" s="141"/>
      <c r="AR628" s="141"/>
      <c r="AS628" s="141"/>
      <c r="AT628" s="141"/>
      <c r="AU628" s="141"/>
      <c r="AV628" s="141"/>
      <c r="AW628" s="141"/>
      <c r="AX628" s="141"/>
      <c r="AY628" s="141"/>
      <c r="AZ628" s="141"/>
      <c r="BA628" s="141"/>
      <c r="BB628" s="141"/>
      <c r="BC628" s="141"/>
      <c r="BD628" s="141"/>
      <c r="BE628" s="141"/>
      <c r="BF628" s="141"/>
      <c r="BG628" s="141"/>
      <c r="BH628" s="141"/>
      <c r="BI628" s="141"/>
      <c r="BJ628" s="141"/>
      <c r="BK628" s="141"/>
      <c r="BL628" s="141"/>
      <c r="BM628" s="141"/>
      <c r="BN628" s="141"/>
      <c r="BO628" s="141"/>
    </row>
    <row r="629" ht="13.5" customHeight="1">
      <c r="A629" s="138"/>
      <c r="B629" s="139"/>
      <c r="C629" s="138"/>
      <c r="D629" s="138"/>
      <c r="E629" s="140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  <c r="AL629" s="141"/>
      <c r="AM629" s="141"/>
      <c r="AN629" s="141"/>
      <c r="AO629" s="141"/>
      <c r="AP629" s="141"/>
      <c r="AQ629" s="141"/>
      <c r="AR629" s="141"/>
      <c r="AS629" s="141"/>
      <c r="AT629" s="141"/>
      <c r="AU629" s="141"/>
      <c r="AV629" s="141"/>
      <c r="AW629" s="141"/>
      <c r="AX629" s="141"/>
      <c r="AY629" s="141"/>
      <c r="AZ629" s="141"/>
      <c r="BA629" s="141"/>
      <c r="BB629" s="141"/>
      <c r="BC629" s="141"/>
      <c r="BD629" s="141"/>
      <c r="BE629" s="141"/>
      <c r="BF629" s="141"/>
      <c r="BG629" s="141"/>
      <c r="BH629" s="141"/>
      <c r="BI629" s="141"/>
      <c r="BJ629" s="141"/>
      <c r="BK629" s="141"/>
      <c r="BL629" s="141"/>
      <c r="BM629" s="141"/>
      <c r="BN629" s="141"/>
      <c r="BO629" s="141"/>
    </row>
    <row r="630" ht="13.5" customHeight="1">
      <c r="A630" s="138"/>
      <c r="B630" s="139"/>
      <c r="C630" s="138"/>
      <c r="D630" s="138"/>
      <c r="E630" s="140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  <c r="AL630" s="141"/>
      <c r="AM630" s="141"/>
      <c r="AN630" s="141"/>
      <c r="AO630" s="141"/>
      <c r="AP630" s="141"/>
      <c r="AQ630" s="141"/>
      <c r="AR630" s="141"/>
      <c r="AS630" s="141"/>
      <c r="AT630" s="141"/>
      <c r="AU630" s="141"/>
      <c r="AV630" s="141"/>
      <c r="AW630" s="141"/>
      <c r="AX630" s="141"/>
      <c r="AY630" s="141"/>
      <c r="AZ630" s="141"/>
      <c r="BA630" s="141"/>
      <c r="BB630" s="141"/>
      <c r="BC630" s="141"/>
      <c r="BD630" s="141"/>
      <c r="BE630" s="141"/>
      <c r="BF630" s="141"/>
      <c r="BG630" s="141"/>
      <c r="BH630" s="141"/>
      <c r="BI630" s="141"/>
      <c r="BJ630" s="141"/>
      <c r="BK630" s="141"/>
      <c r="BL630" s="141"/>
      <c r="BM630" s="141"/>
      <c r="BN630" s="141"/>
      <c r="BO630" s="141"/>
    </row>
    <row r="631" ht="13.5" customHeight="1">
      <c r="A631" s="138"/>
      <c r="B631" s="139"/>
      <c r="C631" s="138"/>
      <c r="D631" s="138"/>
      <c r="E631" s="140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1"/>
      <c r="AM631" s="141"/>
      <c r="AN631" s="141"/>
      <c r="AO631" s="141"/>
      <c r="AP631" s="141"/>
      <c r="AQ631" s="141"/>
      <c r="AR631" s="141"/>
      <c r="AS631" s="141"/>
      <c r="AT631" s="141"/>
      <c r="AU631" s="141"/>
      <c r="AV631" s="141"/>
      <c r="AW631" s="141"/>
      <c r="AX631" s="141"/>
      <c r="AY631" s="141"/>
      <c r="AZ631" s="141"/>
      <c r="BA631" s="141"/>
      <c r="BB631" s="141"/>
      <c r="BC631" s="141"/>
      <c r="BD631" s="141"/>
      <c r="BE631" s="141"/>
      <c r="BF631" s="141"/>
      <c r="BG631" s="141"/>
      <c r="BH631" s="141"/>
      <c r="BI631" s="141"/>
      <c r="BJ631" s="141"/>
      <c r="BK631" s="141"/>
      <c r="BL631" s="141"/>
      <c r="BM631" s="141"/>
      <c r="BN631" s="141"/>
      <c r="BO631" s="141"/>
    </row>
    <row r="632" ht="13.5" customHeight="1">
      <c r="A632" s="138"/>
      <c r="B632" s="139"/>
      <c r="C632" s="138"/>
      <c r="D632" s="138"/>
      <c r="E632" s="140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  <c r="AL632" s="141"/>
      <c r="AM632" s="141"/>
      <c r="AN632" s="141"/>
      <c r="AO632" s="141"/>
      <c r="AP632" s="141"/>
      <c r="AQ632" s="141"/>
      <c r="AR632" s="141"/>
      <c r="AS632" s="141"/>
      <c r="AT632" s="141"/>
      <c r="AU632" s="141"/>
      <c r="AV632" s="141"/>
      <c r="AW632" s="141"/>
      <c r="AX632" s="141"/>
      <c r="AY632" s="141"/>
      <c r="AZ632" s="141"/>
      <c r="BA632" s="141"/>
      <c r="BB632" s="141"/>
      <c r="BC632" s="141"/>
      <c r="BD632" s="141"/>
      <c r="BE632" s="141"/>
      <c r="BF632" s="141"/>
      <c r="BG632" s="141"/>
      <c r="BH632" s="141"/>
      <c r="BI632" s="141"/>
      <c r="BJ632" s="141"/>
      <c r="BK632" s="141"/>
      <c r="BL632" s="141"/>
      <c r="BM632" s="141"/>
      <c r="BN632" s="141"/>
      <c r="BO632" s="141"/>
    </row>
    <row r="633" ht="13.5" customHeight="1">
      <c r="A633" s="138"/>
      <c r="B633" s="139"/>
      <c r="C633" s="138"/>
      <c r="D633" s="138"/>
      <c r="E633" s="140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1"/>
      <c r="AM633" s="141"/>
      <c r="AN633" s="141"/>
      <c r="AO633" s="141"/>
      <c r="AP633" s="141"/>
      <c r="AQ633" s="141"/>
      <c r="AR633" s="141"/>
      <c r="AS633" s="141"/>
      <c r="AT633" s="141"/>
      <c r="AU633" s="141"/>
      <c r="AV633" s="141"/>
      <c r="AW633" s="141"/>
      <c r="AX633" s="141"/>
      <c r="AY633" s="141"/>
      <c r="AZ633" s="141"/>
      <c r="BA633" s="141"/>
      <c r="BB633" s="141"/>
      <c r="BC633" s="141"/>
      <c r="BD633" s="141"/>
      <c r="BE633" s="141"/>
      <c r="BF633" s="141"/>
      <c r="BG633" s="141"/>
      <c r="BH633" s="141"/>
      <c r="BI633" s="141"/>
      <c r="BJ633" s="141"/>
      <c r="BK633" s="141"/>
      <c r="BL633" s="141"/>
      <c r="BM633" s="141"/>
      <c r="BN633" s="141"/>
      <c r="BO633" s="141"/>
    </row>
    <row r="634" ht="13.5" customHeight="1">
      <c r="A634" s="138"/>
      <c r="B634" s="139"/>
      <c r="C634" s="138"/>
      <c r="D634" s="138"/>
      <c r="E634" s="140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1"/>
      <c r="AM634" s="141"/>
      <c r="AN634" s="141"/>
      <c r="AO634" s="141"/>
      <c r="AP634" s="141"/>
      <c r="AQ634" s="141"/>
      <c r="AR634" s="141"/>
      <c r="AS634" s="141"/>
      <c r="AT634" s="141"/>
      <c r="AU634" s="141"/>
      <c r="AV634" s="141"/>
      <c r="AW634" s="141"/>
      <c r="AX634" s="141"/>
      <c r="AY634" s="141"/>
      <c r="AZ634" s="141"/>
      <c r="BA634" s="141"/>
      <c r="BB634" s="141"/>
      <c r="BC634" s="141"/>
      <c r="BD634" s="141"/>
      <c r="BE634" s="141"/>
      <c r="BF634" s="141"/>
      <c r="BG634" s="141"/>
      <c r="BH634" s="141"/>
      <c r="BI634" s="141"/>
      <c r="BJ634" s="141"/>
      <c r="BK634" s="141"/>
      <c r="BL634" s="141"/>
      <c r="BM634" s="141"/>
      <c r="BN634" s="141"/>
      <c r="BO634" s="141"/>
    </row>
    <row r="635" ht="13.5" customHeight="1">
      <c r="A635" s="138"/>
      <c r="B635" s="139"/>
      <c r="C635" s="138"/>
      <c r="D635" s="138"/>
      <c r="E635" s="140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  <c r="AO635" s="141"/>
      <c r="AP635" s="141"/>
      <c r="AQ635" s="141"/>
      <c r="AR635" s="141"/>
      <c r="AS635" s="141"/>
      <c r="AT635" s="141"/>
      <c r="AU635" s="141"/>
      <c r="AV635" s="141"/>
      <c r="AW635" s="141"/>
      <c r="AX635" s="141"/>
      <c r="AY635" s="141"/>
      <c r="AZ635" s="141"/>
      <c r="BA635" s="141"/>
      <c r="BB635" s="141"/>
      <c r="BC635" s="141"/>
      <c r="BD635" s="141"/>
      <c r="BE635" s="141"/>
      <c r="BF635" s="141"/>
      <c r="BG635" s="141"/>
      <c r="BH635" s="141"/>
      <c r="BI635" s="141"/>
      <c r="BJ635" s="141"/>
      <c r="BK635" s="141"/>
      <c r="BL635" s="141"/>
      <c r="BM635" s="141"/>
      <c r="BN635" s="141"/>
      <c r="BO635" s="141"/>
    </row>
    <row r="636" ht="13.5" customHeight="1">
      <c r="A636" s="138"/>
      <c r="B636" s="139"/>
      <c r="C636" s="138"/>
      <c r="D636" s="138"/>
      <c r="E636" s="140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  <c r="AM636" s="141"/>
      <c r="AN636" s="141"/>
      <c r="AO636" s="141"/>
      <c r="AP636" s="141"/>
      <c r="AQ636" s="141"/>
      <c r="AR636" s="141"/>
      <c r="AS636" s="141"/>
      <c r="AT636" s="141"/>
      <c r="AU636" s="141"/>
      <c r="AV636" s="141"/>
      <c r="AW636" s="141"/>
      <c r="AX636" s="141"/>
      <c r="AY636" s="141"/>
      <c r="AZ636" s="141"/>
      <c r="BA636" s="141"/>
      <c r="BB636" s="141"/>
      <c r="BC636" s="141"/>
      <c r="BD636" s="141"/>
      <c r="BE636" s="141"/>
      <c r="BF636" s="141"/>
      <c r="BG636" s="141"/>
      <c r="BH636" s="141"/>
      <c r="BI636" s="141"/>
      <c r="BJ636" s="141"/>
      <c r="BK636" s="141"/>
      <c r="BL636" s="141"/>
      <c r="BM636" s="141"/>
      <c r="BN636" s="141"/>
      <c r="BO636" s="141"/>
    </row>
    <row r="637" ht="13.5" customHeight="1">
      <c r="A637" s="138"/>
      <c r="B637" s="139"/>
      <c r="C637" s="138"/>
      <c r="D637" s="138"/>
      <c r="E637" s="140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  <c r="AM637" s="141"/>
      <c r="AN637" s="141"/>
      <c r="AO637" s="141"/>
      <c r="AP637" s="141"/>
      <c r="AQ637" s="141"/>
      <c r="AR637" s="141"/>
      <c r="AS637" s="141"/>
      <c r="AT637" s="141"/>
      <c r="AU637" s="141"/>
      <c r="AV637" s="141"/>
      <c r="AW637" s="141"/>
      <c r="AX637" s="141"/>
      <c r="AY637" s="141"/>
      <c r="AZ637" s="141"/>
      <c r="BA637" s="141"/>
      <c r="BB637" s="141"/>
      <c r="BC637" s="141"/>
      <c r="BD637" s="141"/>
      <c r="BE637" s="141"/>
      <c r="BF637" s="141"/>
      <c r="BG637" s="141"/>
      <c r="BH637" s="141"/>
      <c r="BI637" s="141"/>
      <c r="BJ637" s="141"/>
      <c r="BK637" s="141"/>
      <c r="BL637" s="141"/>
      <c r="BM637" s="141"/>
      <c r="BN637" s="141"/>
      <c r="BO637" s="141"/>
    </row>
    <row r="638" ht="13.5" customHeight="1">
      <c r="A638" s="138"/>
      <c r="B638" s="139"/>
      <c r="C638" s="138"/>
      <c r="D638" s="138"/>
      <c r="E638" s="140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1"/>
      <c r="AM638" s="141"/>
      <c r="AN638" s="141"/>
      <c r="AO638" s="141"/>
      <c r="AP638" s="141"/>
      <c r="AQ638" s="141"/>
      <c r="AR638" s="141"/>
      <c r="AS638" s="141"/>
      <c r="AT638" s="141"/>
      <c r="AU638" s="141"/>
      <c r="AV638" s="141"/>
      <c r="AW638" s="141"/>
      <c r="AX638" s="141"/>
      <c r="AY638" s="141"/>
      <c r="AZ638" s="141"/>
      <c r="BA638" s="141"/>
      <c r="BB638" s="141"/>
      <c r="BC638" s="141"/>
      <c r="BD638" s="141"/>
      <c r="BE638" s="141"/>
      <c r="BF638" s="141"/>
      <c r="BG638" s="141"/>
      <c r="BH638" s="141"/>
      <c r="BI638" s="141"/>
      <c r="BJ638" s="141"/>
      <c r="BK638" s="141"/>
      <c r="BL638" s="141"/>
      <c r="BM638" s="141"/>
      <c r="BN638" s="141"/>
      <c r="BO638" s="141"/>
    </row>
    <row r="639" ht="13.5" customHeight="1">
      <c r="A639" s="138"/>
      <c r="B639" s="139"/>
      <c r="C639" s="138"/>
      <c r="D639" s="138"/>
      <c r="E639" s="140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  <c r="AL639" s="141"/>
      <c r="AM639" s="141"/>
      <c r="AN639" s="141"/>
      <c r="AO639" s="141"/>
      <c r="AP639" s="141"/>
      <c r="AQ639" s="141"/>
      <c r="AR639" s="141"/>
      <c r="AS639" s="141"/>
      <c r="AT639" s="141"/>
      <c r="AU639" s="141"/>
      <c r="AV639" s="141"/>
      <c r="AW639" s="141"/>
      <c r="AX639" s="141"/>
      <c r="AY639" s="141"/>
      <c r="AZ639" s="141"/>
      <c r="BA639" s="141"/>
      <c r="BB639" s="141"/>
      <c r="BC639" s="141"/>
      <c r="BD639" s="141"/>
      <c r="BE639" s="141"/>
      <c r="BF639" s="141"/>
      <c r="BG639" s="141"/>
      <c r="BH639" s="141"/>
      <c r="BI639" s="141"/>
      <c r="BJ639" s="141"/>
      <c r="BK639" s="141"/>
      <c r="BL639" s="141"/>
      <c r="BM639" s="141"/>
      <c r="BN639" s="141"/>
      <c r="BO639" s="141"/>
    </row>
    <row r="640" ht="13.5" customHeight="1">
      <c r="A640" s="138"/>
      <c r="B640" s="139"/>
      <c r="C640" s="138"/>
      <c r="D640" s="138"/>
      <c r="E640" s="140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1"/>
      <c r="AM640" s="141"/>
      <c r="AN640" s="141"/>
      <c r="AO640" s="141"/>
      <c r="AP640" s="141"/>
      <c r="AQ640" s="141"/>
      <c r="AR640" s="141"/>
      <c r="AS640" s="141"/>
      <c r="AT640" s="141"/>
      <c r="AU640" s="141"/>
      <c r="AV640" s="141"/>
      <c r="AW640" s="141"/>
      <c r="AX640" s="141"/>
      <c r="AY640" s="141"/>
      <c r="AZ640" s="141"/>
      <c r="BA640" s="141"/>
      <c r="BB640" s="141"/>
      <c r="BC640" s="141"/>
      <c r="BD640" s="141"/>
      <c r="BE640" s="141"/>
      <c r="BF640" s="141"/>
      <c r="BG640" s="141"/>
      <c r="BH640" s="141"/>
      <c r="BI640" s="141"/>
      <c r="BJ640" s="141"/>
      <c r="BK640" s="141"/>
      <c r="BL640" s="141"/>
      <c r="BM640" s="141"/>
      <c r="BN640" s="141"/>
      <c r="BO640" s="141"/>
    </row>
    <row r="641" ht="13.5" customHeight="1">
      <c r="A641" s="138"/>
      <c r="B641" s="139"/>
      <c r="C641" s="138"/>
      <c r="D641" s="138"/>
      <c r="E641" s="140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1"/>
      <c r="AM641" s="141"/>
      <c r="AN641" s="141"/>
      <c r="AO641" s="141"/>
      <c r="AP641" s="141"/>
      <c r="AQ641" s="141"/>
      <c r="AR641" s="141"/>
      <c r="AS641" s="141"/>
      <c r="AT641" s="141"/>
      <c r="AU641" s="141"/>
      <c r="AV641" s="141"/>
      <c r="AW641" s="141"/>
      <c r="AX641" s="141"/>
      <c r="AY641" s="141"/>
      <c r="AZ641" s="141"/>
      <c r="BA641" s="141"/>
      <c r="BB641" s="141"/>
      <c r="BC641" s="141"/>
      <c r="BD641" s="141"/>
      <c r="BE641" s="141"/>
      <c r="BF641" s="141"/>
      <c r="BG641" s="141"/>
      <c r="BH641" s="141"/>
      <c r="BI641" s="141"/>
      <c r="BJ641" s="141"/>
      <c r="BK641" s="141"/>
      <c r="BL641" s="141"/>
      <c r="BM641" s="141"/>
      <c r="BN641" s="141"/>
      <c r="BO641" s="141"/>
    </row>
    <row r="642" ht="13.5" customHeight="1">
      <c r="A642" s="138"/>
      <c r="B642" s="139"/>
      <c r="C642" s="138"/>
      <c r="D642" s="138"/>
      <c r="E642" s="140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  <c r="AL642" s="141"/>
      <c r="AM642" s="141"/>
      <c r="AN642" s="141"/>
      <c r="AO642" s="141"/>
      <c r="AP642" s="141"/>
      <c r="AQ642" s="141"/>
      <c r="AR642" s="141"/>
      <c r="AS642" s="141"/>
      <c r="AT642" s="141"/>
      <c r="AU642" s="141"/>
      <c r="AV642" s="141"/>
      <c r="AW642" s="141"/>
      <c r="AX642" s="141"/>
      <c r="AY642" s="141"/>
      <c r="AZ642" s="141"/>
      <c r="BA642" s="141"/>
      <c r="BB642" s="141"/>
      <c r="BC642" s="141"/>
      <c r="BD642" s="141"/>
      <c r="BE642" s="141"/>
      <c r="BF642" s="141"/>
      <c r="BG642" s="141"/>
      <c r="BH642" s="141"/>
      <c r="BI642" s="141"/>
      <c r="BJ642" s="141"/>
      <c r="BK642" s="141"/>
      <c r="BL642" s="141"/>
      <c r="BM642" s="141"/>
      <c r="BN642" s="141"/>
      <c r="BO642" s="141"/>
    </row>
    <row r="643" ht="13.5" customHeight="1">
      <c r="A643" s="138"/>
      <c r="B643" s="139"/>
      <c r="C643" s="138"/>
      <c r="D643" s="138"/>
      <c r="E643" s="140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  <c r="AL643" s="141"/>
      <c r="AM643" s="141"/>
      <c r="AN643" s="141"/>
      <c r="AO643" s="141"/>
      <c r="AP643" s="141"/>
      <c r="AQ643" s="141"/>
      <c r="AR643" s="141"/>
      <c r="AS643" s="141"/>
      <c r="AT643" s="141"/>
      <c r="AU643" s="141"/>
      <c r="AV643" s="141"/>
      <c r="AW643" s="141"/>
      <c r="AX643" s="141"/>
      <c r="AY643" s="141"/>
      <c r="AZ643" s="141"/>
      <c r="BA643" s="141"/>
      <c r="BB643" s="141"/>
      <c r="BC643" s="141"/>
      <c r="BD643" s="141"/>
      <c r="BE643" s="141"/>
      <c r="BF643" s="141"/>
      <c r="BG643" s="141"/>
      <c r="BH643" s="141"/>
      <c r="BI643" s="141"/>
      <c r="BJ643" s="141"/>
      <c r="BK643" s="141"/>
      <c r="BL643" s="141"/>
      <c r="BM643" s="141"/>
      <c r="BN643" s="141"/>
      <c r="BO643" s="141"/>
    </row>
    <row r="644" ht="13.5" customHeight="1">
      <c r="A644" s="138"/>
      <c r="B644" s="139"/>
      <c r="C644" s="138"/>
      <c r="D644" s="138"/>
      <c r="E644" s="140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1"/>
      <c r="AM644" s="141"/>
      <c r="AN644" s="141"/>
      <c r="AO644" s="141"/>
      <c r="AP644" s="141"/>
      <c r="AQ644" s="141"/>
      <c r="AR644" s="141"/>
      <c r="AS644" s="141"/>
      <c r="AT644" s="141"/>
      <c r="AU644" s="141"/>
      <c r="AV644" s="141"/>
      <c r="AW644" s="141"/>
      <c r="AX644" s="141"/>
      <c r="AY644" s="141"/>
      <c r="AZ644" s="141"/>
      <c r="BA644" s="141"/>
      <c r="BB644" s="141"/>
      <c r="BC644" s="141"/>
      <c r="BD644" s="141"/>
      <c r="BE644" s="141"/>
      <c r="BF644" s="141"/>
      <c r="BG644" s="141"/>
      <c r="BH644" s="141"/>
      <c r="BI644" s="141"/>
      <c r="BJ644" s="141"/>
      <c r="BK644" s="141"/>
      <c r="BL644" s="141"/>
      <c r="BM644" s="141"/>
      <c r="BN644" s="141"/>
      <c r="BO644" s="141"/>
    </row>
    <row r="645" ht="13.5" customHeight="1">
      <c r="A645" s="138"/>
      <c r="B645" s="139"/>
      <c r="C645" s="138"/>
      <c r="D645" s="138"/>
      <c r="E645" s="140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1"/>
      <c r="AM645" s="141"/>
      <c r="AN645" s="141"/>
      <c r="AO645" s="141"/>
      <c r="AP645" s="141"/>
      <c r="AQ645" s="141"/>
      <c r="AR645" s="141"/>
      <c r="AS645" s="141"/>
      <c r="AT645" s="141"/>
      <c r="AU645" s="141"/>
      <c r="AV645" s="141"/>
      <c r="AW645" s="141"/>
      <c r="AX645" s="141"/>
      <c r="AY645" s="141"/>
      <c r="AZ645" s="141"/>
      <c r="BA645" s="141"/>
      <c r="BB645" s="141"/>
      <c r="BC645" s="141"/>
      <c r="BD645" s="141"/>
      <c r="BE645" s="141"/>
      <c r="BF645" s="141"/>
      <c r="BG645" s="141"/>
      <c r="BH645" s="141"/>
      <c r="BI645" s="141"/>
      <c r="BJ645" s="141"/>
      <c r="BK645" s="141"/>
      <c r="BL645" s="141"/>
      <c r="BM645" s="141"/>
      <c r="BN645" s="141"/>
      <c r="BO645" s="141"/>
    </row>
    <row r="646" ht="13.5" customHeight="1">
      <c r="A646" s="138"/>
      <c r="B646" s="139"/>
      <c r="C646" s="138"/>
      <c r="D646" s="138"/>
      <c r="E646" s="140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1"/>
      <c r="AM646" s="141"/>
      <c r="AN646" s="141"/>
      <c r="AO646" s="141"/>
      <c r="AP646" s="141"/>
      <c r="AQ646" s="141"/>
      <c r="AR646" s="141"/>
      <c r="AS646" s="141"/>
      <c r="AT646" s="141"/>
      <c r="AU646" s="141"/>
      <c r="AV646" s="141"/>
      <c r="AW646" s="141"/>
      <c r="AX646" s="141"/>
      <c r="AY646" s="141"/>
      <c r="AZ646" s="141"/>
      <c r="BA646" s="141"/>
      <c r="BB646" s="141"/>
      <c r="BC646" s="141"/>
      <c r="BD646" s="141"/>
      <c r="BE646" s="141"/>
      <c r="BF646" s="141"/>
      <c r="BG646" s="141"/>
      <c r="BH646" s="141"/>
      <c r="BI646" s="141"/>
      <c r="BJ646" s="141"/>
      <c r="BK646" s="141"/>
      <c r="BL646" s="141"/>
      <c r="BM646" s="141"/>
      <c r="BN646" s="141"/>
      <c r="BO646" s="141"/>
    </row>
    <row r="647" ht="13.5" customHeight="1">
      <c r="A647" s="138"/>
      <c r="B647" s="139"/>
      <c r="C647" s="138"/>
      <c r="D647" s="138"/>
      <c r="E647" s="140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  <c r="AL647" s="141"/>
      <c r="AM647" s="141"/>
      <c r="AN647" s="141"/>
      <c r="AO647" s="141"/>
      <c r="AP647" s="141"/>
      <c r="AQ647" s="141"/>
      <c r="AR647" s="141"/>
      <c r="AS647" s="141"/>
      <c r="AT647" s="141"/>
      <c r="AU647" s="141"/>
      <c r="AV647" s="141"/>
      <c r="AW647" s="141"/>
      <c r="AX647" s="141"/>
      <c r="AY647" s="141"/>
      <c r="AZ647" s="141"/>
      <c r="BA647" s="141"/>
      <c r="BB647" s="141"/>
      <c r="BC647" s="141"/>
      <c r="BD647" s="141"/>
      <c r="BE647" s="141"/>
      <c r="BF647" s="141"/>
      <c r="BG647" s="141"/>
      <c r="BH647" s="141"/>
      <c r="BI647" s="141"/>
      <c r="BJ647" s="141"/>
      <c r="BK647" s="141"/>
      <c r="BL647" s="141"/>
      <c r="BM647" s="141"/>
      <c r="BN647" s="141"/>
      <c r="BO647" s="141"/>
    </row>
    <row r="648" ht="13.5" customHeight="1">
      <c r="A648" s="138"/>
      <c r="B648" s="139"/>
      <c r="C648" s="138"/>
      <c r="D648" s="138"/>
      <c r="E648" s="140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  <c r="AL648" s="141"/>
      <c r="AM648" s="141"/>
      <c r="AN648" s="141"/>
      <c r="AO648" s="141"/>
      <c r="AP648" s="141"/>
      <c r="AQ648" s="141"/>
      <c r="AR648" s="141"/>
      <c r="AS648" s="141"/>
      <c r="AT648" s="141"/>
      <c r="AU648" s="141"/>
      <c r="AV648" s="141"/>
      <c r="AW648" s="141"/>
      <c r="AX648" s="141"/>
      <c r="AY648" s="141"/>
      <c r="AZ648" s="141"/>
      <c r="BA648" s="141"/>
      <c r="BB648" s="141"/>
      <c r="BC648" s="141"/>
      <c r="BD648" s="141"/>
      <c r="BE648" s="141"/>
      <c r="BF648" s="141"/>
      <c r="BG648" s="141"/>
      <c r="BH648" s="141"/>
      <c r="BI648" s="141"/>
      <c r="BJ648" s="141"/>
      <c r="BK648" s="141"/>
      <c r="BL648" s="141"/>
      <c r="BM648" s="141"/>
      <c r="BN648" s="141"/>
      <c r="BO648" s="141"/>
    </row>
    <row r="649" ht="13.5" customHeight="1">
      <c r="A649" s="138"/>
      <c r="B649" s="139"/>
      <c r="C649" s="138"/>
      <c r="D649" s="138"/>
      <c r="E649" s="140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  <c r="AL649" s="141"/>
      <c r="AM649" s="141"/>
      <c r="AN649" s="141"/>
      <c r="AO649" s="141"/>
      <c r="AP649" s="141"/>
      <c r="AQ649" s="141"/>
      <c r="AR649" s="141"/>
      <c r="AS649" s="141"/>
      <c r="AT649" s="141"/>
      <c r="AU649" s="141"/>
      <c r="AV649" s="141"/>
      <c r="AW649" s="141"/>
      <c r="AX649" s="141"/>
      <c r="AY649" s="141"/>
      <c r="AZ649" s="141"/>
      <c r="BA649" s="141"/>
      <c r="BB649" s="141"/>
      <c r="BC649" s="141"/>
      <c r="BD649" s="141"/>
      <c r="BE649" s="141"/>
      <c r="BF649" s="141"/>
      <c r="BG649" s="141"/>
      <c r="BH649" s="141"/>
      <c r="BI649" s="141"/>
      <c r="BJ649" s="141"/>
      <c r="BK649" s="141"/>
      <c r="BL649" s="141"/>
      <c r="BM649" s="141"/>
      <c r="BN649" s="141"/>
      <c r="BO649" s="141"/>
    </row>
    <row r="650" ht="13.5" customHeight="1">
      <c r="A650" s="138"/>
      <c r="B650" s="139"/>
      <c r="C650" s="138"/>
      <c r="D650" s="138"/>
      <c r="E650" s="140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  <c r="AL650" s="141"/>
      <c r="AM650" s="141"/>
      <c r="AN650" s="141"/>
      <c r="AO650" s="141"/>
      <c r="AP650" s="141"/>
      <c r="AQ650" s="141"/>
      <c r="AR650" s="141"/>
      <c r="AS650" s="141"/>
      <c r="AT650" s="141"/>
      <c r="AU650" s="141"/>
      <c r="AV650" s="141"/>
      <c r="AW650" s="141"/>
      <c r="AX650" s="141"/>
      <c r="AY650" s="141"/>
      <c r="AZ650" s="141"/>
      <c r="BA650" s="141"/>
      <c r="BB650" s="141"/>
      <c r="BC650" s="141"/>
      <c r="BD650" s="141"/>
      <c r="BE650" s="141"/>
      <c r="BF650" s="141"/>
      <c r="BG650" s="141"/>
      <c r="BH650" s="141"/>
      <c r="BI650" s="141"/>
      <c r="BJ650" s="141"/>
      <c r="BK650" s="141"/>
      <c r="BL650" s="141"/>
      <c r="BM650" s="141"/>
      <c r="BN650" s="141"/>
      <c r="BO650" s="141"/>
    </row>
    <row r="651" ht="13.5" customHeight="1">
      <c r="A651" s="138"/>
      <c r="B651" s="139"/>
      <c r="C651" s="138"/>
      <c r="D651" s="138"/>
      <c r="E651" s="140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  <c r="AL651" s="141"/>
      <c r="AM651" s="141"/>
      <c r="AN651" s="141"/>
      <c r="AO651" s="141"/>
      <c r="AP651" s="141"/>
      <c r="AQ651" s="141"/>
      <c r="AR651" s="141"/>
      <c r="AS651" s="141"/>
      <c r="AT651" s="141"/>
      <c r="AU651" s="141"/>
      <c r="AV651" s="141"/>
      <c r="AW651" s="141"/>
      <c r="AX651" s="141"/>
      <c r="AY651" s="141"/>
      <c r="AZ651" s="141"/>
      <c r="BA651" s="141"/>
      <c r="BB651" s="141"/>
      <c r="BC651" s="141"/>
      <c r="BD651" s="141"/>
      <c r="BE651" s="141"/>
      <c r="BF651" s="141"/>
      <c r="BG651" s="141"/>
      <c r="BH651" s="141"/>
      <c r="BI651" s="141"/>
      <c r="BJ651" s="141"/>
      <c r="BK651" s="141"/>
      <c r="BL651" s="141"/>
      <c r="BM651" s="141"/>
      <c r="BN651" s="141"/>
      <c r="BO651" s="141"/>
    </row>
    <row r="652" ht="13.5" customHeight="1">
      <c r="A652" s="138"/>
      <c r="B652" s="139"/>
      <c r="C652" s="138"/>
      <c r="D652" s="138"/>
      <c r="E652" s="140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  <c r="AL652" s="141"/>
      <c r="AM652" s="141"/>
      <c r="AN652" s="141"/>
      <c r="AO652" s="141"/>
      <c r="AP652" s="141"/>
      <c r="AQ652" s="141"/>
      <c r="AR652" s="141"/>
      <c r="AS652" s="141"/>
      <c r="AT652" s="141"/>
      <c r="AU652" s="141"/>
      <c r="AV652" s="141"/>
      <c r="AW652" s="141"/>
      <c r="AX652" s="141"/>
      <c r="AY652" s="141"/>
      <c r="AZ652" s="141"/>
      <c r="BA652" s="141"/>
      <c r="BB652" s="141"/>
      <c r="BC652" s="141"/>
      <c r="BD652" s="141"/>
      <c r="BE652" s="141"/>
      <c r="BF652" s="141"/>
      <c r="BG652" s="141"/>
      <c r="BH652" s="141"/>
      <c r="BI652" s="141"/>
      <c r="BJ652" s="141"/>
      <c r="BK652" s="141"/>
      <c r="BL652" s="141"/>
      <c r="BM652" s="141"/>
      <c r="BN652" s="141"/>
      <c r="BO652" s="141"/>
    </row>
    <row r="653" ht="13.5" customHeight="1">
      <c r="A653" s="138"/>
      <c r="B653" s="139"/>
      <c r="C653" s="138"/>
      <c r="D653" s="138"/>
      <c r="E653" s="140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  <c r="AL653" s="141"/>
      <c r="AM653" s="141"/>
      <c r="AN653" s="141"/>
      <c r="AO653" s="141"/>
      <c r="AP653" s="141"/>
      <c r="AQ653" s="141"/>
      <c r="AR653" s="141"/>
      <c r="AS653" s="141"/>
      <c r="AT653" s="141"/>
      <c r="AU653" s="141"/>
      <c r="AV653" s="141"/>
      <c r="AW653" s="141"/>
      <c r="AX653" s="141"/>
      <c r="AY653" s="141"/>
      <c r="AZ653" s="141"/>
      <c r="BA653" s="141"/>
      <c r="BB653" s="141"/>
      <c r="BC653" s="141"/>
      <c r="BD653" s="141"/>
      <c r="BE653" s="141"/>
      <c r="BF653" s="141"/>
      <c r="BG653" s="141"/>
      <c r="BH653" s="141"/>
      <c r="BI653" s="141"/>
      <c r="BJ653" s="141"/>
      <c r="BK653" s="141"/>
      <c r="BL653" s="141"/>
      <c r="BM653" s="141"/>
      <c r="BN653" s="141"/>
      <c r="BO653" s="141"/>
    </row>
    <row r="654" ht="13.5" customHeight="1">
      <c r="A654" s="138"/>
      <c r="B654" s="139"/>
      <c r="C654" s="138"/>
      <c r="D654" s="138"/>
      <c r="E654" s="140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  <c r="AL654" s="141"/>
      <c r="AM654" s="141"/>
      <c r="AN654" s="141"/>
      <c r="AO654" s="141"/>
      <c r="AP654" s="141"/>
      <c r="AQ654" s="141"/>
      <c r="AR654" s="141"/>
      <c r="AS654" s="141"/>
      <c r="AT654" s="141"/>
      <c r="AU654" s="141"/>
      <c r="AV654" s="141"/>
      <c r="AW654" s="141"/>
      <c r="AX654" s="141"/>
      <c r="AY654" s="141"/>
      <c r="AZ654" s="141"/>
      <c r="BA654" s="141"/>
      <c r="BB654" s="141"/>
      <c r="BC654" s="141"/>
      <c r="BD654" s="141"/>
      <c r="BE654" s="141"/>
      <c r="BF654" s="141"/>
      <c r="BG654" s="141"/>
      <c r="BH654" s="141"/>
      <c r="BI654" s="141"/>
      <c r="BJ654" s="141"/>
      <c r="BK654" s="141"/>
      <c r="BL654" s="141"/>
      <c r="BM654" s="141"/>
      <c r="BN654" s="141"/>
      <c r="BO654" s="141"/>
    </row>
    <row r="655" ht="13.5" customHeight="1">
      <c r="A655" s="138"/>
      <c r="B655" s="139"/>
      <c r="C655" s="138"/>
      <c r="D655" s="138"/>
      <c r="E655" s="140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  <c r="AL655" s="141"/>
      <c r="AM655" s="141"/>
      <c r="AN655" s="141"/>
      <c r="AO655" s="141"/>
      <c r="AP655" s="141"/>
      <c r="AQ655" s="141"/>
      <c r="AR655" s="141"/>
      <c r="AS655" s="141"/>
      <c r="AT655" s="141"/>
      <c r="AU655" s="141"/>
      <c r="AV655" s="141"/>
      <c r="AW655" s="141"/>
      <c r="AX655" s="141"/>
      <c r="AY655" s="141"/>
      <c r="AZ655" s="141"/>
      <c r="BA655" s="141"/>
      <c r="BB655" s="141"/>
      <c r="BC655" s="141"/>
      <c r="BD655" s="141"/>
      <c r="BE655" s="141"/>
      <c r="BF655" s="141"/>
      <c r="BG655" s="141"/>
      <c r="BH655" s="141"/>
      <c r="BI655" s="141"/>
      <c r="BJ655" s="141"/>
      <c r="BK655" s="141"/>
      <c r="BL655" s="141"/>
      <c r="BM655" s="141"/>
      <c r="BN655" s="141"/>
      <c r="BO655" s="141"/>
    </row>
    <row r="656" ht="13.5" customHeight="1">
      <c r="A656" s="138"/>
      <c r="B656" s="139"/>
      <c r="C656" s="138"/>
      <c r="D656" s="138"/>
      <c r="E656" s="140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  <c r="AL656" s="141"/>
      <c r="AM656" s="141"/>
      <c r="AN656" s="141"/>
      <c r="AO656" s="141"/>
      <c r="AP656" s="141"/>
      <c r="AQ656" s="141"/>
      <c r="AR656" s="141"/>
      <c r="AS656" s="141"/>
      <c r="AT656" s="141"/>
      <c r="AU656" s="141"/>
      <c r="AV656" s="141"/>
      <c r="AW656" s="141"/>
      <c r="AX656" s="141"/>
      <c r="AY656" s="141"/>
      <c r="AZ656" s="141"/>
      <c r="BA656" s="141"/>
      <c r="BB656" s="141"/>
      <c r="BC656" s="141"/>
      <c r="BD656" s="141"/>
      <c r="BE656" s="141"/>
      <c r="BF656" s="141"/>
      <c r="BG656" s="141"/>
      <c r="BH656" s="141"/>
      <c r="BI656" s="141"/>
      <c r="BJ656" s="141"/>
      <c r="BK656" s="141"/>
      <c r="BL656" s="141"/>
      <c r="BM656" s="141"/>
      <c r="BN656" s="141"/>
      <c r="BO656" s="141"/>
    </row>
    <row r="657" ht="13.5" customHeight="1">
      <c r="A657" s="138"/>
      <c r="B657" s="139"/>
      <c r="C657" s="138"/>
      <c r="D657" s="138"/>
      <c r="E657" s="140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  <c r="AL657" s="141"/>
      <c r="AM657" s="141"/>
      <c r="AN657" s="141"/>
      <c r="AO657" s="141"/>
      <c r="AP657" s="141"/>
      <c r="AQ657" s="141"/>
      <c r="AR657" s="141"/>
      <c r="AS657" s="141"/>
      <c r="AT657" s="141"/>
      <c r="AU657" s="141"/>
      <c r="AV657" s="141"/>
      <c r="AW657" s="141"/>
      <c r="AX657" s="141"/>
      <c r="AY657" s="141"/>
      <c r="AZ657" s="141"/>
      <c r="BA657" s="141"/>
      <c r="BB657" s="141"/>
      <c r="BC657" s="141"/>
      <c r="BD657" s="141"/>
      <c r="BE657" s="141"/>
      <c r="BF657" s="141"/>
      <c r="BG657" s="141"/>
      <c r="BH657" s="141"/>
      <c r="BI657" s="141"/>
      <c r="BJ657" s="141"/>
      <c r="BK657" s="141"/>
      <c r="BL657" s="141"/>
      <c r="BM657" s="141"/>
      <c r="BN657" s="141"/>
      <c r="BO657" s="141"/>
    </row>
    <row r="658" ht="13.5" customHeight="1">
      <c r="A658" s="138"/>
      <c r="B658" s="139"/>
      <c r="C658" s="138"/>
      <c r="D658" s="138"/>
      <c r="E658" s="140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  <c r="AL658" s="141"/>
      <c r="AM658" s="141"/>
      <c r="AN658" s="141"/>
      <c r="AO658" s="141"/>
      <c r="AP658" s="141"/>
      <c r="AQ658" s="141"/>
      <c r="AR658" s="141"/>
      <c r="AS658" s="141"/>
      <c r="AT658" s="141"/>
      <c r="AU658" s="141"/>
      <c r="AV658" s="141"/>
      <c r="AW658" s="141"/>
      <c r="AX658" s="141"/>
      <c r="AY658" s="141"/>
      <c r="AZ658" s="141"/>
      <c r="BA658" s="141"/>
      <c r="BB658" s="141"/>
      <c r="BC658" s="141"/>
      <c r="BD658" s="141"/>
      <c r="BE658" s="141"/>
      <c r="BF658" s="141"/>
      <c r="BG658" s="141"/>
      <c r="BH658" s="141"/>
      <c r="BI658" s="141"/>
      <c r="BJ658" s="141"/>
      <c r="BK658" s="141"/>
      <c r="BL658" s="141"/>
      <c r="BM658" s="141"/>
      <c r="BN658" s="141"/>
      <c r="BO658" s="141"/>
    </row>
    <row r="659" ht="13.5" customHeight="1">
      <c r="A659" s="138"/>
      <c r="B659" s="139"/>
      <c r="C659" s="138"/>
      <c r="D659" s="138"/>
      <c r="E659" s="140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  <c r="AL659" s="141"/>
      <c r="AM659" s="141"/>
      <c r="AN659" s="141"/>
      <c r="AO659" s="141"/>
      <c r="AP659" s="141"/>
      <c r="AQ659" s="141"/>
      <c r="AR659" s="141"/>
      <c r="AS659" s="141"/>
      <c r="AT659" s="141"/>
      <c r="AU659" s="141"/>
      <c r="AV659" s="141"/>
      <c r="AW659" s="141"/>
      <c r="AX659" s="141"/>
      <c r="AY659" s="141"/>
      <c r="AZ659" s="141"/>
      <c r="BA659" s="141"/>
      <c r="BB659" s="141"/>
      <c r="BC659" s="141"/>
      <c r="BD659" s="141"/>
      <c r="BE659" s="141"/>
      <c r="BF659" s="141"/>
      <c r="BG659" s="141"/>
      <c r="BH659" s="141"/>
      <c r="BI659" s="141"/>
      <c r="BJ659" s="141"/>
      <c r="BK659" s="141"/>
      <c r="BL659" s="141"/>
      <c r="BM659" s="141"/>
      <c r="BN659" s="141"/>
      <c r="BO659" s="141"/>
    </row>
    <row r="660" ht="13.5" customHeight="1">
      <c r="A660" s="138"/>
      <c r="B660" s="139"/>
      <c r="C660" s="138"/>
      <c r="D660" s="138"/>
      <c r="E660" s="140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  <c r="AL660" s="141"/>
      <c r="AM660" s="141"/>
      <c r="AN660" s="141"/>
      <c r="AO660" s="141"/>
      <c r="AP660" s="141"/>
      <c r="AQ660" s="141"/>
      <c r="AR660" s="141"/>
      <c r="AS660" s="141"/>
      <c r="AT660" s="141"/>
      <c r="AU660" s="141"/>
      <c r="AV660" s="141"/>
      <c r="AW660" s="141"/>
      <c r="AX660" s="141"/>
      <c r="AY660" s="141"/>
      <c r="AZ660" s="141"/>
      <c r="BA660" s="141"/>
      <c r="BB660" s="141"/>
      <c r="BC660" s="141"/>
      <c r="BD660" s="141"/>
      <c r="BE660" s="141"/>
      <c r="BF660" s="141"/>
      <c r="BG660" s="141"/>
      <c r="BH660" s="141"/>
      <c r="BI660" s="141"/>
      <c r="BJ660" s="141"/>
      <c r="BK660" s="141"/>
      <c r="BL660" s="141"/>
      <c r="BM660" s="141"/>
      <c r="BN660" s="141"/>
      <c r="BO660" s="141"/>
    </row>
    <row r="661" ht="13.5" customHeight="1">
      <c r="A661" s="138"/>
      <c r="B661" s="139"/>
      <c r="C661" s="138"/>
      <c r="D661" s="138"/>
      <c r="E661" s="140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  <c r="AL661" s="141"/>
      <c r="AM661" s="141"/>
      <c r="AN661" s="141"/>
      <c r="AO661" s="141"/>
      <c r="AP661" s="141"/>
      <c r="AQ661" s="141"/>
      <c r="AR661" s="141"/>
      <c r="AS661" s="141"/>
      <c r="AT661" s="141"/>
      <c r="AU661" s="141"/>
      <c r="AV661" s="141"/>
      <c r="AW661" s="141"/>
      <c r="AX661" s="141"/>
      <c r="AY661" s="141"/>
      <c r="AZ661" s="141"/>
      <c r="BA661" s="141"/>
      <c r="BB661" s="141"/>
      <c r="BC661" s="141"/>
      <c r="BD661" s="141"/>
      <c r="BE661" s="141"/>
      <c r="BF661" s="141"/>
      <c r="BG661" s="141"/>
      <c r="BH661" s="141"/>
      <c r="BI661" s="141"/>
      <c r="BJ661" s="141"/>
      <c r="BK661" s="141"/>
      <c r="BL661" s="141"/>
      <c r="BM661" s="141"/>
      <c r="BN661" s="141"/>
      <c r="BO661" s="141"/>
    </row>
    <row r="662" ht="13.5" customHeight="1">
      <c r="A662" s="138"/>
      <c r="B662" s="139"/>
      <c r="C662" s="138"/>
      <c r="D662" s="138"/>
      <c r="E662" s="140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  <c r="AL662" s="141"/>
      <c r="AM662" s="141"/>
      <c r="AN662" s="141"/>
      <c r="AO662" s="141"/>
      <c r="AP662" s="141"/>
      <c r="AQ662" s="141"/>
      <c r="AR662" s="141"/>
      <c r="AS662" s="141"/>
      <c r="AT662" s="141"/>
      <c r="AU662" s="141"/>
      <c r="AV662" s="141"/>
      <c r="AW662" s="141"/>
      <c r="AX662" s="141"/>
      <c r="AY662" s="141"/>
      <c r="AZ662" s="141"/>
      <c r="BA662" s="141"/>
      <c r="BB662" s="141"/>
      <c r="BC662" s="141"/>
      <c r="BD662" s="141"/>
      <c r="BE662" s="141"/>
      <c r="BF662" s="141"/>
      <c r="BG662" s="141"/>
      <c r="BH662" s="141"/>
      <c r="BI662" s="141"/>
      <c r="BJ662" s="141"/>
      <c r="BK662" s="141"/>
      <c r="BL662" s="141"/>
      <c r="BM662" s="141"/>
      <c r="BN662" s="141"/>
      <c r="BO662" s="141"/>
    </row>
    <row r="663" ht="13.5" customHeight="1">
      <c r="A663" s="138"/>
      <c r="B663" s="139"/>
      <c r="C663" s="138"/>
      <c r="D663" s="138"/>
      <c r="E663" s="140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  <c r="AL663" s="141"/>
      <c r="AM663" s="141"/>
      <c r="AN663" s="141"/>
      <c r="AO663" s="141"/>
      <c r="AP663" s="141"/>
      <c r="AQ663" s="141"/>
      <c r="AR663" s="141"/>
      <c r="AS663" s="141"/>
      <c r="AT663" s="141"/>
      <c r="AU663" s="141"/>
      <c r="AV663" s="141"/>
      <c r="AW663" s="141"/>
      <c r="AX663" s="141"/>
      <c r="AY663" s="141"/>
      <c r="AZ663" s="141"/>
      <c r="BA663" s="141"/>
      <c r="BB663" s="141"/>
      <c r="BC663" s="141"/>
      <c r="BD663" s="141"/>
      <c r="BE663" s="141"/>
      <c r="BF663" s="141"/>
      <c r="BG663" s="141"/>
      <c r="BH663" s="141"/>
      <c r="BI663" s="141"/>
      <c r="BJ663" s="141"/>
      <c r="BK663" s="141"/>
      <c r="BL663" s="141"/>
      <c r="BM663" s="141"/>
      <c r="BN663" s="141"/>
      <c r="BO663" s="141"/>
    </row>
    <row r="664" ht="13.5" customHeight="1">
      <c r="A664" s="138"/>
      <c r="B664" s="139"/>
      <c r="C664" s="138"/>
      <c r="D664" s="138"/>
      <c r="E664" s="140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  <c r="AL664" s="141"/>
      <c r="AM664" s="141"/>
      <c r="AN664" s="141"/>
      <c r="AO664" s="141"/>
      <c r="AP664" s="141"/>
      <c r="AQ664" s="141"/>
      <c r="AR664" s="141"/>
      <c r="AS664" s="141"/>
      <c r="AT664" s="141"/>
      <c r="AU664" s="141"/>
      <c r="AV664" s="141"/>
      <c r="AW664" s="141"/>
      <c r="AX664" s="141"/>
      <c r="AY664" s="141"/>
      <c r="AZ664" s="141"/>
      <c r="BA664" s="141"/>
      <c r="BB664" s="141"/>
      <c r="BC664" s="141"/>
      <c r="BD664" s="141"/>
      <c r="BE664" s="141"/>
      <c r="BF664" s="141"/>
      <c r="BG664" s="141"/>
      <c r="BH664" s="141"/>
      <c r="BI664" s="141"/>
      <c r="BJ664" s="141"/>
      <c r="BK664" s="141"/>
      <c r="BL664" s="141"/>
      <c r="BM664" s="141"/>
      <c r="BN664" s="141"/>
      <c r="BO664" s="141"/>
    </row>
    <row r="665" ht="13.5" customHeight="1">
      <c r="A665" s="138"/>
      <c r="B665" s="139"/>
      <c r="C665" s="138"/>
      <c r="D665" s="138"/>
      <c r="E665" s="140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  <c r="AL665" s="141"/>
      <c r="AM665" s="141"/>
      <c r="AN665" s="141"/>
      <c r="AO665" s="141"/>
      <c r="AP665" s="141"/>
      <c r="AQ665" s="141"/>
      <c r="AR665" s="141"/>
      <c r="AS665" s="141"/>
      <c r="AT665" s="141"/>
      <c r="AU665" s="141"/>
      <c r="AV665" s="141"/>
      <c r="AW665" s="141"/>
      <c r="AX665" s="141"/>
      <c r="AY665" s="141"/>
      <c r="AZ665" s="141"/>
      <c r="BA665" s="141"/>
      <c r="BB665" s="141"/>
      <c r="BC665" s="141"/>
      <c r="BD665" s="141"/>
      <c r="BE665" s="141"/>
      <c r="BF665" s="141"/>
      <c r="BG665" s="141"/>
      <c r="BH665" s="141"/>
      <c r="BI665" s="141"/>
      <c r="BJ665" s="141"/>
      <c r="BK665" s="141"/>
      <c r="BL665" s="141"/>
      <c r="BM665" s="141"/>
      <c r="BN665" s="141"/>
      <c r="BO665" s="141"/>
    </row>
    <row r="666" ht="13.5" customHeight="1">
      <c r="A666" s="138"/>
      <c r="B666" s="139"/>
      <c r="C666" s="138"/>
      <c r="D666" s="138"/>
      <c r="E666" s="140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  <c r="AL666" s="141"/>
      <c r="AM666" s="141"/>
      <c r="AN666" s="141"/>
      <c r="AO666" s="141"/>
      <c r="AP666" s="141"/>
      <c r="AQ666" s="141"/>
      <c r="AR666" s="141"/>
      <c r="AS666" s="141"/>
      <c r="AT666" s="141"/>
      <c r="AU666" s="141"/>
      <c r="AV666" s="141"/>
      <c r="AW666" s="141"/>
      <c r="AX666" s="141"/>
      <c r="AY666" s="141"/>
      <c r="AZ666" s="141"/>
      <c r="BA666" s="141"/>
      <c r="BB666" s="141"/>
      <c r="BC666" s="141"/>
      <c r="BD666" s="141"/>
      <c r="BE666" s="141"/>
      <c r="BF666" s="141"/>
      <c r="BG666" s="141"/>
      <c r="BH666" s="141"/>
      <c r="BI666" s="141"/>
      <c r="BJ666" s="141"/>
      <c r="BK666" s="141"/>
      <c r="BL666" s="141"/>
      <c r="BM666" s="141"/>
      <c r="BN666" s="141"/>
      <c r="BO666" s="141"/>
    </row>
    <row r="667" ht="13.5" customHeight="1">
      <c r="A667" s="138"/>
      <c r="B667" s="139"/>
      <c r="C667" s="138"/>
      <c r="D667" s="138"/>
      <c r="E667" s="140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  <c r="AL667" s="141"/>
      <c r="AM667" s="141"/>
      <c r="AN667" s="141"/>
      <c r="AO667" s="141"/>
      <c r="AP667" s="141"/>
      <c r="AQ667" s="141"/>
      <c r="AR667" s="141"/>
      <c r="AS667" s="141"/>
      <c r="AT667" s="141"/>
      <c r="AU667" s="141"/>
      <c r="AV667" s="141"/>
      <c r="AW667" s="141"/>
      <c r="AX667" s="141"/>
      <c r="AY667" s="141"/>
      <c r="AZ667" s="141"/>
      <c r="BA667" s="141"/>
      <c r="BB667" s="141"/>
      <c r="BC667" s="141"/>
      <c r="BD667" s="141"/>
      <c r="BE667" s="141"/>
      <c r="BF667" s="141"/>
      <c r="BG667" s="141"/>
      <c r="BH667" s="141"/>
      <c r="BI667" s="141"/>
      <c r="BJ667" s="141"/>
      <c r="BK667" s="141"/>
      <c r="BL667" s="141"/>
      <c r="BM667" s="141"/>
      <c r="BN667" s="141"/>
      <c r="BO667" s="141"/>
    </row>
    <row r="668" ht="13.5" customHeight="1">
      <c r="A668" s="138"/>
      <c r="B668" s="139"/>
      <c r="C668" s="138"/>
      <c r="D668" s="138"/>
      <c r="E668" s="140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  <c r="AL668" s="141"/>
      <c r="AM668" s="141"/>
      <c r="AN668" s="141"/>
      <c r="AO668" s="141"/>
      <c r="AP668" s="141"/>
      <c r="AQ668" s="141"/>
      <c r="AR668" s="141"/>
      <c r="AS668" s="141"/>
      <c r="AT668" s="141"/>
      <c r="AU668" s="141"/>
      <c r="AV668" s="141"/>
      <c r="AW668" s="141"/>
      <c r="AX668" s="141"/>
      <c r="AY668" s="141"/>
      <c r="AZ668" s="141"/>
      <c r="BA668" s="141"/>
      <c r="BB668" s="141"/>
      <c r="BC668" s="141"/>
      <c r="BD668" s="141"/>
      <c r="BE668" s="141"/>
      <c r="BF668" s="141"/>
      <c r="BG668" s="141"/>
      <c r="BH668" s="141"/>
      <c r="BI668" s="141"/>
      <c r="BJ668" s="141"/>
      <c r="BK668" s="141"/>
      <c r="BL668" s="141"/>
      <c r="BM668" s="141"/>
      <c r="BN668" s="141"/>
      <c r="BO668" s="141"/>
    </row>
    <row r="669" ht="13.5" customHeight="1">
      <c r="A669" s="138"/>
      <c r="B669" s="139"/>
      <c r="C669" s="138"/>
      <c r="D669" s="138"/>
      <c r="E669" s="140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  <c r="AL669" s="141"/>
      <c r="AM669" s="141"/>
      <c r="AN669" s="141"/>
      <c r="AO669" s="141"/>
      <c r="AP669" s="141"/>
      <c r="AQ669" s="141"/>
      <c r="AR669" s="141"/>
      <c r="AS669" s="141"/>
      <c r="AT669" s="141"/>
      <c r="AU669" s="141"/>
      <c r="AV669" s="141"/>
      <c r="AW669" s="141"/>
      <c r="AX669" s="141"/>
      <c r="AY669" s="141"/>
      <c r="AZ669" s="141"/>
      <c r="BA669" s="141"/>
      <c r="BB669" s="141"/>
      <c r="BC669" s="141"/>
      <c r="BD669" s="141"/>
      <c r="BE669" s="141"/>
      <c r="BF669" s="141"/>
      <c r="BG669" s="141"/>
      <c r="BH669" s="141"/>
      <c r="BI669" s="141"/>
      <c r="BJ669" s="141"/>
      <c r="BK669" s="141"/>
      <c r="BL669" s="141"/>
      <c r="BM669" s="141"/>
      <c r="BN669" s="141"/>
      <c r="BO669" s="141"/>
    </row>
    <row r="670" ht="13.5" customHeight="1">
      <c r="A670" s="138"/>
      <c r="B670" s="139"/>
      <c r="C670" s="138"/>
      <c r="D670" s="138"/>
      <c r="E670" s="140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  <c r="AL670" s="141"/>
      <c r="AM670" s="141"/>
      <c r="AN670" s="141"/>
      <c r="AO670" s="141"/>
      <c r="AP670" s="141"/>
      <c r="AQ670" s="141"/>
      <c r="AR670" s="141"/>
      <c r="AS670" s="141"/>
      <c r="AT670" s="141"/>
      <c r="AU670" s="141"/>
      <c r="AV670" s="141"/>
      <c r="AW670" s="141"/>
      <c r="AX670" s="141"/>
      <c r="AY670" s="141"/>
      <c r="AZ670" s="141"/>
      <c r="BA670" s="141"/>
      <c r="BB670" s="141"/>
      <c r="BC670" s="141"/>
      <c r="BD670" s="141"/>
      <c r="BE670" s="141"/>
      <c r="BF670" s="141"/>
      <c r="BG670" s="141"/>
      <c r="BH670" s="141"/>
      <c r="BI670" s="141"/>
      <c r="BJ670" s="141"/>
      <c r="BK670" s="141"/>
      <c r="BL670" s="141"/>
      <c r="BM670" s="141"/>
      <c r="BN670" s="141"/>
      <c r="BO670" s="141"/>
    </row>
    <row r="671" ht="13.5" customHeight="1">
      <c r="A671" s="138"/>
      <c r="B671" s="139"/>
      <c r="C671" s="138"/>
      <c r="D671" s="138"/>
      <c r="E671" s="140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  <c r="AL671" s="141"/>
      <c r="AM671" s="141"/>
      <c r="AN671" s="141"/>
      <c r="AO671" s="141"/>
      <c r="AP671" s="141"/>
      <c r="AQ671" s="141"/>
      <c r="AR671" s="141"/>
      <c r="AS671" s="141"/>
      <c r="AT671" s="141"/>
      <c r="AU671" s="141"/>
      <c r="AV671" s="141"/>
      <c r="AW671" s="141"/>
      <c r="AX671" s="141"/>
      <c r="AY671" s="141"/>
      <c r="AZ671" s="141"/>
      <c r="BA671" s="141"/>
      <c r="BB671" s="141"/>
      <c r="BC671" s="141"/>
      <c r="BD671" s="141"/>
      <c r="BE671" s="141"/>
      <c r="BF671" s="141"/>
      <c r="BG671" s="141"/>
      <c r="BH671" s="141"/>
      <c r="BI671" s="141"/>
      <c r="BJ671" s="141"/>
      <c r="BK671" s="141"/>
      <c r="BL671" s="141"/>
      <c r="BM671" s="141"/>
      <c r="BN671" s="141"/>
      <c r="BO671" s="141"/>
    </row>
    <row r="672" ht="13.5" customHeight="1">
      <c r="A672" s="138"/>
      <c r="B672" s="139"/>
      <c r="C672" s="138"/>
      <c r="D672" s="138"/>
      <c r="E672" s="140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  <c r="AL672" s="141"/>
      <c r="AM672" s="141"/>
      <c r="AN672" s="141"/>
      <c r="AO672" s="141"/>
      <c r="AP672" s="141"/>
      <c r="AQ672" s="141"/>
      <c r="AR672" s="141"/>
      <c r="AS672" s="141"/>
      <c r="AT672" s="141"/>
      <c r="AU672" s="141"/>
      <c r="AV672" s="141"/>
      <c r="AW672" s="141"/>
      <c r="AX672" s="141"/>
      <c r="AY672" s="141"/>
      <c r="AZ672" s="141"/>
      <c r="BA672" s="141"/>
      <c r="BB672" s="141"/>
      <c r="BC672" s="141"/>
      <c r="BD672" s="141"/>
      <c r="BE672" s="141"/>
      <c r="BF672" s="141"/>
      <c r="BG672" s="141"/>
      <c r="BH672" s="141"/>
      <c r="BI672" s="141"/>
      <c r="BJ672" s="141"/>
      <c r="BK672" s="141"/>
      <c r="BL672" s="141"/>
      <c r="BM672" s="141"/>
      <c r="BN672" s="141"/>
      <c r="BO672" s="141"/>
    </row>
    <row r="673" ht="13.5" customHeight="1">
      <c r="A673" s="138"/>
      <c r="B673" s="139"/>
      <c r="C673" s="138"/>
      <c r="D673" s="138"/>
      <c r="E673" s="140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  <c r="AL673" s="141"/>
      <c r="AM673" s="141"/>
      <c r="AN673" s="141"/>
      <c r="AO673" s="141"/>
      <c r="AP673" s="141"/>
      <c r="AQ673" s="141"/>
      <c r="AR673" s="141"/>
      <c r="AS673" s="141"/>
      <c r="AT673" s="141"/>
      <c r="AU673" s="141"/>
      <c r="AV673" s="141"/>
      <c r="AW673" s="141"/>
      <c r="AX673" s="141"/>
      <c r="AY673" s="141"/>
      <c r="AZ673" s="141"/>
      <c r="BA673" s="141"/>
      <c r="BB673" s="141"/>
      <c r="BC673" s="141"/>
      <c r="BD673" s="141"/>
      <c r="BE673" s="141"/>
      <c r="BF673" s="141"/>
      <c r="BG673" s="141"/>
      <c r="BH673" s="141"/>
      <c r="BI673" s="141"/>
      <c r="BJ673" s="141"/>
      <c r="BK673" s="141"/>
      <c r="BL673" s="141"/>
      <c r="BM673" s="141"/>
      <c r="BN673" s="141"/>
      <c r="BO673" s="141"/>
    </row>
    <row r="674" ht="13.5" customHeight="1">
      <c r="A674" s="138"/>
      <c r="B674" s="139"/>
      <c r="C674" s="138"/>
      <c r="D674" s="138"/>
      <c r="E674" s="140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  <c r="AL674" s="141"/>
      <c r="AM674" s="141"/>
      <c r="AN674" s="141"/>
      <c r="AO674" s="141"/>
      <c r="AP674" s="141"/>
      <c r="AQ674" s="141"/>
      <c r="AR674" s="141"/>
      <c r="AS674" s="141"/>
      <c r="AT674" s="141"/>
      <c r="AU674" s="141"/>
      <c r="AV674" s="141"/>
      <c r="AW674" s="141"/>
      <c r="AX674" s="141"/>
      <c r="AY674" s="141"/>
      <c r="AZ674" s="141"/>
      <c r="BA674" s="141"/>
      <c r="BB674" s="141"/>
      <c r="BC674" s="141"/>
      <c r="BD674" s="141"/>
      <c r="BE674" s="141"/>
      <c r="BF674" s="141"/>
      <c r="BG674" s="141"/>
      <c r="BH674" s="141"/>
      <c r="BI674" s="141"/>
      <c r="BJ674" s="141"/>
      <c r="BK674" s="141"/>
      <c r="BL674" s="141"/>
      <c r="BM674" s="141"/>
      <c r="BN674" s="141"/>
      <c r="BO674" s="141"/>
    </row>
    <row r="675" ht="13.5" customHeight="1">
      <c r="A675" s="138"/>
      <c r="B675" s="139"/>
      <c r="C675" s="138"/>
      <c r="D675" s="138"/>
      <c r="E675" s="140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  <c r="AL675" s="141"/>
      <c r="AM675" s="141"/>
      <c r="AN675" s="141"/>
      <c r="AO675" s="141"/>
      <c r="AP675" s="141"/>
      <c r="AQ675" s="141"/>
      <c r="AR675" s="141"/>
      <c r="AS675" s="141"/>
      <c r="AT675" s="141"/>
      <c r="AU675" s="141"/>
      <c r="AV675" s="141"/>
      <c r="AW675" s="141"/>
      <c r="AX675" s="141"/>
      <c r="AY675" s="141"/>
      <c r="AZ675" s="141"/>
      <c r="BA675" s="141"/>
      <c r="BB675" s="141"/>
      <c r="BC675" s="141"/>
      <c r="BD675" s="141"/>
      <c r="BE675" s="141"/>
      <c r="BF675" s="141"/>
      <c r="BG675" s="141"/>
      <c r="BH675" s="141"/>
      <c r="BI675" s="141"/>
      <c r="BJ675" s="141"/>
      <c r="BK675" s="141"/>
      <c r="BL675" s="141"/>
      <c r="BM675" s="141"/>
      <c r="BN675" s="141"/>
      <c r="BO675" s="141"/>
    </row>
    <row r="676" ht="13.5" customHeight="1">
      <c r="A676" s="138"/>
      <c r="B676" s="139"/>
      <c r="C676" s="138"/>
      <c r="D676" s="138"/>
      <c r="E676" s="140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  <c r="AL676" s="141"/>
      <c r="AM676" s="141"/>
      <c r="AN676" s="141"/>
      <c r="AO676" s="141"/>
      <c r="AP676" s="141"/>
      <c r="AQ676" s="141"/>
      <c r="AR676" s="141"/>
      <c r="AS676" s="141"/>
      <c r="AT676" s="141"/>
      <c r="AU676" s="141"/>
      <c r="AV676" s="141"/>
      <c r="AW676" s="141"/>
      <c r="AX676" s="141"/>
      <c r="AY676" s="141"/>
      <c r="AZ676" s="141"/>
      <c r="BA676" s="141"/>
      <c r="BB676" s="141"/>
      <c r="BC676" s="141"/>
      <c r="BD676" s="141"/>
      <c r="BE676" s="141"/>
      <c r="BF676" s="141"/>
      <c r="BG676" s="141"/>
      <c r="BH676" s="141"/>
      <c r="BI676" s="141"/>
      <c r="BJ676" s="141"/>
      <c r="BK676" s="141"/>
      <c r="BL676" s="141"/>
      <c r="BM676" s="141"/>
      <c r="BN676" s="141"/>
      <c r="BO676" s="141"/>
    </row>
    <row r="677" ht="13.5" customHeight="1">
      <c r="A677" s="138"/>
      <c r="B677" s="139"/>
      <c r="C677" s="138"/>
      <c r="D677" s="138"/>
      <c r="E677" s="140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  <c r="AL677" s="141"/>
      <c r="AM677" s="141"/>
      <c r="AN677" s="141"/>
      <c r="AO677" s="141"/>
      <c r="AP677" s="141"/>
      <c r="AQ677" s="141"/>
      <c r="AR677" s="141"/>
      <c r="AS677" s="141"/>
      <c r="AT677" s="141"/>
      <c r="AU677" s="141"/>
      <c r="AV677" s="141"/>
      <c r="AW677" s="141"/>
      <c r="AX677" s="141"/>
      <c r="AY677" s="141"/>
      <c r="AZ677" s="141"/>
      <c r="BA677" s="141"/>
      <c r="BB677" s="141"/>
      <c r="BC677" s="141"/>
      <c r="BD677" s="141"/>
      <c r="BE677" s="141"/>
      <c r="BF677" s="141"/>
      <c r="BG677" s="141"/>
      <c r="BH677" s="141"/>
      <c r="BI677" s="141"/>
      <c r="BJ677" s="141"/>
      <c r="BK677" s="141"/>
      <c r="BL677" s="141"/>
      <c r="BM677" s="141"/>
      <c r="BN677" s="141"/>
      <c r="BO677" s="141"/>
    </row>
    <row r="678" ht="13.5" customHeight="1">
      <c r="A678" s="138"/>
      <c r="B678" s="139"/>
      <c r="C678" s="138"/>
      <c r="D678" s="138"/>
      <c r="E678" s="140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  <c r="AL678" s="141"/>
      <c r="AM678" s="141"/>
      <c r="AN678" s="141"/>
      <c r="AO678" s="141"/>
      <c r="AP678" s="141"/>
      <c r="AQ678" s="141"/>
      <c r="AR678" s="141"/>
      <c r="AS678" s="141"/>
      <c r="AT678" s="141"/>
      <c r="AU678" s="141"/>
      <c r="AV678" s="141"/>
      <c r="AW678" s="141"/>
      <c r="AX678" s="141"/>
      <c r="AY678" s="141"/>
      <c r="AZ678" s="141"/>
      <c r="BA678" s="141"/>
      <c r="BB678" s="141"/>
      <c r="BC678" s="141"/>
      <c r="BD678" s="141"/>
      <c r="BE678" s="141"/>
      <c r="BF678" s="141"/>
      <c r="BG678" s="141"/>
      <c r="BH678" s="141"/>
      <c r="BI678" s="141"/>
      <c r="BJ678" s="141"/>
      <c r="BK678" s="141"/>
      <c r="BL678" s="141"/>
      <c r="BM678" s="141"/>
      <c r="BN678" s="141"/>
      <c r="BO678" s="141"/>
    </row>
    <row r="679" ht="13.5" customHeight="1">
      <c r="A679" s="138"/>
      <c r="B679" s="139"/>
      <c r="C679" s="138"/>
      <c r="D679" s="138"/>
      <c r="E679" s="140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  <c r="AL679" s="141"/>
      <c r="AM679" s="141"/>
      <c r="AN679" s="141"/>
      <c r="AO679" s="141"/>
      <c r="AP679" s="141"/>
      <c r="AQ679" s="141"/>
      <c r="AR679" s="141"/>
      <c r="AS679" s="141"/>
      <c r="AT679" s="141"/>
      <c r="AU679" s="141"/>
      <c r="AV679" s="141"/>
      <c r="AW679" s="141"/>
      <c r="AX679" s="141"/>
      <c r="AY679" s="141"/>
      <c r="AZ679" s="141"/>
      <c r="BA679" s="141"/>
      <c r="BB679" s="141"/>
      <c r="BC679" s="141"/>
      <c r="BD679" s="141"/>
      <c r="BE679" s="141"/>
      <c r="BF679" s="141"/>
      <c r="BG679" s="141"/>
      <c r="BH679" s="141"/>
      <c r="BI679" s="141"/>
      <c r="BJ679" s="141"/>
      <c r="BK679" s="141"/>
      <c r="BL679" s="141"/>
      <c r="BM679" s="141"/>
      <c r="BN679" s="141"/>
      <c r="BO679" s="141"/>
    </row>
    <row r="680" ht="13.5" customHeight="1">
      <c r="A680" s="138"/>
      <c r="B680" s="139"/>
      <c r="C680" s="138"/>
      <c r="D680" s="138"/>
      <c r="E680" s="140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  <c r="AL680" s="141"/>
      <c r="AM680" s="141"/>
      <c r="AN680" s="141"/>
      <c r="AO680" s="141"/>
      <c r="AP680" s="141"/>
      <c r="AQ680" s="141"/>
      <c r="AR680" s="141"/>
      <c r="AS680" s="141"/>
      <c r="AT680" s="141"/>
      <c r="AU680" s="141"/>
      <c r="AV680" s="141"/>
      <c r="AW680" s="141"/>
      <c r="AX680" s="141"/>
      <c r="AY680" s="141"/>
      <c r="AZ680" s="141"/>
      <c r="BA680" s="141"/>
      <c r="BB680" s="141"/>
      <c r="BC680" s="141"/>
      <c r="BD680" s="141"/>
      <c r="BE680" s="141"/>
      <c r="BF680" s="141"/>
      <c r="BG680" s="141"/>
      <c r="BH680" s="141"/>
      <c r="BI680" s="141"/>
      <c r="BJ680" s="141"/>
      <c r="BK680" s="141"/>
      <c r="BL680" s="141"/>
      <c r="BM680" s="141"/>
      <c r="BN680" s="141"/>
      <c r="BO680" s="141"/>
    </row>
    <row r="681" ht="13.5" customHeight="1">
      <c r="A681" s="138"/>
      <c r="B681" s="139"/>
      <c r="C681" s="138"/>
      <c r="D681" s="138"/>
      <c r="E681" s="140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  <c r="AL681" s="141"/>
      <c r="AM681" s="141"/>
      <c r="AN681" s="141"/>
      <c r="AO681" s="141"/>
      <c r="AP681" s="141"/>
      <c r="AQ681" s="141"/>
      <c r="AR681" s="141"/>
      <c r="AS681" s="141"/>
      <c r="AT681" s="141"/>
      <c r="AU681" s="141"/>
      <c r="AV681" s="141"/>
      <c r="AW681" s="141"/>
      <c r="AX681" s="141"/>
      <c r="AY681" s="141"/>
      <c r="AZ681" s="141"/>
      <c r="BA681" s="141"/>
      <c r="BB681" s="141"/>
      <c r="BC681" s="141"/>
      <c r="BD681" s="141"/>
      <c r="BE681" s="141"/>
      <c r="BF681" s="141"/>
      <c r="BG681" s="141"/>
      <c r="BH681" s="141"/>
      <c r="BI681" s="141"/>
      <c r="BJ681" s="141"/>
      <c r="BK681" s="141"/>
      <c r="BL681" s="141"/>
      <c r="BM681" s="141"/>
      <c r="BN681" s="141"/>
      <c r="BO681" s="141"/>
    </row>
    <row r="682" ht="13.5" customHeight="1">
      <c r="A682" s="138"/>
      <c r="B682" s="139"/>
      <c r="C682" s="138"/>
      <c r="D682" s="138"/>
      <c r="E682" s="140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  <c r="AL682" s="141"/>
      <c r="AM682" s="141"/>
      <c r="AN682" s="141"/>
      <c r="AO682" s="141"/>
      <c r="AP682" s="141"/>
      <c r="AQ682" s="141"/>
      <c r="AR682" s="141"/>
      <c r="AS682" s="141"/>
      <c r="AT682" s="141"/>
      <c r="AU682" s="141"/>
      <c r="AV682" s="141"/>
      <c r="AW682" s="141"/>
      <c r="AX682" s="141"/>
      <c r="AY682" s="141"/>
      <c r="AZ682" s="141"/>
      <c r="BA682" s="141"/>
      <c r="BB682" s="141"/>
      <c r="BC682" s="141"/>
      <c r="BD682" s="141"/>
      <c r="BE682" s="141"/>
      <c r="BF682" s="141"/>
      <c r="BG682" s="141"/>
      <c r="BH682" s="141"/>
      <c r="BI682" s="141"/>
      <c r="BJ682" s="141"/>
      <c r="BK682" s="141"/>
      <c r="BL682" s="141"/>
      <c r="BM682" s="141"/>
      <c r="BN682" s="141"/>
      <c r="BO682" s="141"/>
    </row>
    <row r="683" ht="13.5" customHeight="1">
      <c r="A683" s="138"/>
      <c r="B683" s="139"/>
      <c r="C683" s="138"/>
      <c r="D683" s="138"/>
      <c r="E683" s="140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  <c r="AL683" s="141"/>
      <c r="AM683" s="141"/>
      <c r="AN683" s="141"/>
      <c r="AO683" s="141"/>
      <c r="AP683" s="141"/>
      <c r="AQ683" s="141"/>
      <c r="AR683" s="141"/>
      <c r="AS683" s="141"/>
      <c r="AT683" s="141"/>
      <c r="AU683" s="141"/>
      <c r="AV683" s="141"/>
      <c r="AW683" s="141"/>
      <c r="AX683" s="141"/>
      <c r="AY683" s="141"/>
      <c r="AZ683" s="141"/>
      <c r="BA683" s="141"/>
      <c r="BB683" s="141"/>
      <c r="BC683" s="141"/>
      <c r="BD683" s="141"/>
      <c r="BE683" s="141"/>
      <c r="BF683" s="141"/>
      <c r="BG683" s="141"/>
      <c r="BH683" s="141"/>
      <c r="BI683" s="141"/>
      <c r="BJ683" s="141"/>
      <c r="BK683" s="141"/>
      <c r="BL683" s="141"/>
      <c r="BM683" s="141"/>
      <c r="BN683" s="141"/>
      <c r="BO683" s="141"/>
    </row>
    <row r="684" ht="13.5" customHeight="1">
      <c r="A684" s="138"/>
      <c r="B684" s="139"/>
      <c r="C684" s="138"/>
      <c r="D684" s="138"/>
      <c r="E684" s="140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  <c r="AL684" s="141"/>
      <c r="AM684" s="141"/>
      <c r="AN684" s="141"/>
      <c r="AO684" s="141"/>
      <c r="AP684" s="141"/>
      <c r="AQ684" s="141"/>
      <c r="AR684" s="141"/>
      <c r="AS684" s="141"/>
      <c r="AT684" s="141"/>
      <c r="AU684" s="141"/>
      <c r="AV684" s="141"/>
      <c r="AW684" s="141"/>
      <c r="AX684" s="141"/>
      <c r="AY684" s="141"/>
      <c r="AZ684" s="141"/>
      <c r="BA684" s="141"/>
      <c r="BB684" s="141"/>
      <c r="BC684" s="141"/>
      <c r="BD684" s="141"/>
      <c r="BE684" s="141"/>
      <c r="BF684" s="141"/>
      <c r="BG684" s="141"/>
      <c r="BH684" s="141"/>
      <c r="BI684" s="141"/>
      <c r="BJ684" s="141"/>
      <c r="BK684" s="141"/>
      <c r="BL684" s="141"/>
      <c r="BM684" s="141"/>
      <c r="BN684" s="141"/>
      <c r="BO684" s="141"/>
    </row>
    <row r="685" ht="13.5" customHeight="1">
      <c r="A685" s="138"/>
      <c r="B685" s="139"/>
      <c r="C685" s="138"/>
      <c r="D685" s="138"/>
      <c r="E685" s="140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  <c r="AL685" s="141"/>
      <c r="AM685" s="141"/>
      <c r="AN685" s="141"/>
      <c r="AO685" s="141"/>
      <c r="AP685" s="141"/>
      <c r="AQ685" s="141"/>
      <c r="AR685" s="141"/>
      <c r="AS685" s="141"/>
      <c r="AT685" s="141"/>
      <c r="AU685" s="141"/>
      <c r="AV685" s="141"/>
      <c r="AW685" s="141"/>
      <c r="AX685" s="141"/>
      <c r="AY685" s="141"/>
      <c r="AZ685" s="141"/>
      <c r="BA685" s="141"/>
      <c r="BB685" s="141"/>
      <c r="BC685" s="141"/>
      <c r="BD685" s="141"/>
      <c r="BE685" s="141"/>
      <c r="BF685" s="141"/>
      <c r="BG685" s="141"/>
      <c r="BH685" s="141"/>
      <c r="BI685" s="141"/>
      <c r="BJ685" s="141"/>
      <c r="BK685" s="141"/>
      <c r="BL685" s="141"/>
      <c r="BM685" s="141"/>
      <c r="BN685" s="141"/>
      <c r="BO685" s="141"/>
    </row>
    <row r="686" ht="13.5" customHeight="1">
      <c r="A686" s="138"/>
      <c r="B686" s="139"/>
      <c r="C686" s="138"/>
      <c r="D686" s="138"/>
      <c r="E686" s="140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  <c r="AL686" s="141"/>
      <c r="AM686" s="141"/>
      <c r="AN686" s="141"/>
      <c r="AO686" s="141"/>
      <c r="AP686" s="141"/>
      <c r="AQ686" s="141"/>
      <c r="AR686" s="141"/>
      <c r="AS686" s="141"/>
      <c r="AT686" s="141"/>
      <c r="AU686" s="141"/>
      <c r="AV686" s="141"/>
      <c r="AW686" s="141"/>
      <c r="AX686" s="141"/>
      <c r="AY686" s="141"/>
      <c r="AZ686" s="141"/>
      <c r="BA686" s="141"/>
      <c r="BB686" s="141"/>
      <c r="BC686" s="141"/>
      <c r="BD686" s="141"/>
      <c r="BE686" s="141"/>
      <c r="BF686" s="141"/>
      <c r="BG686" s="141"/>
      <c r="BH686" s="141"/>
      <c r="BI686" s="141"/>
      <c r="BJ686" s="141"/>
      <c r="BK686" s="141"/>
      <c r="BL686" s="141"/>
      <c r="BM686" s="141"/>
      <c r="BN686" s="141"/>
      <c r="BO686" s="141"/>
    </row>
    <row r="687" ht="13.5" customHeight="1">
      <c r="A687" s="138"/>
      <c r="B687" s="139"/>
      <c r="C687" s="138"/>
      <c r="D687" s="138"/>
      <c r="E687" s="140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  <c r="AL687" s="141"/>
      <c r="AM687" s="141"/>
      <c r="AN687" s="141"/>
      <c r="AO687" s="141"/>
      <c r="AP687" s="141"/>
      <c r="AQ687" s="141"/>
      <c r="AR687" s="141"/>
      <c r="AS687" s="141"/>
      <c r="AT687" s="141"/>
      <c r="AU687" s="141"/>
      <c r="AV687" s="141"/>
      <c r="AW687" s="141"/>
      <c r="AX687" s="141"/>
      <c r="AY687" s="141"/>
      <c r="AZ687" s="141"/>
      <c r="BA687" s="141"/>
      <c r="BB687" s="141"/>
      <c r="BC687" s="141"/>
      <c r="BD687" s="141"/>
      <c r="BE687" s="141"/>
      <c r="BF687" s="141"/>
      <c r="BG687" s="141"/>
      <c r="BH687" s="141"/>
      <c r="BI687" s="141"/>
      <c r="BJ687" s="141"/>
      <c r="BK687" s="141"/>
      <c r="BL687" s="141"/>
      <c r="BM687" s="141"/>
      <c r="BN687" s="141"/>
      <c r="BO687" s="141"/>
    </row>
    <row r="688" ht="13.5" customHeight="1">
      <c r="A688" s="138"/>
      <c r="B688" s="139"/>
      <c r="C688" s="138"/>
      <c r="D688" s="138"/>
      <c r="E688" s="140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  <c r="AL688" s="141"/>
      <c r="AM688" s="141"/>
      <c r="AN688" s="141"/>
      <c r="AO688" s="141"/>
      <c r="AP688" s="141"/>
      <c r="AQ688" s="141"/>
      <c r="AR688" s="141"/>
      <c r="AS688" s="141"/>
      <c r="AT688" s="141"/>
      <c r="AU688" s="141"/>
      <c r="AV688" s="141"/>
      <c r="AW688" s="141"/>
      <c r="AX688" s="141"/>
      <c r="AY688" s="141"/>
      <c r="AZ688" s="141"/>
      <c r="BA688" s="141"/>
      <c r="BB688" s="141"/>
      <c r="BC688" s="141"/>
      <c r="BD688" s="141"/>
      <c r="BE688" s="141"/>
      <c r="BF688" s="141"/>
      <c r="BG688" s="141"/>
      <c r="BH688" s="141"/>
      <c r="BI688" s="141"/>
      <c r="BJ688" s="141"/>
      <c r="BK688" s="141"/>
      <c r="BL688" s="141"/>
      <c r="BM688" s="141"/>
      <c r="BN688" s="141"/>
      <c r="BO688" s="141"/>
    </row>
    <row r="689" ht="13.5" customHeight="1">
      <c r="A689" s="138"/>
      <c r="B689" s="139"/>
      <c r="C689" s="138"/>
      <c r="D689" s="138"/>
      <c r="E689" s="140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1"/>
      <c r="AM689" s="141"/>
      <c r="AN689" s="141"/>
      <c r="AO689" s="141"/>
      <c r="AP689" s="141"/>
      <c r="AQ689" s="141"/>
      <c r="AR689" s="141"/>
      <c r="AS689" s="141"/>
      <c r="AT689" s="141"/>
      <c r="AU689" s="141"/>
      <c r="AV689" s="141"/>
      <c r="AW689" s="141"/>
      <c r="AX689" s="141"/>
      <c r="AY689" s="141"/>
      <c r="AZ689" s="141"/>
      <c r="BA689" s="141"/>
      <c r="BB689" s="141"/>
      <c r="BC689" s="141"/>
      <c r="BD689" s="141"/>
      <c r="BE689" s="141"/>
      <c r="BF689" s="141"/>
      <c r="BG689" s="141"/>
      <c r="BH689" s="141"/>
      <c r="BI689" s="141"/>
      <c r="BJ689" s="141"/>
      <c r="BK689" s="141"/>
      <c r="BL689" s="141"/>
      <c r="BM689" s="141"/>
      <c r="BN689" s="141"/>
      <c r="BO689" s="141"/>
    </row>
    <row r="690" ht="13.5" customHeight="1">
      <c r="A690" s="138"/>
      <c r="B690" s="139"/>
      <c r="C690" s="138"/>
      <c r="D690" s="138"/>
      <c r="E690" s="140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  <c r="AL690" s="141"/>
      <c r="AM690" s="141"/>
      <c r="AN690" s="141"/>
      <c r="AO690" s="141"/>
      <c r="AP690" s="141"/>
      <c r="AQ690" s="141"/>
      <c r="AR690" s="141"/>
      <c r="AS690" s="141"/>
      <c r="AT690" s="141"/>
      <c r="AU690" s="141"/>
      <c r="AV690" s="141"/>
      <c r="AW690" s="141"/>
      <c r="AX690" s="141"/>
      <c r="AY690" s="141"/>
      <c r="AZ690" s="141"/>
      <c r="BA690" s="141"/>
      <c r="BB690" s="141"/>
      <c r="BC690" s="141"/>
      <c r="BD690" s="141"/>
      <c r="BE690" s="141"/>
      <c r="BF690" s="141"/>
      <c r="BG690" s="141"/>
      <c r="BH690" s="141"/>
      <c r="BI690" s="141"/>
      <c r="BJ690" s="141"/>
      <c r="BK690" s="141"/>
      <c r="BL690" s="141"/>
      <c r="BM690" s="141"/>
      <c r="BN690" s="141"/>
      <c r="BO690" s="141"/>
    </row>
    <row r="691" ht="13.5" customHeight="1">
      <c r="A691" s="138"/>
      <c r="B691" s="139"/>
      <c r="C691" s="138"/>
      <c r="D691" s="138"/>
      <c r="E691" s="140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1"/>
      <c r="AM691" s="141"/>
      <c r="AN691" s="141"/>
      <c r="AO691" s="141"/>
      <c r="AP691" s="141"/>
      <c r="AQ691" s="141"/>
      <c r="AR691" s="141"/>
      <c r="AS691" s="141"/>
      <c r="AT691" s="141"/>
      <c r="AU691" s="141"/>
      <c r="AV691" s="141"/>
      <c r="AW691" s="141"/>
      <c r="AX691" s="141"/>
      <c r="AY691" s="141"/>
      <c r="AZ691" s="141"/>
      <c r="BA691" s="141"/>
      <c r="BB691" s="141"/>
      <c r="BC691" s="141"/>
      <c r="BD691" s="141"/>
      <c r="BE691" s="141"/>
      <c r="BF691" s="141"/>
      <c r="BG691" s="141"/>
      <c r="BH691" s="141"/>
      <c r="BI691" s="141"/>
      <c r="BJ691" s="141"/>
      <c r="BK691" s="141"/>
      <c r="BL691" s="141"/>
      <c r="BM691" s="141"/>
      <c r="BN691" s="141"/>
      <c r="BO691" s="141"/>
    </row>
    <row r="692" ht="13.5" customHeight="1">
      <c r="A692" s="138"/>
      <c r="B692" s="139"/>
      <c r="C692" s="138"/>
      <c r="D692" s="138"/>
      <c r="E692" s="140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  <c r="AL692" s="141"/>
      <c r="AM692" s="141"/>
      <c r="AN692" s="141"/>
      <c r="AO692" s="141"/>
      <c r="AP692" s="141"/>
      <c r="AQ692" s="141"/>
      <c r="AR692" s="141"/>
      <c r="AS692" s="141"/>
      <c r="AT692" s="141"/>
      <c r="AU692" s="141"/>
      <c r="AV692" s="141"/>
      <c r="AW692" s="141"/>
      <c r="AX692" s="141"/>
      <c r="AY692" s="141"/>
      <c r="AZ692" s="141"/>
      <c r="BA692" s="141"/>
      <c r="BB692" s="141"/>
      <c r="BC692" s="141"/>
      <c r="BD692" s="141"/>
      <c r="BE692" s="141"/>
      <c r="BF692" s="141"/>
      <c r="BG692" s="141"/>
      <c r="BH692" s="141"/>
      <c r="BI692" s="141"/>
      <c r="BJ692" s="141"/>
      <c r="BK692" s="141"/>
      <c r="BL692" s="141"/>
      <c r="BM692" s="141"/>
      <c r="BN692" s="141"/>
      <c r="BO692" s="141"/>
    </row>
    <row r="693" ht="13.5" customHeight="1">
      <c r="A693" s="138"/>
      <c r="B693" s="139"/>
      <c r="C693" s="138"/>
      <c r="D693" s="138"/>
      <c r="E693" s="140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  <c r="AL693" s="141"/>
      <c r="AM693" s="141"/>
      <c r="AN693" s="141"/>
      <c r="AO693" s="141"/>
      <c r="AP693" s="141"/>
      <c r="AQ693" s="141"/>
      <c r="AR693" s="141"/>
      <c r="AS693" s="141"/>
      <c r="AT693" s="141"/>
      <c r="AU693" s="141"/>
      <c r="AV693" s="141"/>
      <c r="AW693" s="141"/>
      <c r="AX693" s="141"/>
      <c r="AY693" s="141"/>
      <c r="AZ693" s="141"/>
      <c r="BA693" s="141"/>
      <c r="BB693" s="141"/>
      <c r="BC693" s="141"/>
      <c r="BD693" s="141"/>
      <c r="BE693" s="141"/>
      <c r="BF693" s="141"/>
      <c r="BG693" s="141"/>
      <c r="BH693" s="141"/>
      <c r="BI693" s="141"/>
      <c r="BJ693" s="141"/>
      <c r="BK693" s="141"/>
      <c r="BL693" s="141"/>
      <c r="BM693" s="141"/>
      <c r="BN693" s="141"/>
      <c r="BO693" s="141"/>
    </row>
    <row r="694" ht="13.5" customHeight="1">
      <c r="A694" s="138"/>
      <c r="B694" s="139"/>
      <c r="C694" s="138"/>
      <c r="D694" s="138"/>
      <c r="E694" s="140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  <c r="AL694" s="141"/>
      <c r="AM694" s="141"/>
      <c r="AN694" s="141"/>
      <c r="AO694" s="141"/>
      <c r="AP694" s="141"/>
      <c r="AQ694" s="141"/>
      <c r="AR694" s="141"/>
      <c r="AS694" s="141"/>
      <c r="AT694" s="141"/>
      <c r="AU694" s="141"/>
      <c r="AV694" s="141"/>
      <c r="AW694" s="141"/>
      <c r="AX694" s="141"/>
      <c r="AY694" s="141"/>
      <c r="AZ694" s="141"/>
      <c r="BA694" s="141"/>
      <c r="BB694" s="141"/>
      <c r="BC694" s="141"/>
      <c r="BD694" s="141"/>
      <c r="BE694" s="141"/>
      <c r="BF694" s="141"/>
      <c r="BG694" s="141"/>
      <c r="BH694" s="141"/>
      <c r="BI694" s="141"/>
      <c r="BJ694" s="141"/>
      <c r="BK694" s="141"/>
      <c r="BL694" s="141"/>
      <c r="BM694" s="141"/>
      <c r="BN694" s="141"/>
      <c r="BO694" s="141"/>
    </row>
    <row r="695" ht="13.5" customHeight="1">
      <c r="A695" s="138"/>
      <c r="B695" s="139"/>
      <c r="C695" s="138"/>
      <c r="D695" s="138"/>
      <c r="E695" s="140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  <c r="AL695" s="141"/>
      <c r="AM695" s="141"/>
      <c r="AN695" s="141"/>
      <c r="AO695" s="141"/>
      <c r="AP695" s="141"/>
      <c r="AQ695" s="141"/>
      <c r="AR695" s="141"/>
      <c r="AS695" s="141"/>
      <c r="AT695" s="141"/>
      <c r="AU695" s="141"/>
      <c r="AV695" s="141"/>
      <c r="AW695" s="141"/>
      <c r="AX695" s="141"/>
      <c r="AY695" s="141"/>
      <c r="AZ695" s="141"/>
      <c r="BA695" s="141"/>
      <c r="BB695" s="141"/>
      <c r="BC695" s="141"/>
      <c r="BD695" s="141"/>
      <c r="BE695" s="141"/>
      <c r="BF695" s="141"/>
      <c r="BG695" s="141"/>
      <c r="BH695" s="141"/>
      <c r="BI695" s="141"/>
      <c r="BJ695" s="141"/>
      <c r="BK695" s="141"/>
      <c r="BL695" s="141"/>
      <c r="BM695" s="141"/>
      <c r="BN695" s="141"/>
      <c r="BO695" s="141"/>
    </row>
    <row r="696" ht="13.5" customHeight="1">
      <c r="A696" s="138"/>
      <c r="B696" s="139"/>
      <c r="C696" s="138"/>
      <c r="D696" s="138"/>
      <c r="E696" s="140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  <c r="AL696" s="141"/>
      <c r="AM696" s="141"/>
      <c r="AN696" s="141"/>
      <c r="AO696" s="141"/>
      <c r="AP696" s="141"/>
      <c r="AQ696" s="141"/>
      <c r="AR696" s="141"/>
      <c r="AS696" s="141"/>
      <c r="AT696" s="141"/>
      <c r="AU696" s="141"/>
      <c r="AV696" s="141"/>
      <c r="AW696" s="141"/>
      <c r="AX696" s="141"/>
      <c r="AY696" s="141"/>
      <c r="AZ696" s="141"/>
      <c r="BA696" s="141"/>
      <c r="BB696" s="141"/>
      <c r="BC696" s="141"/>
      <c r="BD696" s="141"/>
      <c r="BE696" s="141"/>
      <c r="BF696" s="141"/>
      <c r="BG696" s="141"/>
      <c r="BH696" s="141"/>
      <c r="BI696" s="141"/>
      <c r="BJ696" s="141"/>
      <c r="BK696" s="141"/>
      <c r="BL696" s="141"/>
      <c r="BM696" s="141"/>
      <c r="BN696" s="141"/>
      <c r="BO696" s="141"/>
    </row>
    <row r="697" ht="13.5" customHeight="1">
      <c r="A697" s="138"/>
      <c r="B697" s="139"/>
      <c r="C697" s="138"/>
      <c r="D697" s="138"/>
      <c r="E697" s="140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1"/>
      <c r="AM697" s="141"/>
      <c r="AN697" s="141"/>
      <c r="AO697" s="141"/>
      <c r="AP697" s="141"/>
      <c r="AQ697" s="141"/>
      <c r="AR697" s="141"/>
      <c r="AS697" s="141"/>
      <c r="AT697" s="141"/>
      <c r="AU697" s="141"/>
      <c r="AV697" s="141"/>
      <c r="AW697" s="141"/>
      <c r="AX697" s="141"/>
      <c r="AY697" s="141"/>
      <c r="AZ697" s="141"/>
      <c r="BA697" s="141"/>
      <c r="BB697" s="141"/>
      <c r="BC697" s="141"/>
      <c r="BD697" s="141"/>
      <c r="BE697" s="141"/>
      <c r="BF697" s="141"/>
      <c r="BG697" s="141"/>
      <c r="BH697" s="141"/>
      <c r="BI697" s="141"/>
      <c r="BJ697" s="141"/>
      <c r="BK697" s="141"/>
      <c r="BL697" s="141"/>
      <c r="BM697" s="141"/>
      <c r="BN697" s="141"/>
      <c r="BO697" s="141"/>
    </row>
    <row r="698" ht="13.5" customHeight="1">
      <c r="A698" s="138"/>
      <c r="B698" s="139"/>
      <c r="C698" s="138"/>
      <c r="D698" s="138"/>
      <c r="E698" s="140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  <c r="AL698" s="141"/>
      <c r="AM698" s="141"/>
      <c r="AN698" s="141"/>
      <c r="AO698" s="141"/>
      <c r="AP698" s="141"/>
      <c r="AQ698" s="141"/>
      <c r="AR698" s="141"/>
      <c r="AS698" s="141"/>
      <c r="AT698" s="141"/>
      <c r="AU698" s="141"/>
      <c r="AV698" s="141"/>
      <c r="AW698" s="141"/>
      <c r="AX698" s="141"/>
      <c r="AY698" s="141"/>
      <c r="AZ698" s="141"/>
      <c r="BA698" s="141"/>
      <c r="BB698" s="141"/>
      <c r="BC698" s="141"/>
      <c r="BD698" s="141"/>
      <c r="BE698" s="141"/>
      <c r="BF698" s="141"/>
      <c r="BG698" s="141"/>
      <c r="BH698" s="141"/>
      <c r="BI698" s="141"/>
      <c r="BJ698" s="141"/>
      <c r="BK698" s="141"/>
      <c r="BL698" s="141"/>
      <c r="BM698" s="141"/>
      <c r="BN698" s="141"/>
      <c r="BO698" s="141"/>
    </row>
    <row r="699" ht="13.5" customHeight="1">
      <c r="A699" s="138"/>
      <c r="B699" s="139"/>
      <c r="C699" s="138"/>
      <c r="D699" s="138"/>
      <c r="E699" s="140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  <c r="AL699" s="141"/>
      <c r="AM699" s="141"/>
      <c r="AN699" s="141"/>
      <c r="AO699" s="141"/>
      <c r="AP699" s="141"/>
      <c r="AQ699" s="141"/>
      <c r="AR699" s="141"/>
      <c r="AS699" s="141"/>
      <c r="AT699" s="141"/>
      <c r="AU699" s="141"/>
      <c r="AV699" s="141"/>
      <c r="AW699" s="141"/>
      <c r="AX699" s="141"/>
      <c r="AY699" s="141"/>
      <c r="AZ699" s="141"/>
      <c r="BA699" s="141"/>
      <c r="BB699" s="141"/>
      <c r="BC699" s="141"/>
      <c r="BD699" s="141"/>
      <c r="BE699" s="141"/>
      <c r="BF699" s="141"/>
      <c r="BG699" s="141"/>
      <c r="BH699" s="141"/>
      <c r="BI699" s="141"/>
      <c r="BJ699" s="141"/>
      <c r="BK699" s="141"/>
      <c r="BL699" s="141"/>
      <c r="BM699" s="141"/>
      <c r="BN699" s="141"/>
      <c r="BO699" s="141"/>
    </row>
    <row r="700" ht="13.5" customHeight="1">
      <c r="A700" s="138"/>
      <c r="B700" s="139"/>
      <c r="C700" s="138"/>
      <c r="D700" s="138"/>
      <c r="E700" s="140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  <c r="AL700" s="141"/>
      <c r="AM700" s="141"/>
      <c r="AN700" s="141"/>
      <c r="AO700" s="141"/>
      <c r="AP700" s="141"/>
      <c r="AQ700" s="141"/>
      <c r="AR700" s="141"/>
      <c r="AS700" s="141"/>
      <c r="AT700" s="141"/>
      <c r="AU700" s="141"/>
      <c r="AV700" s="141"/>
      <c r="AW700" s="141"/>
      <c r="AX700" s="141"/>
      <c r="AY700" s="141"/>
      <c r="AZ700" s="141"/>
      <c r="BA700" s="141"/>
      <c r="BB700" s="141"/>
      <c r="BC700" s="141"/>
      <c r="BD700" s="141"/>
      <c r="BE700" s="141"/>
      <c r="BF700" s="141"/>
      <c r="BG700" s="141"/>
      <c r="BH700" s="141"/>
      <c r="BI700" s="141"/>
      <c r="BJ700" s="141"/>
      <c r="BK700" s="141"/>
      <c r="BL700" s="141"/>
      <c r="BM700" s="141"/>
      <c r="BN700" s="141"/>
      <c r="BO700" s="141"/>
    </row>
    <row r="701" ht="13.5" customHeight="1">
      <c r="A701" s="138"/>
      <c r="B701" s="139"/>
      <c r="C701" s="138"/>
      <c r="D701" s="138"/>
      <c r="E701" s="140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  <c r="AL701" s="141"/>
      <c r="AM701" s="141"/>
      <c r="AN701" s="141"/>
      <c r="AO701" s="141"/>
      <c r="AP701" s="141"/>
      <c r="AQ701" s="141"/>
      <c r="AR701" s="141"/>
      <c r="AS701" s="141"/>
      <c r="AT701" s="141"/>
      <c r="AU701" s="141"/>
      <c r="AV701" s="141"/>
      <c r="AW701" s="141"/>
      <c r="AX701" s="141"/>
      <c r="AY701" s="141"/>
      <c r="AZ701" s="141"/>
      <c r="BA701" s="141"/>
      <c r="BB701" s="141"/>
      <c r="BC701" s="141"/>
      <c r="BD701" s="141"/>
      <c r="BE701" s="141"/>
      <c r="BF701" s="141"/>
      <c r="BG701" s="141"/>
      <c r="BH701" s="141"/>
      <c r="BI701" s="141"/>
      <c r="BJ701" s="141"/>
      <c r="BK701" s="141"/>
      <c r="BL701" s="141"/>
      <c r="BM701" s="141"/>
      <c r="BN701" s="141"/>
      <c r="BO701" s="141"/>
    </row>
    <row r="702" ht="13.5" customHeight="1">
      <c r="A702" s="138"/>
      <c r="B702" s="139"/>
      <c r="C702" s="138"/>
      <c r="D702" s="138"/>
      <c r="E702" s="140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  <c r="AL702" s="141"/>
      <c r="AM702" s="141"/>
      <c r="AN702" s="141"/>
      <c r="AO702" s="141"/>
      <c r="AP702" s="141"/>
      <c r="AQ702" s="141"/>
      <c r="AR702" s="141"/>
      <c r="AS702" s="141"/>
      <c r="AT702" s="141"/>
      <c r="AU702" s="141"/>
      <c r="AV702" s="141"/>
      <c r="AW702" s="141"/>
      <c r="AX702" s="141"/>
      <c r="AY702" s="141"/>
      <c r="AZ702" s="141"/>
      <c r="BA702" s="141"/>
      <c r="BB702" s="141"/>
      <c r="BC702" s="141"/>
      <c r="BD702" s="141"/>
      <c r="BE702" s="141"/>
      <c r="BF702" s="141"/>
      <c r="BG702" s="141"/>
      <c r="BH702" s="141"/>
      <c r="BI702" s="141"/>
      <c r="BJ702" s="141"/>
      <c r="BK702" s="141"/>
      <c r="BL702" s="141"/>
      <c r="BM702" s="141"/>
      <c r="BN702" s="141"/>
      <c r="BO702" s="141"/>
    </row>
    <row r="703" ht="13.5" customHeight="1">
      <c r="A703" s="138"/>
      <c r="B703" s="139"/>
      <c r="C703" s="138"/>
      <c r="D703" s="138"/>
      <c r="E703" s="140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1"/>
      <c r="AM703" s="141"/>
      <c r="AN703" s="141"/>
      <c r="AO703" s="141"/>
      <c r="AP703" s="141"/>
      <c r="AQ703" s="141"/>
      <c r="AR703" s="141"/>
      <c r="AS703" s="141"/>
      <c r="AT703" s="141"/>
      <c r="AU703" s="141"/>
      <c r="AV703" s="141"/>
      <c r="AW703" s="141"/>
      <c r="AX703" s="141"/>
      <c r="AY703" s="141"/>
      <c r="AZ703" s="141"/>
      <c r="BA703" s="141"/>
      <c r="BB703" s="141"/>
      <c r="BC703" s="141"/>
      <c r="BD703" s="141"/>
      <c r="BE703" s="141"/>
      <c r="BF703" s="141"/>
      <c r="BG703" s="141"/>
      <c r="BH703" s="141"/>
      <c r="BI703" s="141"/>
      <c r="BJ703" s="141"/>
      <c r="BK703" s="141"/>
      <c r="BL703" s="141"/>
      <c r="BM703" s="141"/>
      <c r="BN703" s="141"/>
      <c r="BO703" s="141"/>
    </row>
    <row r="704" ht="13.5" customHeight="1">
      <c r="A704" s="138"/>
      <c r="B704" s="139"/>
      <c r="C704" s="138"/>
      <c r="D704" s="138"/>
      <c r="E704" s="140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  <c r="AL704" s="141"/>
      <c r="AM704" s="141"/>
      <c r="AN704" s="141"/>
      <c r="AO704" s="141"/>
      <c r="AP704" s="141"/>
      <c r="AQ704" s="141"/>
      <c r="AR704" s="141"/>
      <c r="AS704" s="141"/>
      <c r="AT704" s="141"/>
      <c r="AU704" s="141"/>
      <c r="AV704" s="141"/>
      <c r="AW704" s="141"/>
      <c r="AX704" s="141"/>
      <c r="AY704" s="141"/>
      <c r="AZ704" s="141"/>
      <c r="BA704" s="141"/>
      <c r="BB704" s="141"/>
      <c r="BC704" s="141"/>
      <c r="BD704" s="141"/>
      <c r="BE704" s="141"/>
      <c r="BF704" s="141"/>
      <c r="BG704" s="141"/>
      <c r="BH704" s="141"/>
      <c r="BI704" s="141"/>
      <c r="BJ704" s="141"/>
      <c r="BK704" s="141"/>
      <c r="BL704" s="141"/>
      <c r="BM704" s="141"/>
      <c r="BN704" s="141"/>
      <c r="BO704" s="141"/>
    </row>
    <row r="705" ht="13.5" customHeight="1">
      <c r="A705" s="138"/>
      <c r="B705" s="139"/>
      <c r="C705" s="138"/>
      <c r="D705" s="138"/>
      <c r="E705" s="140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  <c r="AL705" s="141"/>
      <c r="AM705" s="141"/>
      <c r="AN705" s="141"/>
      <c r="AO705" s="141"/>
      <c r="AP705" s="141"/>
      <c r="AQ705" s="141"/>
      <c r="AR705" s="141"/>
      <c r="AS705" s="141"/>
      <c r="AT705" s="141"/>
      <c r="AU705" s="141"/>
      <c r="AV705" s="141"/>
      <c r="AW705" s="141"/>
      <c r="AX705" s="141"/>
      <c r="AY705" s="141"/>
      <c r="AZ705" s="141"/>
      <c r="BA705" s="141"/>
      <c r="BB705" s="141"/>
      <c r="BC705" s="141"/>
      <c r="BD705" s="141"/>
      <c r="BE705" s="141"/>
      <c r="BF705" s="141"/>
      <c r="BG705" s="141"/>
      <c r="BH705" s="141"/>
      <c r="BI705" s="141"/>
      <c r="BJ705" s="141"/>
      <c r="BK705" s="141"/>
      <c r="BL705" s="141"/>
      <c r="BM705" s="141"/>
      <c r="BN705" s="141"/>
      <c r="BO705" s="141"/>
    </row>
    <row r="706" ht="13.5" customHeight="1">
      <c r="A706" s="138"/>
      <c r="B706" s="139"/>
      <c r="C706" s="138"/>
      <c r="D706" s="138"/>
      <c r="E706" s="140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  <c r="AL706" s="141"/>
      <c r="AM706" s="141"/>
      <c r="AN706" s="141"/>
      <c r="AO706" s="141"/>
      <c r="AP706" s="141"/>
      <c r="AQ706" s="141"/>
      <c r="AR706" s="141"/>
      <c r="AS706" s="141"/>
      <c r="AT706" s="141"/>
      <c r="AU706" s="141"/>
      <c r="AV706" s="141"/>
      <c r="AW706" s="141"/>
      <c r="AX706" s="141"/>
      <c r="AY706" s="141"/>
      <c r="AZ706" s="141"/>
      <c r="BA706" s="141"/>
      <c r="BB706" s="141"/>
      <c r="BC706" s="141"/>
      <c r="BD706" s="141"/>
      <c r="BE706" s="141"/>
      <c r="BF706" s="141"/>
      <c r="BG706" s="141"/>
      <c r="BH706" s="141"/>
      <c r="BI706" s="141"/>
      <c r="BJ706" s="141"/>
      <c r="BK706" s="141"/>
      <c r="BL706" s="141"/>
      <c r="BM706" s="141"/>
      <c r="BN706" s="141"/>
      <c r="BO706" s="141"/>
    </row>
    <row r="707" ht="13.5" customHeight="1">
      <c r="A707" s="138"/>
      <c r="B707" s="139"/>
      <c r="C707" s="138"/>
      <c r="D707" s="138"/>
      <c r="E707" s="140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  <c r="AL707" s="141"/>
      <c r="AM707" s="141"/>
      <c r="AN707" s="141"/>
      <c r="AO707" s="141"/>
      <c r="AP707" s="141"/>
      <c r="AQ707" s="141"/>
      <c r="AR707" s="141"/>
      <c r="AS707" s="141"/>
      <c r="AT707" s="141"/>
      <c r="AU707" s="141"/>
      <c r="AV707" s="141"/>
      <c r="AW707" s="141"/>
      <c r="AX707" s="141"/>
      <c r="AY707" s="141"/>
      <c r="AZ707" s="141"/>
      <c r="BA707" s="141"/>
      <c r="BB707" s="141"/>
      <c r="BC707" s="141"/>
      <c r="BD707" s="141"/>
      <c r="BE707" s="141"/>
      <c r="BF707" s="141"/>
      <c r="BG707" s="141"/>
      <c r="BH707" s="141"/>
      <c r="BI707" s="141"/>
      <c r="BJ707" s="141"/>
      <c r="BK707" s="141"/>
      <c r="BL707" s="141"/>
      <c r="BM707" s="141"/>
      <c r="BN707" s="141"/>
      <c r="BO707" s="141"/>
    </row>
    <row r="708" ht="13.5" customHeight="1">
      <c r="A708" s="138"/>
      <c r="B708" s="139"/>
      <c r="C708" s="138"/>
      <c r="D708" s="138"/>
      <c r="E708" s="140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  <c r="AL708" s="141"/>
      <c r="AM708" s="141"/>
      <c r="AN708" s="141"/>
      <c r="AO708" s="141"/>
      <c r="AP708" s="141"/>
      <c r="AQ708" s="141"/>
      <c r="AR708" s="141"/>
      <c r="AS708" s="141"/>
      <c r="AT708" s="141"/>
      <c r="AU708" s="141"/>
      <c r="AV708" s="141"/>
      <c r="AW708" s="141"/>
      <c r="AX708" s="141"/>
      <c r="AY708" s="141"/>
      <c r="AZ708" s="141"/>
      <c r="BA708" s="141"/>
      <c r="BB708" s="141"/>
      <c r="BC708" s="141"/>
      <c r="BD708" s="141"/>
      <c r="BE708" s="141"/>
      <c r="BF708" s="141"/>
      <c r="BG708" s="141"/>
      <c r="BH708" s="141"/>
      <c r="BI708" s="141"/>
      <c r="BJ708" s="141"/>
      <c r="BK708" s="141"/>
      <c r="BL708" s="141"/>
      <c r="BM708" s="141"/>
      <c r="BN708" s="141"/>
      <c r="BO708" s="141"/>
    </row>
    <row r="709" ht="13.5" customHeight="1">
      <c r="A709" s="138"/>
      <c r="B709" s="139"/>
      <c r="C709" s="138"/>
      <c r="D709" s="138"/>
      <c r="E709" s="140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1"/>
      <c r="AM709" s="141"/>
      <c r="AN709" s="141"/>
      <c r="AO709" s="141"/>
      <c r="AP709" s="141"/>
      <c r="AQ709" s="141"/>
      <c r="AR709" s="141"/>
      <c r="AS709" s="141"/>
      <c r="AT709" s="141"/>
      <c r="AU709" s="141"/>
      <c r="AV709" s="141"/>
      <c r="AW709" s="141"/>
      <c r="AX709" s="141"/>
      <c r="AY709" s="141"/>
      <c r="AZ709" s="141"/>
      <c r="BA709" s="141"/>
      <c r="BB709" s="141"/>
      <c r="BC709" s="141"/>
      <c r="BD709" s="141"/>
      <c r="BE709" s="141"/>
      <c r="BF709" s="141"/>
      <c r="BG709" s="141"/>
      <c r="BH709" s="141"/>
      <c r="BI709" s="141"/>
      <c r="BJ709" s="141"/>
      <c r="BK709" s="141"/>
      <c r="BL709" s="141"/>
      <c r="BM709" s="141"/>
      <c r="BN709" s="141"/>
      <c r="BO709" s="141"/>
    </row>
    <row r="710" ht="13.5" customHeight="1">
      <c r="A710" s="138"/>
      <c r="B710" s="139"/>
      <c r="C710" s="138"/>
      <c r="D710" s="138"/>
      <c r="E710" s="140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  <c r="AL710" s="141"/>
      <c r="AM710" s="141"/>
      <c r="AN710" s="141"/>
      <c r="AO710" s="141"/>
      <c r="AP710" s="141"/>
      <c r="AQ710" s="141"/>
      <c r="AR710" s="141"/>
      <c r="AS710" s="141"/>
      <c r="AT710" s="141"/>
      <c r="AU710" s="141"/>
      <c r="AV710" s="141"/>
      <c r="AW710" s="141"/>
      <c r="AX710" s="141"/>
      <c r="AY710" s="141"/>
      <c r="AZ710" s="141"/>
      <c r="BA710" s="141"/>
      <c r="BB710" s="141"/>
      <c r="BC710" s="141"/>
      <c r="BD710" s="141"/>
      <c r="BE710" s="141"/>
      <c r="BF710" s="141"/>
      <c r="BG710" s="141"/>
      <c r="BH710" s="141"/>
      <c r="BI710" s="141"/>
      <c r="BJ710" s="141"/>
      <c r="BK710" s="141"/>
      <c r="BL710" s="141"/>
      <c r="BM710" s="141"/>
      <c r="BN710" s="141"/>
      <c r="BO710" s="141"/>
    </row>
    <row r="711" ht="13.5" customHeight="1">
      <c r="A711" s="138"/>
      <c r="B711" s="139"/>
      <c r="C711" s="138"/>
      <c r="D711" s="138"/>
      <c r="E711" s="140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1"/>
      <c r="AM711" s="141"/>
      <c r="AN711" s="141"/>
      <c r="AO711" s="141"/>
      <c r="AP711" s="141"/>
      <c r="AQ711" s="141"/>
      <c r="AR711" s="141"/>
      <c r="AS711" s="141"/>
      <c r="AT711" s="141"/>
      <c r="AU711" s="141"/>
      <c r="AV711" s="141"/>
      <c r="AW711" s="141"/>
      <c r="AX711" s="141"/>
      <c r="AY711" s="141"/>
      <c r="AZ711" s="141"/>
      <c r="BA711" s="141"/>
      <c r="BB711" s="141"/>
      <c r="BC711" s="141"/>
      <c r="BD711" s="141"/>
      <c r="BE711" s="141"/>
      <c r="BF711" s="141"/>
      <c r="BG711" s="141"/>
      <c r="BH711" s="141"/>
      <c r="BI711" s="141"/>
      <c r="BJ711" s="141"/>
      <c r="BK711" s="141"/>
      <c r="BL711" s="141"/>
      <c r="BM711" s="141"/>
      <c r="BN711" s="141"/>
      <c r="BO711" s="141"/>
    </row>
    <row r="712" ht="13.5" customHeight="1">
      <c r="A712" s="138"/>
      <c r="B712" s="139"/>
      <c r="C712" s="138"/>
      <c r="D712" s="138"/>
      <c r="E712" s="140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  <c r="AL712" s="141"/>
      <c r="AM712" s="141"/>
      <c r="AN712" s="141"/>
      <c r="AO712" s="141"/>
      <c r="AP712" s="141"/>
      <c r="AQ712" s="141"/>
      <c r="AR712" s="141"/>
      <c r="AS712" s="141"/>
      <c r="AT712" s="141"/>
      <c r="AU712" s="141"/>
      <c r="AV712" s="141"/>
      <c r="AW712" s="141"/>
      <c r="AX712" s="141"/>
      <c r="AY712" s="141"/>
      <c r="AZ712" s="141"/>
      <c r="BA712" s="141"/>
      <c r="BB712" s="141"/>
      <c r="BC712" s="141"/>
      <c r="BD712" s="141"/>
      <c r="BE712" s="141"/>
      <c r="BF712" s="141"/>
      <c r="BG712" s="141"/>
      <c r="BH712" s="141"/>
      <c r="BI712" s="141"/>
      <c r="BJ712" s="141"/>
      <c r="BK712" s="141"/>
      <c r="BL712" s="141"/>
      <c r="BM712" s="141"/>
      <c r="BN712" s="141"/>
      <c r="BO712" s="141"/>
    </row>
    <row r="713" ht="13.5" customHeight="1">
      <c r="A713" s="138"/>
      <c r="B713" s="139"/>
      <c r="C713" s="138"/>
      <c r="D713" s="138"/>
      <c r="E713" s="140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  <c r="AL713" s="141"/>
      <c r="AM713" s="141"/>
      <c r="AN713" s="141"/>
      <c r="AO713" s="141"/>
      <c r="AP713" s="141"/>
      <c r="AQ713" s="141"/>
      <c r="AR713" s="141"/>
      <c r="AS713" s="141"/>
      <c r="AT713" s="141"/>
      <c r="AU713" s="141"/>
      <c r="AV713" s="141"/>
      <c r="AW713" s="141"/>
      <c r="AX713" s="141"/>
      <c r="AY713" s="141"/>
      <c r="AZ713" s="141"/>
      <c r="BA713" s="141"/>
      <c r="BB713" s="141"/>
      <c r="BC713" s="141"/>
      <c r="BD713" s="141"/>
      <c r="BE713" s="141"/>
      <c r="BF713" s="141"/>
      <c r="BG713" s="141"/>
      <c r="BH713" s="141"/>
      <c r="BI713" s="141"/>
      <c r="BJ713" s="141"/>
      <c r="BK713" s="141"/>
      <c r="BL713" s="141"/>
      <c r="BM713" s="141"/>
      <c r="BN713" s="141"/>
      <c r="BO713" s="141"/>
    </row>
    <row r="714" ht="13.5" customHeight="1">
      <c r="A714" s="138"/>
      <c r="B714" s="139"/>
      <c r="C714" s="138"/>
      <c r="D714" s="138"/>
      <c r="E714" s="140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  <c r="AL714" s="141"/>
      <c r="AM714" s="141"/>
      <c r="AN714" s="141"/>
      <c r="AO714" s="141"/>
      <c r="AP714" s="141"/>
      <c r="AQ714" s="141"/>
      <c r="AR714" s="141"/>
      <c r="AS714" s="141"/>
      <c r="AT714" s="141"/>
      <c r="AU714" s="141"/>
      <c r="AV714" s="141"/>
      <c r="AW714" s="141"/>
      <c r="AX714" s="141"/>
      <c r="AY714" s="141"/>
      <c r="AZ714" s="141"/>
      <c r="BA714" s="141"/>
      <c r="BB714" s="141"/>
      <c r="BC714" s="141"/>
      <c r="BD714" s="141"/>
      <c r="BE714" s="141"/>
      <c r="BF714" s="141"/>
      <c r="BG714" s="141"/>
      <c r="BH714" s="141"/>
      <c r="BI714" s="141"/>
      <c r="BJ714" s="141"/>
      <c r="BK714" s="141"/>
      <c r="BL714" s="141"/>
      <c r="BM714" s="141"/>
      <c r="BN714" s="141"/>
      <c r="BO714" s="141"/>
    </row>
    <row r="715" ht="13.5" customHeight="1">
      <c r="A715" s="138"/>
      <c r="B715" s="139"/>
      <c r="C715" s="138"/>
      <c r="D715" s="138"/>
      <c r="E715" s="140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  <c r="AL715" s="141"/>
      <c r="AM715" s="141"/>
      <c r="AN715" s="141"/>
      <c r="AO715" s="141"/>
      <c r="AP715" s="141"/>
      <c r="AQ715" s="141"/>
      <c r="AR715" s="141"/>
      <c r="AS715" s="141"/>
      <c r="AT715" s="141"/>
      <c r="AU715" s="141"/>
      <c r="AV715" s="141"/>
      <c r="AW715" s="141"/>
      <c r="AX715" s="141"/>
      <c r="AY715" s="141"/>
      <c r="AZ715" s="141"/>
      <c r="BA715" s="141"/>
      <c r="BB715" s="141"/>
      <c r="BC715" s="141"/>
      <c r="BD715" s="141"/>
      <c r="BE715" s="141"/>
      <c r="BF715" s="141"/>
      <c r="BG715" s="141"/>
      <c r="BH715" s="141"/>
      <c r="BI715" s="141"/>
      <c r="BJ715" s="141"/>
      <c r="BK715" s="141"/>
      <c r="BL715" s="141"/>
      <c r="BM715" s="141"/>
      <c r="BN715" s="141"/>
      <c r="BO715" s="141"/>
    </row>
    <row r="716" ht="13.5" customHeight="1">
      <c r="A716" s="138"/>
      <c r="B716" s="139"/>
      <c r="C716" s="138"/>
      <c r="D716" s="138"/>
      <c r="E716" s="140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  <c r="AL716" s="141"/>
      <c r="AM716" s="141"/>
      <c r="AN716" s="141"/>
      <c r="AO716" s="141"/>
      <c r="AP716" s="141"/>
      <c r="AQ716" s="141"/>
      <c r="AR716" s="141"/>
      <c r="AS716" s="141"/>
      <c r="AT716" s="141"/>
      <c r="AU716" s="141"/>
      <c r="AV716" s="141"/>
      <c r="AW716" s="141"/>
      <c r="AX716" s="141"/>
      <c r="AY716" s="141"/>
      <c r="AZ716" s="141"/>
      <c r="BA716" s="141"/>
      <c r="BB716" s="141"/>
      <c r="BC716" s="141"/>
      <c r="BD716" s="141"/>
      <c r="BE716" s="141"/>
      <c r="BF716" s="141"/>
      <c r="BG716" s="141"/>
      <c r="BH716" s="141"/>
      <c r="BI716" s="141"/>
      <c r="BJ716" s="141"/>
      <c r="BK716" s="141"/>
      <c r="BL716" s="141"/>
      <c r="BM716" s="141"/>
      <c r="BN716" s="141"/>
      <c r="BO716" s="141"/>
    </row>
    <row r="717" ht="13.5" customHeight="1">
      <c r="A717" s="138"/>
      <c r="B717" s="139"/>
      <c r="C717" s="138"/>
      <c r="D717" s="138"/>
      <c r="E717" s="140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  <c r="AL717" s="141"/>
      <c r="AM717" s="141"/>
      <c r="AN717" s="141"/>
      <c r="AO717" s="141"/>
      <c r="AP717" s="141"/>
      <c r="AQ717" s="141"/>
      <c r="AR717" s="141"/>
      <c r="AS717" s="141"/>
      <c r="AT717" s="141"/>
      <c r="AU717" s="141"/>
      <c r="AV717" s="141"/>
      <c r="AW717" s="141"/>
      <c r="AX717" s="141"/>
      <c r="AY717" s="141"/>
      <c r="AZ717" s="141"/>
      <c r="BA717" s="141"/>
      <c r="BB717" s="141"/>
      <c r="BC717" s="141"/>
      <c r="BD717" s="141"/>
      <c r="BE717" s="141"/>
      <c r="BF717" s="141"/>
      <c r="BG717" s="141"/>
      <c r="BH717" s="141"/>
      <c r="BI717" s="141"/>
      <c r="BJ717" s="141"/>
      <c r="BK717" s="141"/>
      <c r="BL717" s="141"/>
      <c r="BM717" s="141"/>
      <c r="BN717" s="141"/>
      <c r="BO717" s="141"/>
    </row>
    <row r="718" ht="13.5" customHeight="1">
      <c r="A718" s="138"/>
      <c r="B718" s="139"/>
      <c r="C718" s="138"/>
      <c r="D718" s="138"/>
      <c r="E718" s="140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1"/>
      <c r="AM718" s="141"/>
      <c r="AN718" s="141"/>
      <c r="AO718" s="141"/>
      <c r="AP718" s="141"/>
      <c r="AQ718" s="141"/>
      <c r="AR718" s="141"/>
      <c r="AS718" s="141"/>
      <c r="AT718" s="141"/>
      <c r="AU718" s="141"/>
      <c r="AV718" s="141"/>
      <c r="AW718" s="141"/>
      <c r="AX718" s="141"/>
      <c r="AY718" s="141"/>
      <c r="AZ718" s="141"/>
      <c r="BA718" s="141"/>
      <c r="BB718" s="141"/>
      <c r="BC718" s="141"/>
      <c r="BD718" s="141"/>
      <c r="BE718" s="141"/>
      <c r="BF718" s="141"/>
      <c r="BG718" s="141"/>
      <c r="BH718" s="141"/>
      <c r="BI718" s="141"/>
      <c r="BJ718" s="141"/>
      <c r="BK718" s="141"/>
      <c r="BL718" s="141"/>
      <c r="BM718" s="141"/>
      <c r="BN718" s="141"/>
      <c r="BO718" s="141"/>
    </row>
    <row r="719" ht="13.5" customHeight="1">
      <c r="A719" s="138"/>
      <c r="B719" s="139"/>
      <c r="C719" s="138"/>
      <c r="D719" s="138"/>
      <c r="E719" s="140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  <c r="AL719" s="141"/>
      <c r="AM719" s="141"/>
      <c r="AN719" s="141"/>
      <c r="AO719" s="141"/>
      <c r="AP719" s="141"/>
      <c r="AQ719" s="141"/>
      <c r="AR719" s="141"/>
      <c r="AS719" s="141"/>
      <c r="AT719" s="141"/>
      <c r="AU719" s="141"/>
      <c r="AV719" s="141"/>
      <c r="AW719" s="141"/>
      <c r="AX719" s="141"/>
      <c r="AY719" s="141"/>
      <c r="AZ719" s="141"/>
      <c r="BA719" s="141"/>
      <c r="BB719" s="141"/>
      <c r="BC719" s="141"/>
      <c r="BD719" s="141"/>
      <c r="BE719" s="141"/>
      <c r="BF719" s="141"/>
      <c r="BG719" s="141"/>
      <c r="BH719" s="141"/>
      <c r="BI719" s="141"/>
      <c r="BJ719" s="141"/>
      <c r="BK719" s="141"/>
      <c r="BL719" s="141"/>
      <c r="BM719" s="141"/>
      <c r="BN719" s="141"/>
      <c r="BO719" s="141"/>
    </row>
    <row r="720" ht="13.5" customHeight="1">
      <c r="A720" s="138"/>
      <c r="B720" s="139"/>
      <c r="C720" s="138"/>
      <c r="D720" s="138"/>
      <c r="E720" s="140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  <c r="AL720" s="141"/>
      <c r="AM720" s="141"/>
      <c r="AN720" s="141"/>
      <c r="AO720" s="141"/>
      <c r="AP720" s="141"/>
      <c r="AQ720" s="141"/>
      <c r="AR720" s="141"/>
      <c r="AS720" s="141"/>
      <c r="AT720" s="141"/>
      <c r="AU720" s="141"/>
      <c r="AV720" s="141"/>
      <c r="AW720" s="141"/>
      <c r="AX720" s="141"/>
      <c r="AY720" s="141"/>
      <c r="AZ720" s="141"/>
      <c r="BA720" s="141"/>
      <c r="BB720" s="141"/>
      <c r="BC720" s="141"/>
      <c r="BD720" s="141"/>
      <c r="BE720" s="141"/>
      <c r="BF720" s="141"/>
      <c r="BG720" s="141"/>
      <c r="BH720" s="141"/>
      <c r="BI720" s="141"/>
      <c r="BJ720" s="141"/>
      <c r="BK720" s="141"/>
      <c r="BL720" s="141"/>
      <c r="BM720" s="141"/>
      <c r="BN720" s="141"/>
      <c r="BO720" s="141"/>
    </row>
    <row r="721" ht="13.5" customHeight="1">
      <c r="A721" s="138"/>
      <c r="B721" s="139"/>
      <c r="C721" s="138"/>
      <c r="D721" s="138"/>
      <c r="E721" s="140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  <c r="AL721" s="141"/>
      <c r="AM721" s="141"/>
      <c r="AN721" s="141"/>
      <c r="AO721" s="141"/>
      <c r="AP721" s="141"/>
      <c r="AQ721" s="141"/>
      <c r="AR721" s="141"/>
      <c r="AS721" s="141"/>
      <c r="AT721" s="141"/>
      <c r="AU721" s="141"/>
      <c r="AV721" s="141"/>
      <c r="AW721" s="141"/>
      <c r="AX721" s="141"/>
      <c r="AY721" s="141"/>
      <c r="AZ721" s="141"/>
      <c r="BA721" s="141"/>
      <c r="BB721" s="141"/>
      <c r="BC721" s="141"/>
      <c r="BD721" s="141"/>
      <c r="BE721" s="141"/>
      <c r="BF721" s="141"/>
      <c r="BG721" s="141"/>
      <c r="BH721" s="141"/>
      <c r="BI721" s="141"/>
      <c r="BJ721" s="141"/>
      <c r="BK721" s="141"/>
      <c r="BL721" s="141"/>
      <c r="BM721" s="141"/>
      <c r="BN721" s="141"/>
      <c r="BO721" s="141"/>
    </row>
    <row r="722" ht="13.5" customHeight="1">
      <c r="A722" s="138"/>
      <c r="B722" s="139"/>
      <c r="C722" s="138"/>
      <c r="D722" s="138"/>
      <c r="E722" s="140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  <c r="AL722" s="141"/>
      <c r="AM722" s="141"/>
      <c r="AN722" s="141"/>
      <c r="AO722" s="141"/>
      <c r="AP722" s="141"/>
      <c r="AQ722" s="141"/>
      <c r="AR722" s="141"/>
      <c r="AS722" s="141"/>
      <c r="AT722" s="141"/>
      <c r="AU722" s="141"/>
      <c r="AV722" s="141"/>
      <c r="AW722" s="141"/>
      <c r="AX722" s="141"/>
      <c r="AY722" s="141"/>
      <c r="AZ722" s="141"/>
      <c r="BA722" s="141"/>
      <c r="BB722" s="141"/>
      <c r="BC722" s="141"/>
      <c r="BD722" s="141"/>
      <c r="BE722" s="141"/>
      <c r="BF722" s="141"/>
      <c r="BG722" s="141"/>
      <c r="BH722" s="141"/>
      <c r="BI722" s="141"/>
      <c r="BJ722" s="141"/>
      <c r="BK722" s="141"/>
      <c r="BL722" s="141"/>
      <c r="BM722" s="141"/>
      <c r="BN722" s="141"/>
      <c r="BO722" s="141"/>
    </row>
    <row r="723" ht="13.5" customHeight="1">
      <c r="A723" s="138"/>
      <c r="B723" s="139"/>
      <c r="C723" s="138"/>
      <c r="D723" s="138"/>
      <c r="E723" s="140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1"/>
      <c r="AM723" s="141"/>
      <c r="AN723" s="141"/>
      <c r="AO723" s="141"/>
      <c r="AP723" s="141"/>
      <c r="AQ723" s="141"/>
      <c r="AR723" s="141"/>
      <c r="AS723" s="141"/>
      <c r="AT723" s="141"/>
      <c r="AU723" s="141"/>
      <c r="AV723" s="141"/>
      <c r="AW723" s="141"/>
      <c r="AX723" s="141"/>
      <c r="AY723" s="141"/>
      <c r="AZ723" s="141"/>
      <c r="BA723" s="141"/>
      <c r="BB723" s="141"/>
      <c r="BC723" s="141"/>
      <c r="BD723" s="141"/>
      <c r="BE723" s="141"/>
      <c r="BF723" s="141"/>
      <c r="BG723" s="141"/>
      <c r="BH723" s="141"/>
      <c r="BI723" s="141"/>
      <c r="BJ723" s="141"/>
      <c r="BK723" s="141"/>
      <c r="BL723" s="141"/>
      <c r="BM723" s="141"/>
      <c r="BN723" s="141"/>
      <c r="BO723" s="141"/>
    </row>
    <row r="724" ht="13.5" customHeight="1">
      <c r="A724" s="138"/>
      <c r="B724" s="139"/>
      <c r="C724" s="138"/>
      <c r="D724" s="138"/>
      <c r="E724" s="140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  <c r="AL724" s="141"/>
      <c r="AM724" s="141"/>
      <c r="AN724" s="141"/>
      <c r="AO724" s="141"/>
      <c r="AP724" s="141"/>
      <c r="AQ724" s="141"/>
      <c r="AR724" s="141"/>
      <c r="AS724" s="141"/>
      <c r="AT724" s="141"/>
      <c r="AU724" s="141"/>
      <c r="AV724" s="141"/>
      <c r="AW724" s="141"/>
      <c r="AX724" s="141"/>
      <c r="AY724" s="141"/>
      <c r="AZ724" s="141"/>
      <c r="BA724" s="141"/>
      <c r="BB724" s="141"/>
      <c r="BC724" s="141"/>
      <c r="BD724" s="141"/>
      <c r="BE724" s="141"/>
      <c r="BF724" s="141"/>
      <c r="BG724" s="141"/>
      <c r="BH724" s="141"/>
      <c r="BI724" s="141"/>
      <c r="BJ724" s="141"/>
      <c r="BK724" s="141"/>
      <c r="BL724" s="141"/>
      <c r="BM724" s="141"/>
      <c r="BN724" s="141"/>
      <c r="BO724" s="141"/>
    </row>
    <row r="725" ht="13.5" customHeight="1">
      <c r="A725" s="138"/>
      <c r="B725" s="139"/>
      <c r="C725" s="138"/>
      <c r="D725" s="138"/>
      <c r="E725" s="140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  <c r="AL725" s="141"/>
      <c r="AM725" s="141"/>
      <c r="AN725" s="141"/>
      <c r="AO725" s="141"/>
      <c r="AP725" s="141"/>
      <c r="AQ725" s="141"/>
      <c r="AR725" s="141"/>
      <c r="AS725" s="141"/>
      <c r="AT725" s="141"/>
      <c r="AU725" s="141"/>
      <c r="AV725" s="141"/>
      <c r="AW725" s="141"/>
      <c r="AX725" s="141"/>
      <c r="AY725" s="141"/>
      <c r="AZ725" s="141"/>
      <c r="BA725" s="141"/>
      <c r="BB725" s="141"/>
      <c r="BC725" s="141"/>
      <c r="BD725" s="141"/>
      <c r="BE725" s="141"/>
      <c r="BF725" s="141"/>
      <c r="BG725" s="141"/>
      <c r="BH725" s="141"/>
      <c r="BI725" s="141"/>
      <c r="BJ725" s="141"/>
      <c r="BK725" s="141"/>
      <c r="BL725" s="141"/>
      <c r="BM725" s="141"/>
      <c r="BN725" s="141"/>
      <c r="BO725" s="141"/>
    </row>
    <row r="726" ht="13.5" customHeight="1">
      <c r="A726" s="138"/>
      <c r="B726" s="139"/>
      <c r="C726" s="138"/>
      <c r="D726" s="138"/>
      <c r="E726" s="140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  <c r="AL726" s="141"/>
      <c r="AM726" s="141"/>
      <c r="AN726" s="141"/>
      <c r="AO726" s="141"/>
      <c r="AP726" s="141"/>
      <c r="AQ726" s="141"/>
      <c r="AR726" s="141"/>
      <c r="AS726" s="141"/>
      <c r="AT726" s="141"/>
      <c r="AU726" s="141"/>
      <c r="AV726" s="141"/>
      <c r="AW726" s="141"/>
      <c r="AX726" s="141"/>
      <c r="AY726" s="141"/>
      <c r="AZ726" s="141"/>
      <c r="BA726" s="141"/>
      <c r="BB726" s="141"/>
      <c r="BC726" s="141"/>
      <c r="BD726" s="141"/>
      <c r="BE726" s="141"/>
      <c r="BF726" s="141"/>
      <c r="BG726" s="141"/>
      <c r="BH726" s="141"/>
      <c r="BI726" s="141"/>
      <c r="BJ726" s="141"/>
      <c r="BK726" s="141"/>
      <c r="BL726" s="141"/>
      <c r="BM726" s="141"/>
      <c r="BN726" s="141"/>
      <c r="BO726" s="141"/>
    </row>
    <row r="727" ht="13.5" customHeight="1">
      <c r="A727" s="138"/>
      <c r="B727" s="139"/>
      <c r="C727" s="138"/>
      <c r="D727" s="138"/>
      <c r="E727" s="140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  <c r="AL727" s="141"/>
      <c r="AM727" s="141"/>
      <c r="AN727" s="141"/>
      <c r="AO727" s="141"/>
      <c r="AP727" s="141"/>
      <c r="AQ727" s="141"/>
      <c r="AR727" s="141"/>
      <c r="AS727" s="141"/>
      <c r="AT727" s="141"/>
      <c r="AU727" s="141"/>
      <c r="AV727" s="141"/>
      <c r="AW727" s="141"/>
      <c r="AX727" s="141"/>
      <c r="AY727" s="141"/>
      <c r="AZ727" s="141"/>
      <c r="BA727" s="141"/>
      <c r="BB727" s="141"/>
      <c r="BC727" s="141"/>
      <c r="BD727" s="141"/>
      <c r="BE727" s="141"/>
      <c r="BF727" s="141"/>
      <c r="BG727" s="141"/>
      <c r="BH727" s="141"/>
      <c r="BI727" s="141"/>
      <c r="BJ727" s="141"/>
      <c r="BK727" s="141"/>
      <c r="BL727" s="141"/>
      <c r="BM727" s="141"/>
      <c r="BN727" s="141"/>
      <c r="BO727" s="141"/>
    </row>
    <row r="728" ht="13.5" customHeight="1">
      <c r="A728" s="138"/>
      <c r="B728" s="139"/>
      <c r="C728" s="138"/>
      <c r="D728" s="138"/>
      <c r="E728" s="140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  <c r="AL728" s="141"/>
      <c r="AM728" s="141"/>
      <c r="AN728" s="141"/>
      <c r="AO728" s="141"/>
      <c r="AP728" s="141"/>
      <c r="AQ728" s="141"/>
      <c r="AR728" s="141"/>
      <c r="AS728" s="141"/>
      <c r="AT728" s="141"/>
      <c r="AU728" s="141"/>
      <c r="AV728" s="141"/>
      <c r="AW728" s="141"/>
      <c r="AX728" s="141"/>
      <c r="AY728" s="141"/>
      <c r="AZ728" s="141"/>
      <c r="BA728" s="141"/>
      <c r="BB728" s="141"/>
      <c r="BC728" s="141"/>
      <c r="BD728" s="141"/>
      <c r="BE728" s="141"/>
      <c r="BF728" s="141"/>
      <c r="BG728" s="141"/>
      <c r="BH728" s="141"/>
      <c r="BI728" s="141"/>
      <c r="BJ728" s="141"/>
      <c r="BK728" s="141"/>
      <c r="BL728" s="141"/>
      <c r="BM728" s="141"/>
      <c r="BN728" s="141"/>
      <c r="BO728" s="141"/>
    </row>
    <row r="729" ht="13.5" customHeight="1">
      <c r="A729" s="138"/>
      <c r="B729" s="139"/>
      <c r="C729" s="138"/>
      <c r="D729" s="138"/>
      <c r="E729" s="140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  <c r="AL729" s="141"/>
      <c r="AM729" s="141"/>
      <c r="AN729" s="141"/>
      <c r="AO729" s="141"/>
      <c r="AP729" s="141"/>
      <c r="AQ729" s="141"/>
      <c r="AR729" s="141"/>
      <c r="AS729" s="141"/>
      <c r="AT729" s="141"/>
      <c r="AU729" s="141"/>
      <c r="AV729" s="141"/>
      <c r="AW729" s="141"/>
      <c r="AX729" s="141"/>
      <c r="AY729" s="141"/>
      <c r="AZ729" s="141"/>
      <c r="BA729" s="141"/>
      <c r="BB729" s="141"/>
      <c r="BC729" s="141"/>
      <c r="BD729" s="141"/>
      <c r="BE729" s="141"/>
      <c r="BF729" s="141"/>
      <c r="BG729" s="141"/>
      <c r="BH729" s="141"/>
      <c r="BI729" s="141"/>
      <c r="BJ729" s="141"/>
      <c r="BK729" s="141"/>
      <c r="BL729" s="141"/>
      <c r="BM729" s="141"/>
      <c r="BN729" s="141"/>
      <c r="BO729" s="141"/>
    </row>
    <row r="730" ht="13.5" customHeight="1">
      <c r="A730" s="138"/>
      <c r="B730" s="139"/>
      <c r="C730" s="138"/>
      <c r="D730" s="138"/>
      <c r="E730" s="140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  <c r="AL730" s="141"/>
      <c r="AM730" s="141"/>
      <c r="AN730" s="141"/>
      <c r="AO730" s="141"/>
      <c r="AP730" s="141"/>
      <c r="AQ730" s="141"/>
      <c r="AR730" s="141"/>
      <c r="AS730" s="141"/>
      <c r="AT730" s="141"/>
      <c r="AU730" s="141"/>
      <c r="AV730" s="141"/>
      <c r="AW730" s="141"/>
      <c r="AX730" s="141"/>
      <c r="AY730" s="141"/>
      <c r="AZ730" s="141"/>
      <c r="BA730" s="141"/>
      <c r="BB730" s="141"/>
      <c r="BC730" s="141"/>
      <c r="BD730" s="141"/>
      <c r="BE730" s="141"/>
      <c r="BF730" s="141"/>
      <c r="BG730" s="141"/>
      <c r="BH730" s="141"/>
      <c r="BI730" s="141"/>
      <c r="BJ730" s="141"/>
      <c r="BK730" s="141"/>
      <c r="BL730" s="141"/>
      <c r="BM730" s="141"/>
      <c r="BN730" s="141"/>
      <c r="BO730" s="141"/>
    </row>
    <row r="731" ht="13.5" customHeight="1">
      <c r="A731" s="138"/>
      <c r="B731" s="139"/>
      <c r="C731" s="138"/>
      <c r="D731" s="138"/>
      <c r="E731" s="140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  <c r="AL731" s="141"/>
      <c r="AM731" s="141"/>
      <c r="AN731" s="141"/>
      <c r="AO731" s="141"/>
      <c r="AP731" s="141"/>
      <c r="AQ731" s="141"/>
      <c r="AR731" s="141"/>
      <c r="AS731" s="141"/>
      <c r="AT731" s="141"/>
      <c r="AU731" s="141"/>
      <c r="AV731" s="141"/>
      <c r="AW731" s="141"/>
      <c r="AX731" s="141"/>
      <c r="AY731" s="141"/>
      <c r="AZ731" s="141"/>
      <c r="BA731" s="141"/>
      <c r="BB731" s="141"/>
      <c r="BC731" s="141"/>
      <c r="BD731" s="141"/>
      <c r="BE731" s="141"/>
      <c r="BF731" s="141"/>
      <c r="BG731" s="141"/>
      <c r="BH731" s="141"/>
      <c r="BI731" s="141"/>
      <c r="BJ731" s="141"/>
      <c r="BK731" s="141"/>
      <c r="BL731" s="141"/>
      <c r="BM731" s="141"/>
      <c r="BN731" s="141"/>
      <c r="BO731" s="141"/>
    </row>
    <row r="732" ht="13.5" customHeight="1">
      <c r="A732" s="138"/>
      <c r="B732" s="139"/>
      <c r="C732" s="138"/>
      <c r="D732" s="138"/>
      <c r="E732" s="140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  <c r="AL732" s="141"/>
      <c r="AM732" s="141"/>
      <c r="AN732" s="141"/>
      <c r="AO732" s="141"/>
      <c r="AP732" s="141"/>
      <c r="AQ732" s="141"/>
      <c r="AR732" s="141"/>
      <c r="AS732" s="141"/>
      <c r="AT732" s="141"/>
      <c r="AU732" s="141"/>
      <c r="AV732" s="141"/>
      <c r="AW732" s="141"/>
      <c r="AX732" s="141"/>
      <c r="AY732" s="141"/>
      <c r="AZ732" s="141"/>
      <c r="BA732" s="141"/>
      <c r="BB732" s="141"/>
      <c r="BC732" s="141"/>
      <c r="BD732" s="141"/>
      <c r="BE732" s="141"/>
      <c r="BF732" s="141"/>
      <c r="BG732" s="141"/>
      <c r="BH732" s="141"/>
      <c r="BI732" s="141"/>
      <c r="BJ732" s="141"/>
      <c r="BK732" s="141"/>
      <c r="BL732" s="141"/>
      <c r="BM732" s="141"/>
      <c r="BN732" s="141"/>
      <c r="BO732" s="141"/>
    </row>
    <row r="733" ht="13.5" customHeight="1">
      <c r="A733" s="138"/>
      <c r="B733" s="139"/>
      <c r="C733" s="138"/>
      <c r="D733" s="138"/>
      <c r="E733" s="140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  <c r="AL733" s="141"/>
      <c r="AM733" s="141"/>
      <c r="AN733" s="141"/>
      <c r="AO733" s="141"/>
      <c r="AP733" s="141"/>
      <c r="AQ733" s="141"/>
      <c r="AR733" s="141"/>
      <c r="AS733" s="141"/>
      <c r="AT733" s="141"/>
      <c r="AU733" s="141"/>
      <c r="AV733" s="141"/>
      <c r="AW733" s="141"/>
      <c r="AX733" s="141"/>
      <c r="AY733" s="141"/>
      <c r="AZ733" s="141"/>
      <c r="BA733" s="141"/>
      <c r="BB733" s="141"/>
      <c r="BC733" s="141"/>
      <c r="BD733" s="141"/>
      <c r="BE733" s="141"/>
      <c r="BF733" s="141"/>
      <c r="BG733" s="141"/>
      <c r="BH733" s="141"/>
      <c r="BI733" s="141"/>
      <c r="BJ733" s="141"/>
      <c r="BK733" s="141"/>
      <c r="BL733" s="141"/>
      <c r="BM733" s="141"/>
      <c r="BN733" s="141"/>
      <c r="BO733" s="141"/>
    </row>
    <row r="734" ht="13.5" customHeight="1">
      <c r="A734" s="138"/>
      <c r="B734" s="139"/>
      <c r="C734" s="138"/>
      <c r="D734" s="138"/>
      <c r="E734" s="140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  <c r="AL734" s="141"/>
      <c r="AM734" s="141"/>
      <c r="AN734" s="141"/>
      <c r="AO734" s="141"/>
      <c r="AP734" s="141"/>
      <c r="AQ734" s="141"/>
      <c r="AR734" s="141"/>
      <c r="AS734" s="141"/>
      <c r="AT734" s="141"/>
      <c r="AU734" s="141"/>
      <c r="AV734" s="141"/>
      <c r="AW734" s="141"/>
      <c r="AX734" s="141"/>
      <c r="AY734" s="141"/>
      <c r="AZ734" s="141"/>
      <c r="BA734" s="141"/>
      <c r="BB734" s="141"/>
      <c r="BC734" s="141"/>
      <c r="BD734" s="141"/>
      <c r="BE734" s="141"/>
      <c r="BF734" s="141"/>
      <c r="BG734" s="141"/>
      <c r="BH734" s="141"/>
      <c r="BI734" s="141"/>
      <c r="BJ734" s="141"/>
      <c r="BK734" s="141"/>
      <c r="BL734" s="141"/>
      <c r="BM734" s="141"/>
      <c r="BN734" s="141"/>
      <c r="BO734" s="141"/>
    </row>
    <row r="735" ht="13.5" customHeight="1">
      <c r="A735" s="138"/>
      <c r="B735" s="139"/>
      <c r="C735" s="138"/>
      <c r="D735" s="138"/>
      <c r="E735" s="140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  <c r="AL735" s="141"/>
      <c r="AM735" s="141"/>
      <c r="AN735" s="141"/>
      <c r="AO735" s="141"/>
      <c r="AP735" s="141"/>
      <c r="AQ735" s="141"/>
      <c r="AR735" s="141"/>
      <c r="AS735" s="141"/>
      <c r="AT735" s="141"/>
      <c r="AU735" s="141"/>
      <c r="AV735" s="141"/>
      <c r="AW735" s="141"/>
      <c r="AX735" s="141"/>
      <c r="AY735" s="141"/>
      <c r="AZ735" s="141"/>
      <c r="BA735" s="141"/>
      <c r="BB735" s="141"/>
      <c r="BC735" s="141"/>
      <c r="BD735" s="141"/>
      <c r="BE735" s="141"/>
      <c r="BF735" s="141"/>
      <c r="BG735" s="141"/>
      <c r="BH735" s="141"/>
      <c r="BI735" s="141"/>
      <c r="BJ735" s="141"/>
      <c r="BK735" s="141"/>
      <c r="BL735" s="141"/>
      <c r="BM735" s="141"/>
      <c r="BN735" s="141"/>
      <c r="BO735" s="141"/>
    </row>
    <row r="736" ht="13.5" customHeight="1">
      <c r="A736" s="138"/>
      <c r="B736" s="139"/>
      <c r="C736" s="138"/>
      <c r="D736" s="138"/>
      <c r="E736" s="140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  <c r="AL736" s="141"/>
      <c r="AM736" s="141"/>
      <c r="AN736" s="141"/>
      <c r="AO736" s="141"/>
      <c r="AP736" s="141"/>
      <c r="AQ736" s="141"/>
      <c r="AR736" s="141"/>
      <c r="AS736" s="141"/>
      <c r="AT736" s="141"/>
      <c r="AU736" s="141"/>
      <c r="AV736" s="141"/>
      <c r="AW736" s="141"/>
      <c r="AX736" s="141"/>
      <c r="AY736" s="141"/>
      <c r="AZ736" s="141"/>
      <c r="BA736" s="141"/>
      <c r="BB736" s="141"/>
      <c r="BC736" s="141"/>
      <c r="BD736" s="141"/>
      <c r="BE736" s="141"/>
      <c r="BF736" s="141"/>
      <c r="BG736" s="141"/>
      <c r="BH736" s="141"/>
      <c r="BI736" s="141"/>
      <c r="BJ736" s="141"/>
      <c r="BK736" s="141"/>
      <c r="BL736" s="141"/>
      <c r="BM736" s="141"/>
      <c r="BN736" s="141"/>
      <c r="BO736" s="141"/>
    </row>
    <row r="737" ht="13.5" customHeight="1">
      <c r="A737" s="138"/>
      <c r="B737" s="139"/>
      <c r="C737" s="138"/>
      <c r="D737" s="138"/>
      <c r="E737" s="140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  <c r="AL737" s="141"/>
      <c r="AM737" s="141"/>
      <c r="AN737" s="141"/>
      <c r="AO737" s="141"/>
      <c r="AP737" s="141"/>
      <c r="AQ737" s="141"/>
      <c r="AR737" s="141"/>
      <c r="AS737" s="141"/>
      <c r="AT737" s="141"/>
      <c r="AU737" s="141"/>
      <c r="AV737" s="141"/>
      <c r="AW737" s="141"/>
      <c r="AX737" s="141"/>
      <c r="AY737" s="141"/>
      <c r="AZ737" s="141"/>
      <c r="BA737" s="141"/>
      <c r="BB737" s="141"/>
      <c r="BC737" s="141"/>
      <c r="BD737" s="141"/>
      <c r="BE737" s="141"/>
      <c r="BF737" s="141"/>
      <c r="BG737" s="141"/>
      <c r="BH737" s="141"/>
      <c r="BI737" s="141"/>
      <c r="BJ737" s="141"/>
      <c r="BK737" s="141"/>
      <c r="BL737" s="141"/>
      <c r="BM737" s="141"/>
      <c r="BN737" s="141"/>
      <c r="BO737" s="141"/>
    </row>
    <row r="738" ht="13.5" customHeight="1">
      <c r="A738" s="138"/>
      <c r="B738" s="139"/>
      <c r="C738" s="138"/>
      <c r="D738" s="138"/>
      <c r="E738" s="140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  <c r="AL738" s="141"/>
      <c r="AM738" s="141"/>
      <c r="AN738" s="141"/>
      <c r="AO738" s="141"/>
      <c r="AP738" s="141"/>
      <c r="AQ738" s="141"/>
      <c r="AR738" s="141"/>
      <c r="AS738" s="141"/>
      <c r="AT738" s="141"/>
      <c r="AU738" s="141"/>
      <c r="AV738" s="141"/>
      <c r="AW738" s="141"/>
      <c r="AX738" s="141"/>
      <c r="AY738" s="141"/>
      <c r="AZ738" s="141"/>
      <c r="BA738" s="141"/>
      <c r="BB738" s="141"/>
      <c r="BC738" s="141"/>
      <c r="BD738" s="141"/>
      <c r="BE738" s="141"/>
      <c r="BF738" s="141"/>
      <c r="BG738" s="141"/>
      <c r="BH738" s="141"/>
      <c r="BI738" s="141"/>
      <c r="BJ738" s="141"/>
      <c r="BK738" s="141"/>
      <c r="BL738" s="141"/>
      <c r="BM738" s="141"/>
      <c r="BN738" s="141"/>
      <c r="BO738" s="141"/>
    </row>
    <row r="739" ht="13.5" customHeight="1">
      <c r="A739" s="138"/>
      <c r="B739" s="139"/>
      <c r="C739" s="138"/>
      <c r="D739" s="138"/>
      <c r="E739" s="140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  <c r="AL739" s="141"/>
      <c r="AM739" s="141"/>
      <c r="AN739" s="141"/>
      <c r="AO739" s="141"/>
      <c r="AP739" s="141"/>
      <c r="AQ739" s="141"/>
      <c r="AR739" s="141"/>
      <c r="AS739" s="141"/>
      <c r="AT739" s="141"/>
      <c r="AU739" s="141"/>
      <c r="AV739" s="141"/>
      <c r="AW739" s="141"/>
      <c r="AX739" s="141"/>
      <c r="AY739" s="141"/>
      <c r="AZ739" s="141"/>
      <c r="BA739" s="141"/>
      <c r="BB739" s="141"/>
      <c r="BC739" s="141"/>
      <c r="BD739" s="141"/>
      <c r="BE739" s="141"/>
      <c r="BF739" s="141"/>
      <c r="BG739" s="141"/>
      <c r="BH739" s="141"/>
      <c r="BI739" s="141"/>
      <c r="BJ739" s="141"/>
      <c r="BK739" s="141"/>
      <c r="BL739" s="141"/>
      <c r="BM739" s="141"/>
      <c r="BN739" s="141"/>
      <c r="BO739" s="141"/>
    </row>
    <row r="740" ht="13.5" customHeight="1">
      <c r="A740" s="138"/>
      <c r="B740" s="139"/>
      <c r="C740" s="138"/>
      <c r="D740" s="138"/>
      <c r="E740" s="140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  <c r="AL740" s="141"/>
      <c r="AM740" s="141"/>
      <c r="AN740" s="141"/>
      <c r="AO740" s="141"/>
      <c r="AP740" s="141"/>
      <c r="AQ740" s="141"/>
      <c r="AR740" s="141"/>
      <c r="AS740" s="141"/>
      <c r="AT740" s="141"/>
      <c r="AU740" s="141"/>
      <c r="AV740" s="141"/>
      <c r="AW740" s="141"/>
      <c r="AX740" s="141"/>
      <c r="AY740" s="141"/>
      <c r="AZ740" s="141"/>
      <c r="BA740" s="141"/>
      <c r="BB740" s="141"/>
      <c r="BC740" s="141"/>
      <c r="BD740" s="141"/>
      <c r="BE740" s="141"/>
      <c r="BF740" s="141"/>
      <c r="BG740" s="141"/>
      <c r="BH740" s="141"/>
      <c r="BI740" s="141"/>
      <c r="BJ740" s="141"/>
      <c r="BK740" s="141"/>
      <c r="BL740" s="141"/>
      <c r="BM740" s="141"/>
      <c r="BN740" s="141"/>
      <c r="BO740" s="141"/>
    </row>
    <row r="741" ht="13.5" customHeight="1">
      <c r="A741" s="138"/>
      <c r="B741" s="139"/>
      <c r="C741" s="138"/>
      <c r="D741" s="138"/>
      <c r="E741" s="140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  <c r="AL741" s="141"/>
      <c r="AM741" s="141"/>
      <c r="AN741" s="141"/>
      <c r="AO741" s="141"/>
      <c r="AP741" s="141"/>
      <c r="AQ741" s="141"/>
      <c r="AR741" s="141"/>
      <c r="AS741" s="141"/>
      <c r="AT741" s="141"/>
      <c r="AU741" s="141"/>
      <c r="AV741" s="141"/>
      <c r="AW741" s="141"/>
      <c r="AX741" s="141"/>
      <c r="AY741" s="141"/>
      <c r="AZ741" s="141"/>
      <c r="BA741" s="141"/>
      <c r="BB741" s="141"/>
      <c r="BC741" s="141"/>
      <c r="BD741" s="141"/>
      <c r="BE741" s="141"/>
      <c r="BF741" s="141"/>
      <c r="BG741" s="141"/>
      <c r="BH741" s="141"/>
      <c r="BI741" s="141"/>
      <c r="BJ741" s="141"/>
      <c r="BK741" s="141"/>
      <c r="BL741" s="141"/>
      <c r="BM741" s="141"/>
      <c r="BN741" s="141"/>
      <c r="BO741" s="141"/>
    </row>
    <row r="742" ht="13.5" customHeight="1">
      <c r="A742" s="138"/>
      <c r="B742" s="139"/>
      <c r="C742" s="138"/>
      <c r="D742" s="138"/>
      <c r="E742" s="140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  <c r="AL742" s="141"/>
      <c r="AM742" s="141"/>
      <c r="AN742" s="141"/>
      <c r="AO742" s="141"/>
      <c r="AP742" s="141"/>
      <c r="AQ742" s="141"/>
      <c r="AR742" s="141"/>
      <c r="AS742" s="141"/>
      <c r="AT742" s="141"/>
      <c r="AU742" s="141"/>
      <c r="AV742" s="141"/>
      <c r="AW742" s="141"/>
      <c r="AX742" s="141"/>
      <c r="AY742" s="141"/>
      <c r="AZ742" s="141"/>
      <c r="BA742" s="141"/>
      <c r="BB742" s="141"/>
      <c r="BC742" s="141"/>
      <c r="BD742" s="141"/>
      <c r="BE742" s="141"/>
      <c r="BF742" s="141"/>
      <c r="BG742" s="141"/>
      <c r="BH742" s="141"/>
      <c r="BI742" s="141"/>
      <c r="BJ742" s="141"/>
      <c r="BK742" s="141"/>
      <c r="BL742" s="141"/>
      <c r="BM742" s="141"/>
      <c r="BN742" s="141"/>
      <c r="BO742" s="141"/>
    </row>
    <row r="743" ht="13.5" customHeight="1">
      <c r="A743" s="138"/>
      <c r="B743" s="139"/>
      <c r="C743" s="138"/>
      <c r="D743" s="138"/>
      <c r="E743" s="140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  <c r="AL743" s="141"/>
      <c r="AM743" s="141"/>
      <c r="AN743" s="141"/>
      <c r="AO743" s="141"/>
      <c r="AP743" s="141"/>
      <c r="AQ743" s="141"/>
      <c r="AR743" s="141"/>
      <c r="AS743" s="141"/>
      <c r="AT743" s="141"/>
      <c r="AU743" s="141"/>
      <c r="AV743" s="141"/>
      <c r="AW743" s="141"/>
      <c r="AX743" s="141"/>
      <c r="AY743" s="141"/>
      <c r="AZ743" s="141"/>
      <c r="BA743" s="141"/>
      <c r="BB743" s="141"/>
      <c r="BC743" s="141"/>
      <c r="BD743" s="141"/>
      <c r="BE743" s="141"/>
      <c r="BF743" s="141"/>
      <c r="BG743" s="141"/>
      <c r="BH743" s="141"/>
      <c r="BI743" s="141"/>
      <c r="BJ743" s="141"/>
      <c r="BK743" s="141"/>
      <c r="BL743" s="141"/>
      <c r="BM743" s="141"/>
      <c r="BN743" s="141"/>
      <c r="BO743" s="141"/>
    </row>
    <row r="744" ht="13.5" customHeight="1">
      <c r="A744" s="138"/>
      <c r="B744" s="139"/>
      <c r="C744" s="138"/>
      <c r="D744" s="138"/>
      <c r="E744" s="140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  <c r="AL744" s="141"/>
      <c r="AM744" s="141"/>
      <c r="AN744" s="141"/>
      <c r="AO744" s="141"/>
      <c r="AP744" s="141"/>
      <c r="AQ744" s="141"/>
      <c r="AR744" s="141"/>
      <c r="AS744" s="141"/>
      <c r="AT744" s="141"/>
      <c r="AU744" s="141"/>
      <c r="AV744" s="141"/>
      <c r="AW744" s="141"/>
      <c r="AX744" s="141"/>
      <c r="AY744" s="141"/>
      <c r="AZ744" s="141"/>
      <c r="BA744" s="141"/>
      <c r="BB744" s="141"/>
      <c r="BC744" s="141"/>
      <c r="BD744" s="141"/>
      <c r="BE744" s="141"/>
      <c r="BF744" s="141"/>
      <c r="BG744" s="141"/>
      <c r="BH744" s="141"/>
      <c r="BI744" s="141"/>
      <c r="BJ744" s="141"/>
      <c r="BK744" s="141"/>
      <c r="BL744" s="141"/>
      <c r="BM744" s="141"/>
      <c r="BN744" s="141"/>
      <c r="BO744" s="141"/>
    </row>
    <row r="745" ht="13.5" customHeight="1">
      <c r="A745" s="138"/>
      <c r="B745" s="139"/>
      <c r="C745" s="138"/>
      <c r="D745" s="138"/>
      <c r="E745" s="140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  <c r="AL745" s="141"/>
      <c r="AM745" s="141"/>
      <c r="AN745" s="141"/>
      <c r="AO745" s="141"/>
      <c r="AP745" s="141"/>
      <c r="AQ745" s="141"/>
      <c r="AR745" s="141"/>
      <c r="AS745" s="141"/>
      <c r="AT745" s="141"/>
      <c r="AU745" s="141"/>
      <c r="AV745" s="141"/>
      <c r="AW745" s="141"/>
      <c r="AX745" s="141"/>
      <c r="AY745" s="141"/>
      <c r="AZ745" s="141"/>
      <c r="BA745" s="141"/>
      <c r="BB745" s="141"/>
      <c r="BC745" s="141"/>
      <c r="BD745" s="141"/>
      <c r="BE745" s="141"/>
      <c r="BF745" s="141"/>
      <c r="BG745" s="141"/>
      <c r="BH745" s="141"/>
      <c r="BI745" s="141"/>
      <c r="BJ745" s="141"/>
      <c r="BK745" s="141"/>
      <c r="BL745" s="141"/>
      <c r="BM745" s="141"/>
      <c r="BN745" s="141"/>
      <c r="BO745" s="141"/>
    </row>
    <row r="746" ht="13.5" customHeight="1">
      <c r="A746" s="138"/>
      <c r="B746" s="139"/>
      <c r="C746" s="138"/>
      <c r="D746" s="138"/>
      <c r="E746" s="140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  <c r="AL746" s="141"/>
      <c r="AM746" s="141"/>
      <c r="AN746" s="141"/>
      <c r="AO746" s="141"/>
      <c r="AP746" s="141"/>
      <c r="AQ746" s="141"/>
      <c r="AR746" s="141"/>
      <c r="AS746" s="141"/>
      <c r="AT746" s="141"/>
      <c r="AU746" s="141"/>
      <c r="AV746" s="141"/>
      <c r="AW746" s="141"/>
      <c r="AX746" s="141"/>
      <c r="AY746" s="141"/>
      <c r="AZ746" s="141"/>
      <c r="BA746" s="141"/>
      <c r="BB746" s="141"/>
      <c r="BC746" s="141"/>
      <c r="BD746" s="141"/>
      <c r="BE746" s="141"/>
      <c r="BF746" s="141"/>
      <c r="BG746" s="141"/>
      <c r="BH746" s="141"/>
      <c r="BI746" s="141"/>
      <c r="BJ746" s="141"/>
      <c r="BK746" s="141"/>
      <c r="BL746" s="141"/>
      <c r="BM746" s="141"/>
      <c r="BN746" s="141"/>
      <c r="BO746" s="141"/>
    </row>
    <row r="747" ht="13.5" customHeight="1">
      <c r="A747" s="138"/>
      <c r="B747" s="139"/>
      <c r="C747" s="138"/>
      <c r="D747" s="138"/>
      <c r="E747" s="140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  <c r="AL747" s="141"/>
      <c r="AM747" s="141"/>
      <c r="AN747" s="141"/>
      <c r="AO747" s="141"/>
      <c r="AP747" s="141"/>
      <c r="AQ747" s="141"/>
      <c r="AR747" s="141"/>
      <c r="AS747" s="141"/>
      <c r="AT747" s="141"/>
      <c r="AU747" s="141"/>
      <c r="AV747" s="141"/>
      <c r="AW747" s="141"/>
      <c r="AX747" s="141"/>
      <c r="AY747" s="141"/>
      <c r="AZ747" s="141"/>
      <c r="BA747" s="141"/>
      <c r="BB747" s="141"/>
      <c r="BC747" s="141"/>
      <c r="BD747" s="141"/>
      <c r="BE747" s="141"/>
      <c r="BF747" s="141"/>
      <c r="BG747" s="141"/>
      <c r="BH747" s="141"/>
      <c r="BI747" s="141"/>
      <c r="BJ747" s="141"/>
      <c r="BK747" s="141"/>
      <c r="BL747" s="141"/>
      <c r="BM747" s="141"/>
      <c r="BN747" s="141"/>
      <c r="BO747" s="141"/>
    </row>
    <row r="748" ht="13.5" customHeight="1">
      <c r="A748" s="138"/>
      <c r="B748" s="139"/>
      <c r="C748" s="138"/>
      <c r="D748" s="138"/>
      <c r="E748" s="140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  <c r="AL748" s="141"/>
      <c r="AM748" s="141"/>
      <c r="AN748" s="141"/>
      <c r="AO748" s="141"/>
      <c r="AP748" s="141"/>
      <c r="AQ748" s="141"/>
      <c r="AR748" s="141"/>
      <c r="AS748" s="141"/>
      <c r="AT748" s="141"/>
      <c r="AU748" s="141"/>
      <c r="AV748" s="141"/>
      <c r="AW748" s="141"/>
      <c r="AX748" s="141"/>
      <c r="AY748" s="141"/>
      <c r="AZ748" s="141"/>
      <c r="BA748" s="141"/>
      <c r="BB748" s="141"/>
      <c r="BC748" s="141"/>
      <c r="BD748" s="141"/>
      <c r="BE748" s="141"/>
      <c r="BF748" s="141"/>
      <c r="BG748" s="141"/>
      <c r="BH748" s="141"/>
      <c r="BI748" s="141"/>
      <c r="BJ748" s="141"/>
      <c r="BK748" s="141"/>
      <c r="BL748" s="141"/>
      <c r="BM748" s="141"/>
      <c r="BN748" s="141"/>
      <c r="BO748" s="141"/>
    </row>
    <row r="749" ht="13.5" customHeight="1">
      <c r="A749" s="138"/>
      <c r="B749" s="139"/>
      <c r="C749" s="138"/>
      <c r="D749" s="138"/>
      <c r="E749" s="140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  <c r="AL749" s="141"/>
      <c r="AM749" s="141"/>
      <c r="AN749" s="141"/>
      <c r="AO749" s="141"/>
      <c r="AP749" s="141"/>
      <c r="AQ749" s="141"/>
      <c r="AR749" s="141"/>
      <c r="AS749" s="141"/>
      <c r="AT749" s="141"/>
      <c r="AU749" s="141"/>
      <c r="AV749" s="141"/>
      <c r="AW749" s="141"/>
      <c r="AX749" s="141"/>
      <c r="AY749" s="141"/>
      <c r="AZ749" s="141"/>
      <c r="BA749" s="141"/>
      <c r="BB749" s="141"/>
      <c r="BC749" s="141"/>
      <c r="BD749" s="141"/>
      <c r="BE749" s="141"/>
      <c r="BF749" s="141"/>
      <c r="BG749" s="141"/>
      <c r="BH749" s="141"/>
      <c r="BI749" s="141"/>
      <c r="BJ749" s="141"/>
      <c r="BK749" s="141"/>
      <c r="BL749" s="141"/>
      <c r="BM749" s="141"/>
      <c r="BN749" s="141"/>
      <c r="BO749" s="141"/>
    </row>
    <row r="750" ht="13.5" customHeight="1">
      <c r="A750" s="138"/>
      <c r="B750" s="139"/>
      <c r="C750" s="138"/>
      <c r="D750" s="138"/>
      <c r="E750" s="140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  <c r="AL750" s="141"/>
      <c r="AM750" s="141"/>
      <c r="AN750" s="141"/>
      <c r="AO750" s="141"/>
      <c r="AP750" s="141"/>
      <c r="AQ750" s="141"/>
      <c r="AR750" s="141"/>
      <c r="AS750" s="141"/>
      <c r="AT750" s="141"/>
      <c r="AU750" s="141"/>
      <c r="AV750" s="141"/>
      <c r="AW750" s="141"/>
      <c r="AX750" s="141"/>
      <c r="AY750" s="141"/>
      <c r="AZ750" s="141"/>
      <c r="BA750" s="141"/>
      <c r="BB750" s="141"/>
      <c r="BC750" s="141"/>
      <c r="BD750" s="141"/>
      <c r="BE750" s="141"/>
      <c r="BF750" s="141"/>
      <c r="BG750" s="141"/>
      <c r="BH750" s="141"/>
      <c r="BI750" s="141"/>
      <c r="BJ750" s="141"/>
      <c r="BK750" s="141"/>
      <c r="BL750" s="141"/>
      <c r="BM750" s="141"/>
      <c r="BN750" s="141"/>
      <c r="BO750" s="141"/>
    </row>
    <row r="751" ht="13.5" customHeight="1">
      <c r="A751" s="138"/>
      <c r="B751" s="139"/>
      <c r="C751" s="138"/>
      <c r="D751" s="138"/>
      <c r="E751" s="140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  <c r="AL751" s="141"/>
      <c r="AM751" s="141"/>
      <c r="AN751" s="141"/>
      <c r="AO751" s="141"/>
      <c r="AP751" s="141"/>
      <c r="AQ751" s="141"/>
      <c r="AR751" s="141"/>
      <c r="AS751" s="141"/>
      <c r="AT751" s="141"/>
      <c r="AU751" s="141"/>
      <c r="AV751" s="141"/>
      <c r="AW751" s="141"/>
      <c r="AX751" s="141"/>
      <c r="AY751" s="141"/>
      <c r="AZ751" s="141"/>
      <c r="BA751" s="141"/>
      <c r="BB751" s="141"/>
      <c r="BC751" s="141"/>
      <c r="BD751" s="141"/>
      <c r="BE751" s="141"/>
      <c r="BF751" s="141"/>
      <c r="BG751" s="141"/>
      <c r="BH751" s="141"/>
      <c r="BI751" s="141"/>
      <c r="BJ751" s="141"/>
      <c r="BK751" s="141"/>
      <c r="BL751" s="141"/>
      <c r="BM751" s="141"/>
      <c r="BN751" s="141"/>
      <c r="BO751" s="141"/>
    </row>
    <row r="752" ht="13.5" customHeight="1">
      <c r="A752" s="138"/>
      <c r="B752" s="139"/>
      <c r="C752" s="138"/>
      <c r="D752" s="138"/>
      <c r="E752" s="140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  <c r="AL752" s="141"/>
      <c r="AM752" s="141"/>
      <c r="AN752" s="141"/>
      <c r="AO752" s="141"/>
      <c r="AP752" s="141"/>
      <c r="AQ752" s="141"/>
      <c r="AR752" s="141"/>
      <c r="AS752" s="141"/>
      <c r="AT752" s="141"/>
      <c r="AU752" s="141"/>
      <c r="AV752" s="141"/>
      <c r="AW752" s="141"/>
      <c r="AX752" s="141"/>
      <c r="AY752" s="141"/>
      <c r="AZ752" s="141"/>
      <c r="BA752" s="141"/>
      <c r="BB752" s="141"/>
      <c r="BC752" s="141"/>
      <c r="BD752" s="141"/>
      <c r="BE752" s="141"/>
      <c r="BF752" s="141"/>
      <c r="BG752" s="141"/>
      <c r="BH752" s="141"/>
      <c r="BI752" s="141"/>
      <c r="BJ752" s="141"/>
      <c r="BK752" s="141"/>
      <c r="BL752" s="141"/>
      <c r="BM752" s="141"/>
      <c r="BN752" s="141"/>
      <c r="BO752" s="141"/>
    </row>
    <row r="753" ht="13.5" customHeight="1">
      <c r="A753" s="138"/>
      <c r="B753" s="139"/>
      <c r="C753" s="138"/>
      <c r="D753" s="138"/>
      <c r="E753" s="140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  <c r="AL753" s="141"/>
      <c r="AM753" s="141"/>
      <c r="AN753" s="141"/>
      <c r="AO753" s="141"/>
      <c r="AP753" s="141"/>
      <c r="AQ753" s="141"/>
      <c r="AR753" s="141"/>
      <c r="AS753" s="141"/>
      <c r="AT753" s="141"/>
      <c r="AU753" s="141"/>
      <c r="AV753" s="141"/>
      <c r="AW753" s="141"/>
      <c r="AX753" s="141"/>
      <c r="AY753" s="141"/>
      <c r="AZ753" s="141"/>
      <c r="BA753" s="141"/>
      <c r="BB753" s="141"/>
      <c r="BC753" s="141"/>
      <c r="BD753" s="141"/>
      <c r="BE753" s="141"/>
      <c r="BF753" s="141"/>
      <c r="BG753" s="141"/>
      <c r="BH753" s="141"/>
      <c r="BI753" s="141"/>
      <c r="BJ753" s="141"/>
      <c r="BK753" s="141"/>
      <c r="BL753" s="141"/>
      <c r="BM753" s="141"/>
      <c r="BN753" s="141"/>
      <c r="BO753" s="141"/>
    </row>
    <row r="754" ht="13.5" customHeight="1">
      <c r="A754" s="138"/>
      <c r="B754" s="139"/>
      <c r="C754" s="138"/>
      <c r="D754" s="138"/>
      <c r="E754" s="140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  <c r="AL754" s="141"/>
      <c r="AM754" s="141"/>
      <c r="AN754" s="141"/>
      <c r="AO754" s="141"/>
      <c r="AP754" s="141"/>
      <c r="AQ754" s="141"/>
      <c r="AR754" s="141"/>
      <c r="AS754" s="141"/>
      <c r="AT754" s="141"/>
      <c r="AU754" s="141"/>
      <c r="AV754" s="141"/>
      <c r="AW754" s="141"/>
      <c r="AX754" s="141"/>
      <c r="AY754" s="141"/>
      <c r="AZ754" s="141"/>
      <c r="BA754" s="141"/>
      <c r="BB754" s="141"/>
      <c r="BC754" s="141"/>
      <c r="BD754" s="141"/>
      <c r="BE754" s="141"/>
      <c r="BF754" s="141"/>
      <c r="BG754" s="141"/>
      <c r="BH754" s="141"/>
      <c r="BI754" s="141"/>
      <c r="BJ754" s="141"/>
      <c r="BK754" s="141"/>
      <c r="BL754" s="141"/>
      <c r="BM754" s="141"/>
      <c r="BN754" s="141"/>
      <c r="BO754" s="141"/>
    </row>
    <row r="755" ht="13.5" customHeight="1">
      <c r="A755" s="138"/>
      <c r="B755" s="139"/>
      <c r="C755" s="138"/>
      <c r="D755" s="138"/>
      <c r="E755" s="140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  <c r="AL755" s="141"/>
      <c r="AM755" s="141"/>
      <c r="AN755" s="141"/>
      <c r="AO755" s="141"/>
      <c r="AP755" s="141"/>
      <c r="AQ755" s="141"/>
      <c r="AR755" s="141"/>
      <c r="AS755" s="141"/>
      <c r="AT755" s="141"/>
      <c r="AU755" s="141"/>
      <c r="AV755" s="141"/>
      <c r="AW755" s="141"/>
      <c r="AX755" s="141"/>
      <c r="AY755" s="141"/>
      <c r="AZ755" s="141"/>
      <c r="BA755" s="141"/>
      <c r="BB755" s="141"/>
      <c r="BC755" s="141"/>
      <c r="BD755" s="141"/>
      <c r="BE755" s="141"/>
      <c r="BF755" s="141"/>
      <c r="BG755" s="141"/>
      <c r="BH755" s="141"/>
      <c r="BI755" s="141"/>
      <c r="BJ755" s="141"/>
      <c r="BK755" s="141"/>
      <c r="BL755" s="141"/>
      <c r="BM755" s="141"/>
      <c r="BN755" s="141"/>
      <c r="BO755" s="141"/>
    </row>
    <row r="756" ht="13.5" customHeight="1">
      <c r="A756" s="138"/>
      <c r="B756" s="139"/>
      <c r="C756" s="138"/>
      <c r="D756" s="138"/>
      <c r="E756" s="140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  <c r="AL756" s="141"/>
      <c r="AM756" s="141"/>
      <c r="AN756" s="141"/>
      <c r="AO756" s="141"/>
      <c r="AP756" s="141"/>
      <c r="AQ756" s="141"/>
      <c r="AR756" s="141"/>
      <c r="AS756" s="141"/>
      <c r="AT756" s="141"/>
      <c r="AU756" s="141"/>
      <c r="AV756" s="141"/>
      <c r="AW756" s="141"/>
      <c r="AX756" s="141"/>
      <c r="AY756" s="141"/>
      <c r="AZ756" s="141"/>
      <c r="BA756" s="141"/>
      <c r="BB756" s="141"/>
      <c r="BC756" s="141"/>
      <c r="BD756" s="141"/>
      <c r="BE756" s="141"/>
      <c r="BF756" s="141"/>
      <c r="BG756" s="141"/>
      <c r="BH756" s="141"/>
      <c r="BI756" s="141"/>
      <c r="BJ756" s="141"/>
      <c r="BK756" s="141"/>
      <c r="BL756" s="141"/>
      <c r="BM756" s="141"/>
      <c r="BN756" s="141"/>
      <c r="BO756" s="141"/>
    </row>
    <row r="757" ht="13.5" customHeight="1">
      <c r="A757" s="138"/>
      <c r="B757" s="139"/>
      <c r="C757" s="138"/>
      <c r="D757" s="138"/>
      <c r="E757" s="140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  <c r="AL757" s="141"/>
      <c r="AM757" s="141"/>
      <c r="AN757" s="141"/>
      <c r="AO757" s="141"/>
      <c r="AP757" s="141"/>
      <c r="AQ757" s="141"/>
      <c r="AR757" s="141"/>
      <c r="AS757" s="141"/>
      <c r="AT757" s="141"/>
      <c r="AU757" s="141"/>
      <c r="AV757" s="141"/>
      <c r="AW757" s="141"/>
      <c r="AX757" s="141"/>
      <c r="AY757" s="141"/>
      <c r="AZ757" s="141"/>
      <c r="BA757" s="141"/>
      <c r="BB757" s="141"/>
      <c r="BC757" s="141"/>
      <c r="BD757" s="141"/>
      <c r="BE757" s="141"/>
      <c r="BF757" s="141"/>
      <c r="BG757" s="141"/>
      <c r="BH757" s="141"/>
      <c r="BI757" s="141"/>
      <c r="BJ757" s="141"/>
      <c r="BK757" s="141"/>
      <c r="BL757" s="141"/>
      <c r="BM757" s="141"/>
      <c r="BN757" s="141"/>
      <c r="BO757" s="141"/>
    </row>
    <row r="758" ht="13.5" customHeight="1">
      <c r="A758" s="138"/>
      <c r="B758" s="139"/>
      <c r="C758" s="138"/>
      <c r="D758" s="138"/>
      <c r="E758" s="140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  <c r="AL758" s="141"/>
      <c r="AM758" s="141"/>
      <c r="AN758" s="141"/>
      <c r="AO758" s="141"/>
      <c r="AP758" s="141"/>
      <c r="AQ758" s="141"/>
      <c r="AR758" s="141"/>
      <c r="AS758" s="141"/>
      <c r="AT758" s="141"/>
      <c r="AU758" s="141"/>
      <c r="AV758" s="141"/>
      <c r="AW758" s="141"/>
      <c r="AX758" s="141"/>
      <c r="AY758" s="141"/>
      <c r="AZ758" s="141"/>
      <c r="BA758" s="141"/>
      <c r="BB758" s="141"/>
      <c r="BC758" s="141"/>
      <c r="BD758" s="141"/>
      <c r="BE758" s="141"/>
      <c r="BF758" s="141"/>
      <c r="BG758" s="141"/>
      <c r="BH758" s="141"/>
      <c r="BI758" s="141"/>
      <c r="BJ758" s="141"/>
      <c r="BK758" s="141"/>
      <c r="BL758" s="141"/>
      <c r="BM758" s="141"/>
      <c r="BN758" s="141"/>
      <c r="BO758" s="141"/>
    </row>
    <row r="759" ht="13.5" customHeight="1">
      <c r="A759" s="138"/>
      <c r="B759" s="139"/>
      <c r="C759" s="138"/>
      <c r="D759" s="138"/>
      <c r="E759" s="140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  <c r="AL759" s="141"/>
      <c r="AM759" s="141"/>
      <c r="AN759" s="141"/>
      <c r="AO759" s="141"/>
      <c r="AP759" s="141"/>
      <c r="AQ759" s="141"/>
      <c r="AR759" s="141"/>
      <c r="AS759" s="141"/>
      <c r="AT759" s="141"/>
      <c r="AU759" s="141"/>
      <c r="AV759" s="141"/>
      <c r="AW759" s="141"/>
      <c r="AX759" s="141"/>
      <c r="AY759" s="141"/>
      <c r="AZ759" s="141"/>
      <c r="BA759" s="141"/>
      <c r="BB759" s="141"/>
      <c r="BC759" s="141"/>
      <c r="BD759" s="141"/>
      <c r="BE759" s="141"/>
      <c r="BF759" s="141"/>
      <c r="BG759" s="141"/>
      <c r="BH759" s="141"/>
      <c r="BI759" s="141"/>
      <c r="BJ759" s="141"/>
      <c r="BK759" s="141"/>
      <c r="BL759" s="141"/>
      <c r="BM759" s="141"/>
      <c r="BN759" s="141"/>
      <c r="BO759" s="141"/>
    </row>
    <row r="760" ht="13.5" customHeight="1">
      <c r="A760" s="138"/>
      <c r="B760" s="139"/>
      <c r="C760" s="138"/>
      <c r="D760" s="138"/>
      <c r="E760" s="140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  <c r="AL760" s="141"/>
      <c r="AM760" s="141"/>
      <c r="AN760" s="141"/>
      <c r="AO760" s="141"/>
      <c r="AP760" s="141"/>
      <c r="AQ760" s="141"/>
      <c r="AR760" s="141"/>
      <c r="AS760" s="141"/>
      <c r="AT760" s="141"/>
      <c r="AU760" s="141"/>
      <c r="AV760" s="141"/>
      <c r="AW760" s="141"/>
      <c r="AX760" s="141"/>
      <c r="AY760" s="141"/>
      <c r="AZ760" s="141"/>
      <c r="BA760" s="141"/>
      <c r="BB760" s="141"/>
      <c r="BC760" s="141"/>
      <c r="BD760" s="141"/>
      <c r="BE760" s="141"/>
      <c r="BF760" s="141"/>
      <c r="BG760" s="141"/>
      <c r="BH760" s="141"/>
      <c r="BI760" s="141"/>
      <c r="BJ760" s="141"/>
      <c r="BK760" s="141"/>
      <c r="BL760" s="141"/>
      <c r="BM760" s="141"/>
      <c r="BN760" s="141"/>
      <c r="BO760" s="141"/>
    </row>
    <row r="761" ht="13.5" customHeight="1">
      <c r="A761" s="138"/>
      <c r="B761" s="139"/>
      <c r="C761" s="138"/>
      <c r="D761" s="138"/>
      <c r="E761" s="140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  <c r="AL761" s="141"/>
      <c r="AM761" s="141"/>
      <c r="AN761" s="141"/>
      <c r="AO761" s="141"/>
      <c r="AP761" s="141"/>
      <c r="AQ761" s="141"/>
      <c r="AR761" s="141"/>
      <c r="AS761" s="141"/>
      <c r="AT761" s="141"/>
      <c r="AU761" s="141"/>
      <c r="AV761" s="141"/>
      <c r="AW761" s="141"/>
      <c r="AX761" s="141"/>
      <c r="AY761" s="141"/>
      <c r="AZ761" s="141"/>
      <c r="BA761" s="141"/>
      <c r="BB761" s="141"/>
      <c r="BC761" s="141"/>
      <c r="BD761" s="141"/>
      <c r="BE761" s="141"/>
      <c r="BF761" s="141"/>
      <c r="BG761" s="141"/>
      <c r="BH761" s="141"/>
      <c r="BI761" s="141"/>
      <c r="BJ761" s="141"/>
      <c r="BK761" s="141"/>
      <c r="BL761" s="141"/>
      <c r="BM761" s="141"/>
      <c r="BN761" s="141"/>
      <c r="BO761" s="141"/>
    </row>
    <row r="762" ht="13.5" customHeight="1">
      <c r="A762" s="138"/>
      <c r="B762" s="139"/>
      <c r="C762" s="138"/>
      <c r="D762" s="138"/>
      <c r="E762" s="140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  <c r="AL762" s="141"/>
      <c r="AM762" s="141"/>
      <c r="AN762" s="141"/>
      <c r="AO762" s="141"/>
      <c r="AP762" s="141"/>
      <c r="AQ762" s="141"/>
      <c r="AR762" s="141"/>
      <c r="AS762" s="141"/>
      <c r="AT762" s="141"/>
      <c r="AU762" s="141"/>
      <c r="AV762" s="141"/>
      <c r="AW762" s="141"/>
      <c r="AX762" s="141"/>
      <c r="AY762" s="141"/>
      <c r="AZ762" s="141"/>
      <c r="BA762" s="141"/>
      <c r="BB762" s="141"/>
      <c r="BC762" s="141"/>
      <c r="BD762" s="141"/>
      <c r="BE762" s="141"/>
      <c r="BF762" s="141"/>
      <c r="BG762" s="141"/>
      <c r="BH762" s="141"/>
      <c r="BI762" s="141"/>
      <c r="BJ762" s="141"/>
      <c r="BK762" s="141"/>
      <c r="BL762" s="141"/>
      <c r="BM762" s="141"/>
      <c r="BN762" s="141"/>
      <c r="BO762" s="141"/>
    </row>
    <row r="763" ht="13.5" customHeight="1">
      <c r="A763" s="138"/>
      <c r="B763" s="139"/>
      <c r="C763" s="138"/>
      <c r="D763" s="138"/>
      <c r="E763" s="140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  <c r="AL763" s="141"/>
      <c r="AM763" s="141"/>
      <c r="AN763" s="141"/>
      <c r="AO763" s="141"/>
      <c r="AP763" s="141"/>
      <c r="AQ763" s="141"/>
      <c r="AR763" s="141"/>
      <c r="AS763" s="141"/>
      <c r="AT763" s="141"/>
      <c r="AU763" s="141"/>
      <c r="AV763" s="141"/>
      <c r="AW763" s="141"/>
      <c r="AX763" s="141"/>
      <c r="AY763" s="141"/>
      <c r="AZ763" s="141"/>
      <c r="BA763" s="141"/>
      <c r="BB763" s="141"/>
      <c r="BC763" s="141"/>
      <c r="BD763" s="141"/>
      <c r="BE763" s="141"/>
      <c r="BF763" s="141"/>
      <c r="BG763" s="141"/>
      <c r="BH763" s="141"/>
      <c r="BI763" s="141"/>
      <c r="BJ763" s="141"/>
      <c r="BK763" s="141"/>
      <c r="BL763" s="141"/>
      <c r="BM763" s="141"/>
      <c r="BN763" s="141"/>
      <c r="BO763" s="141"/>
    </row>
    <row r="764" ht="13.5" customHeight="1">
      <c r="A764" s="138"/>
      <c r="B764" s="139"/>
      <c r="C764" s="138"/>
      <c r="D764" s="138"/>
      <c r="E764" s="140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  <c r="AL764" s="141"/>
      <c r="AM764" s="141"/>
      <c r="AN764" s="141"/>
      <c r="AO764" s="141"/>
      <c r="AP764" s="141"/>
      <c r="AQ764" s="141"/>
      <c r="AR764" s="141"/>
      <c r="AS764" s="141"/>
      <c r="AT764" s="141"/>
      <c r="AU764" s="141"/>
      <c r="AV764" s="141"/>
      <c r="AW764" s="141"/>
      <c r="AX764" s="141"/>
      <c r="AY764" s="141"/>
      <c r="AZ764" s="141"/>
      <c r="BA764" s="141"/>
      <c r="BB764" s="141"/>
      <c r="BC764" s="141"/>
      <c r="BD764" s="141"/>
      <c r="BE764" s="141"/>
      <c r="BF764" s="141"/>
      <c r="BG764" s="141"/>
      <c r="BH764" s="141"/>
      <c r="BI764" s="141"/>
      <c r="BJ764" s="141"/>
      <c r="BK764" s="141"/>
      <c r="BL764" s="141"/>
      <c r="BM764" s="141"/>
      <c r="BN764" s="141"/>
      <c r="BO764" s="141"/>
    </row>
    <row r="765" ht="13.5" customHeight="1">
      <c r="A765" s="138"/>
      <c r="B765" s="139"/>
      <c r="C765" s="138"/>
      <c r="D765" s="138"/>
      <c r="E765" s="140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  <c r="AL765" s="141"/>
      <c r="AM765" s="141"/>
      <c r="AN765" s="141"/>
      <c r="AO765" s="141"/>
      <c r="AP765" s="141"/>
      <c r="AQ765" s="141"/>
      <c r="AR765" s="141"/>
      <c r="AS765" s="141"/>
      <c r="AT765" s="141"/>
      <c r="AU765" s="141"/>
      <c r="AV765" s="141"/>
      <c r="AW765" s="141"/>
      <c r="AX765" s="141"/>
      <c r="AY765" s="141"/>
      <c r="AZ765" s="141"/>
      <c r="BA765" s="141"/>
      <c r="BB765" s="141"/>
      <c r="BC765" s="141"/>
      <c r="BD765" s="141"/>
      <c r="BE765" s="141"/>
      <c r="BF765" s="141"/>
      <c r="BG765" s="141"/>
      <c r="BH765" s="141"/>
      <c r="BI765" s="141"/>
      <c r="BJ765" s="141"/>
      <c r="BK765" s="141"/>
      <c r="BL765" s="141"/>
      <c r="BM765" s="141"/>
      <c r="BN765" s="141"/>
      <c r="BO765" s="141"/>
    </row>
    <row r="766" ht="13.5" customHeight="1">
      <c r="A766" s="138"/>
      <c r="B766" s="139"/>
      <c r="C766" s="138"/>
      <c r="D766" s="138"/>
      <c r="E766" s="140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  <c r="AL766" s="141"/>
      <c r="AM766" s="141"/>
      <c r="AN766" s="141"/>
      <c r="AO766" s="141"/>
      <c r="AP766" s="141"/>
      <c r="AQ766" s="141"/>
      <c r="AR766" s="141"/>
      <c r="AS766" s="141"/>
      <c r="AT766" s="141"/>
      <c r="AU766" s="141"/>
      <c r="AV766" s="141"/>
      <c r="AW766" s="141"/>
      <c r="AX766" s="141"/>
      <c r="AY766" s="141"/>
      <c r="AZ766" s="141"/>
      <c r="BA766" s="141"/>
      <c r="BB766" s="141"/>
      <c r="BC766" s="141"/>
      <c r="BD766" s="141"/>
      <c r="BE766" s="141"/>
      <c r="BF766" s="141"/>
      <c r="BG766" s="141"/>
      <c r="BH766" s="141"/>
      <c r="BI766" s="141"/>
      <c r="BJ766" s="141"/>
      <c r="BK766" s="141"/>
      <c r="BL766" s="141"/>
      <c r="BM766" s="141"/>
      <c r="BN766" s="141"/>
      <c r="BO766" s="141"/>
    </row>
    <row r="767" ht="13.5" customHeight="1">
      <c r="A767" s="138"/>
      <c r="B767" s="139"/>
      <c r="C767" s="138"/>
      <c r="D767" s="138"/>
      <c r="E767" s="140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  <c r="AL767" s="141"/>
      <c r="AM767" s="141"/>
      <c r="AN767" s="141"/>
      <c r="AO767" s="141"/>
      <c r="AP767" s="141"/>
      <c r="AQ767" s="141"/>
      <c r="AR767" s="141"/>
      <c r="AS767" s="141"/>
      <c r="AT767" s="141"/>
      <c r="AU767" s="141"/>
      <c r="AV767" s="141"/>
      <c r="AW767" s="141"/>
      <c r="AX767" s="141"/>
      <c r="AY767" s="141"/>
      <c r="AZ767" s="141"/>
      <c r="BA767" s="141"/>
      <c r="BB767" s="141"/>
      <c r="BC767" s="141"/>
      <c r="BD767" s="141"/>
      <c r="BE767" s="141"/>
      <c r="BF767" s="141"/>
      <c r="BG767" s="141"/>
      <c r="BH767" s="141"/>
      <c r="BI767" s="141"/>
      <c r="BJ767" s="141"/>
      <c r="BK767" s="141"/>
      <c r="BL767" s="141"/>
      <c r="BM767" s="141"/>
      <c r="BN767" s="141"/>
      <c r="BO767" s="141"/>
    </row>
    <row r="768" ht="13.5" customHeight="1">
      <c r="A768" s="138"/>
      <c r="B768" s="139"/>
      <c r="C768" s="138"/>
      <c r="D768" s="138"/>
      <c r="E768" s="140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  <c r="AL768" s="141"/>
      <c r="AM768" s="141"/>
      <c r="AN768" s="141"/>
      <c r="AO768" s="141"/>
      <c r="AP768" s="141"/>
      <c r="AQ768" s="141"/>
      <c r="AR768" s="141"/>
      <c r="AS768" s="141"/>
      <c r="AT768" s="141"/>
      <c r="AU768" s="141"/>
      <c r="AV768" s="141"/>
      <c r="AW768" s="141"/>
      <c r="AX768" s="141"/>
      <c r="AY768" s="141"/>
      <c r="AZ768" s="141"/>
      <c r="BA768" s="141"/>
      <c r="BB768" s="141"/>
      <c r="BC768" s="141"/>
      <c r="BD768" s="141"/>
      <c r="BE768" s="141"/>
      <c r="BF768" s="141"/>
      <c r="BG768" s="141"/>
      <c r="BH768" s="141"/>
      <c r="BI768" s="141"/>
      <c r="BJ768" s="141"/>
      <c r="BK768" s="141"/>
      <c r="BL768" s="141"/>
      <c r="BM768" s="141"/>
      <c r="BN768" s="141"/>
      <c r="BO768" s="141"/>
    </row>
    <row r="769" ht="13.5" customHeight="1">
      <c r="A769" s="138"/>
      <c r="B769" s="139"/>
      <c r="C769" s="138"/>
      <c r="D769" s="138"/>
      <c r="E769" s="140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  <c r="AL769" s="141"/>
      <c r="AM769" s="141"/>
      <c r="AN769" s="141"/>
      <c r="AO769" s="141"/>
      <c r="AP769" s="141"/>
      <c r="AQ769" s="141"/>
      <c r="AR769" s="141"/>
      <c r="AS769" s="141"/>
      <c r="AT769" s="141"/>
      <c r="AU769" s="141"/>
      <c r="AV769" s="141"/>
      <c r="AW769" s="141"/>
      <c r="AX769" s="141"/>
      <c r="AY769" s="141"/>
      <c r="AZ769" s="141"/>
      <c r="BA769" s="141"/>
      <c r="BB769" s="141"/>
      <c r="BC769" s="141"/>
      <c r="BD769" s="141"/>
      <c r="BE769" s="141"/>
      <c r="BF769" s="141"/>
      <c r="BG769" s="141"/>
      <c r="BH769" s="141"/>
      <c r="BI769" s="141"/>
      <c r="BJ769" s="141"/>
      <c r="BK769" s="141"/>
      <c r="BL769" s="141"/>
      <c r="BM769" s="141"/>
      <c r="BN769" s="141"/>
      <c r="BO769" s="141"/>
    </row>
    <row r="770" ht="13.5" customHeight="1">
      <c r="A770" s="138"/>
      <c r="B770" s="139"/>
      <c r="C770" s="138"/>
      <c r="D770" s="138"/>
      <c r="E770" s="140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  <c r="AL770" s="141"/>
      <c r="AM770" s="141"/>
      <c r="AN770" s="141"/>
      <c r="AO770" s="141"/>
      <c r="AP770" s="141"/>
      <c r="AQ770" s="141"/>
      <c r="AR770" s="141"/>
      <c r="AS770" s="141"/>
      <c r="AT770" s="141"/>
      <c r="AU770" s="141"/>
      <c r="AV770" s="141"/>
      <c r="AW770" s="141"/>
      <c r="AX770" s="141"/>
      <c r="AY770" s="141"/>
      <c r="AZ770" s="141"/>
      <c r="BA770" s="141"/>
      <c r="BB770" s="141"/>
      <c r="BC770" s="141"/>
      <c r="BD770" s="141"/>
      <c r="BE770" s="141"/>
      <c r="BF770" s="141"/>
      <c r="BG770" s="141"/>
      <c r="BH770" s="141"/>
      <c r="BI770" s="141"/>
      <c r="BJ770" s="141"/>
      <c r="BK770" s="141"/>
      <c r="BL770" s="141"/>
      <c r="BM770" s="141"/>
      <c r="BN770" s="141"/>
      <c r="BO770" s="141"/>
    </row>
    <row r="771" ht="13.5" customHeight="1">
      <c r="A771" s="138"/>
      <c r="B771" s="139"/>
      <c r="C771" s="138"/>
      <c r="D771" s="138"/>
      <c r="E771" s="140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  <c r="AL771" s="141"/>
      <c r="AM771" s="141"/>
      <c r="AN771" s="141"/>
      <c r="AO771" s="141"/>
      <c r="AP771" s="141"/>
      <c r="AQ771" s="141"/>
      <c r="AR771" s="141"/>
      <c r="AS771" s="141"/>
      <c r="AT771" s="141"/>
      <c r="AU771" s="141"/>
      <c r="AV771" s="141"/>
      <c r="AW771" s="141"/>
      <c r="AX771" s="141"/>
      <c r="AY771" s="141"/>
      <c r="AZ771" s="141"/>
      <c r="BA771" s="141"/>
      <c r="BB771" s="141"/>
      <c r="BC771" s="141"/>
      <c r="BD771" s="141"/>
      <c r="BE771" s="141"/>
      <c r="BF771" s="141"/>
      <c r="BG771" s="141"/>
      <c r="BH771" s="141"/>
      <c r="BI771" s="141"/>
      <c r="BJ771" s="141"/>
      <c r="BK771" s="141"/>
      <c r="BL771" s="141"/>
      <c r="BM771" s="141"/>
      <c r="BN771" s="141"/>
      <c r="BO771" s="141"/>
    </row>
    <row r="772" ht="13.5" customHeight="1">
      <c r="A772" s="138"/>
      <c r="B772" s="139"/>
      <c r="C772" s="138"/>
      <c r="D772" s="138"/>
      <c r="E772" s="140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  <c r="AL772" s="141"/>
      <c r="AM772" s="141"/>
      <c r="AN772" s="141"/>
      <c r="AO772" s="141"/>
      <c r="AP772" s="141"/>
      <c r="AQ772" s="141"/>
      <c r="AR772" s="141"/>
      <c r="AS772" s="141"/>
      <c r="AT772" s="141"/>
      <c r="AU772" s="141"/>
      <c r="AV772" s="141"/>
      <c r="AW772" s="141"/>
      <c r="AX772" s="141"/>
      <c r="AY772" s="141"/>
      <c r="AZ772" s="141"/>
      <c r="BA772" s="141"/>
      <c r="BB772" s="141"/>
      <c r="BC772" s="141"/>
      <c r="BD772" s="141"/>
      <c r="BE772" s="141"/>
      <c r="BF772" s="141"/>
      <c r="BG772" s="141"/>
      <c r="BH772" s="141"/>
      <c r="BI772" s="141"/>
      <c r="BJ772" s="141"/>
      <c r="BK772" s="141"/>
      <c r="BL772" s="141"/>
      <c r="BM772" s="141"/>
      <c r="BN772" s="141"/>
      <c r="BO772" s="141"/>
    </row>
    <row r="773" ht="13.5" customHeight="1">
      <c r="A773" s="138"/>
      <c r="B773" s="139"/>
      <c r="C773" s="138"/>
      <c r="D773" s="138"/>
      <c r="E773" s="140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  <c r="AL773" s="141"/>
      <c r="AM773" s="141"/>
      <c r="AN773" s="141"/>
      <c r="AO773" s="141"/>
      <c r="AP773" s="141"/>
      <c r="AQ773" s="141"/>
      <c r="AR773" s="141"/>
      <c r="AS773" s="141"/>
      <c r="AT773" s="141"/>
      <c r="AU773" s="141"/>
      <c r="AV773" s="141"/>
      <c r="AW773" s="141"/>
      <c r="AX773" s="141"/>
      <c r="AY773" s="141"/>
      <c r="AZ773" s="141"/>
      <c r="BA773" s="141"/>
      <c r="BB773" s="141"/>
      <c r="BC773" s="141"/>
      <c r="BD773" s="141"/>
      <c r="BE773" s="141"/>
      <c r="BF773" s="141"/>
      <c r="BG773" s="141"/>
      <c r="BH773" s="141"/>
      <c r="BI773" s="141"/>
      <c r="BJ773" s="141"/>
      <c r="BK773" s="141"/>
      <c r="BL773" s="141"/>
      <c r="BM773" s="141"/>
      <c r="BN773" s="141"/>
      <c r="BO773" s="141"/>
    </row>
    <row r="774" ht="13.5" customHeight="1">
      <c r="A774" s="138"/>
      <c r="B774" s="139"/>
      <c r="C774" s="138"/>
      <c r="D774" s="138"/>
      <c r="E774" s="140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  <c r="AL774" s="141"/>
      <c r="AM774" s="141"/>
      <c r="AN774" s="141"/>
      <c r="AO774" s="141"/>
      <c r="AP774" s="141"/>
      <c r="AQ774" s="141"/>
      <c r="AR774" s="141"/>
      <c r="AS774" s="141"/>
      <c r="AT774" s="141"/>
      <c r="AU774" s="141"/>
      <c r="AV774" s="141"/>
      <c r="AW774" s="141"/>
      <c r="AX774" s="141"/>
      <c r="AY774" s="141"/>
      <c r="AZ774" s="141"/>
      <c r="BA774" s="141"/>
      <c r="BB774" s="141"/>
      <c r="BC774" s="141"/>
      <c r="BD774" s="141"/>
      <c r="BE774" s="141"/>
      <c r="BF774" s="141"/>
      <c r="BG774" s="141"/>
      <c r="BH774" s="141"/>
      <c r="BI774" s="141"/>
      <c r="BJ774" s="141"/>
      <c r="BK774" s="141"/>
      <c r="BL774" s="141"/>
      <c r="BM774" s="141"/>
      <c r="BN774" s="141"/>
      <c r="BO774" s="141"/>
    </row>
    <row r="775" ht="13.5" customHeight="1">
      <c r="A775" s="138"/>
      <c r="B775" s="139"/>
      <c r="C775" s="138"/>
      <c r="D775" s="138"/>
      <c r="E775" s="140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  <c r="AL775" s="141"/>
      <c r="AM775" s="141"/>
      <c r="AN775" s="141"/>
      <c r="AO775" s="141"/>
      <c r="AP775" s="141"/>
      <c r="AQ775" s="141"/>
      <c r="AR775" s="141"/>
      <c r="AS775" s="141"/>
      <c r="AT775" s="141"/>
      <c r="AU775" s="141"/>
      <c r="AV775" s="141"/>
      <c r="AW775" s="141"/>
      <c r="AX775" s="141"/>
      <c r="AY775" s="141"/>
      <c r="AZ775" s="141"/>
      <c r="BA775" s="141"/>
      <c r="BB775" s="141"/>
      <c r="BC775" s="141"/>
      <c r="BD775" s="141"/>
      <c r="BE775" s="141"/>
      <c r="BF775" s="141"/>
      <c r="BG775" s="141"/>
      <c r="BH775" s="141"/>
      <c r="BI775" s="141"/>
      <c r="BJ775" s="141"/>
      <c r="BK775" s="141"/>
      <c r="BL775" s="141"/>
      <c r="BM775" s="141"/>
      <c r="BN775" s="141"/>
      <c r="BO775" s="141"/>
    </row>
    <row r="776" ht="13.5" customHeight="1">
      <c r="A776" s="138"/>
      <c r="B776" s="139"/>
      <c r="C776" s="138"/>
      <c r="D776" s="138"/>
      <c r="E776" s="140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  <c r="AL776" s="141"/>
      <c r="AM776" s="141"/>
      <c r="AN776" s="141"/>
      <c r="AO776" s="141"/>
      <c r="AP776" s="141"/>
      <c r="AQ776" s="141"/>
      <c r="AR776" s="141"/>
      <c r="AS776" s="141"/>
      <c r="AT776" s="141"/>
      <c r="AU776" s="141"/>
      <c r="AV776" s="141"/>
      <c r="AW776" s="141"/>
      <c r="AX776" s="141"/>
      <c r="AY776" s="141"/>
      <c r="AZ776" s="141"/>
      <c r="BA776" s="141"/>
      <c r="BB776" s="141"/>
      <c r="BC776" s="141"/>
      <c r="BD776" s="141"/>
      <c r="BE776" s="141"/>
      <c r="BF776" s="141"/>
      <c r="BG776" s="141"/>
      <c r="BH776" s="141"/>
      <c r="BI776" s="141"/>
      <c r="BJ776" s="141"/>
      <c r="BK776" s="141"/>
      <c r="BL776" s="141"/>
      <c r="BM776" s="141"/>
      <c r="BN776" s="141"/>
      <c r="BO776" s="141"/>
    </row>
    <row r="777" ht="13.5" customHeight="1">
      <c r="A777" s="138"/>
      <c r="B777" s="139"/>
      <c r="C777" s="138"/>
      <c r="D777" s="138"/>
      <c r="E777" s="140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  <c r="AL777" s="141"/>
      <c r="AM777" s="141"/>
      <c r="AN777" s="141"/>
      <c r="AO777" s="141"/>
      <c r="AP777" s="141"/>
      <c r="AQ777" s="141"/>
      <c r="AR777" s="141"/>
      <c r="AS777" s="141"/>
      <c r="AT777" s="141"/>
      <c r="AU777" s="141"/>
      <c r="AV777" s="141"/>
      <c r="AW777" s="141"/>
      <c r="AX777" s="141"/>
      <c r="AY777" s="141"/>
      <c r="AZ777" s="141"/>
      <c r="BA777" s="141"/>
      <c r="BB777" s="141"/>
      <c r="BC777" s="141"/>
      <c r="BD777" s="141"/>
      <c r="BE777" s="141"/>
      <c r="BF777" s="141"/>
      <c r="BG777" s="141"/>
      <c r="BH777" s="141"/>
      <c r="BI777" s="141"/>
      <c r="BJ777" s="141"/>
      <c r="BK777" s="141"/>
      <c r="BL777" s="141"/>
      <c r="BM777" s="141"/>
      <c r="BN777" s="141"/>
      <c r="BO777" s="141"/>
    </row>
    <row r="778" ht="13.5" customHeight="1">
      <c r="A778" s="138"/>
      <c r="B778" s="139"/>
      <c r="C778" s="138"/>
      <c r="D778" s="138"/>
      <c r="E778" s="140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  <c r="AL778" s="141"/>
      <c r="AM778" s="141"/>
      <c r="AN778" s="141"/>
      <c r="AO778" s="141"/>
      <c r="AP778" s="141"/>
      <c r="AQ778" s="141"/>
      <c r="AR778" s="141"/>
      <c r="AS778" s="141"/>
      <c r="AT778" s="141"/>
      <c r="AU778" s="141"/>
      <c r="AV778" s="141"/>
      <c r="AW778" s="141"/>
      <c r="AX778" s="141"/>
      <c r="AY778" s="141"/>
      <c r="AZ778" s="141"/>
      <c r="BA778" s="141"/>
      <c r="BB778" s="141"/>
      <c r="BC778" s="141"/>
      <c r="BD778" s="141"/>
      <c r="BE778" s="141"/>
      <c r="BF778" s="141"/>
      <c r="BG778" s="141"/>
      <c r="BH778" s="141"/>
      <c r="BI778" s="141"/>
      <c r="BJ778" s="141"/>
      <c r="BK778" s="141"/>
      <c r="BL778" s="141"/>
      <c r="BM778" s="141"/>
      <c r="BN778" s="141"/>
      <c r="BO778" s="141"/>
    </row>
    <row r="779" ht="13.5" customHeight="1">
      <c r="A779" s="138"/>
      <c r="B779" s="139"/>
      <c r="C779" s="138"/>
      <c r="D779" s="138"/>
      <c r="E779" s="140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  <c r="AL779" s="141"/>
      <c r="AM779" s="141"/>
      <c r="AN779" s="141"/>
      <c r="AO779" s="141"/>
      <c r="AP779" s="141"/>
      <c r="AQ779" s="141"/>
      <c r="AR779" s="141"/>
      <c r="AS779" s="141"/>
      <c r="AT779" s="141"/>
      <c r="AU779" s="141"/>
      <c r="AV779" s="141"/>
      <c r="AW779" s="141"/>
      <c r="AX779" s="141"/>
      <c r="AY779" s="141"/>
      <c r="AZ779" s="141"/>
      <c r="BA779" s="141"/>
      <c r="BB779" s="141"/>
      <c r="BC779" s="141"/>
      <c r="BD779" s="141"/>
      <c r="BE779" s="141"/>
      <c r="BF779" s="141"/>
      <c r="BG779" s="141"/>
      <c r="BH779" s="141"/>
      <c r="BI779" s="141"/>
      <c r="BJ779" s="141"/>
      <c r="BK779" s="141"/>
      <c r="BL779" s="141"/>
      <c r="BM779" s="141"/>
      <c r="BN779" s="141"/>
      <c r="BO779" s="141"/>
    </row>
    <row r="780" ht="13.5" customHeight="1">
      <c r="A780" s="138"/>
      <c r="B780" s="139"/>
      <c r="C780" s="138"/>
      <c r="D780" s="138"/>
      <c r="E780" s="140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  <c r="AL780" s="141"/>
      <c r="AM780" s="141"/>
      <c r="AN780" s="141"/>
      <c r="AO780" s="141"/>
      <c r="AP780" s="141"/>
      <c r="AQ780" s="141"/>
      <c r="AR780" s="141"/>
      <c r="AS780" s="141"/>
      <c r="AT780" s="141"/>
      <c r="AU780" s="141"/>
      <c r="AV780" s="141"/>
      <c r="AW780" s="141"/>
      <c r="AX780" s="141"/>
      <c r="AY780" s="141"/>
      <c r="AZ780" s="141"/>
      <c r="BA780" s="141"/>
      <c r="BB780" s="141"/>
      <c r="BC780" s="141"/>
      <c r="BD780" s="141"/>
      <c r="BE780" s="141"/>
      <c r="BF780" s="141"/>
      <c r="BG780" s="141"/>
      <c r="BH780" s="141"/>
      <c r="BI780" s="141"/>
      <c r="BJ780" s="141"/>
      <c r="BK780" s="141"/>
      <c r="BL780" s="141"/>
      <c r="BM780" s="141"/>
      <c r="BN780" s="141"/>
      <c r="BO780" s="141"/>
    </row>
    <row r="781" ht="13.5" customHeight="1">
      <c r="A781" s="138"/>
      <c r="B781" s="139"/>
      <c r="C781" s="138"/>
      <c r="D781" s="138"/>
      <c r="E781" s="140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  <c r="AL781" s="141"/>
      <c r="AM781" s="141"/>
      <c r="AN781" s="141"/>
      <c r="AO781" s="141"/>
      <c r="AP781" s="141"/>
      <c r="AQ781" s="141"/>
      <c r="AR781" s="141"/>
      <c r="AS781" s="141"/>
      <c r="AT781" s="141"/>
      <c r="AU781" s="141"/>
      <c r="AV781" s="141"/>
      <c r="AW781" s="141"/>
      <c r="AX781" s="141"/>
      <c r="AY781" s="141"/>
      <c r="AZ781" s="141"/>
      <c r="BA781" s="141"/>
      <c r="BB781" s="141"/>
      <c r="BC781" s="141"/>
      <c r="BD781" s="141"/>
      <c r="BE781" s="141"/>
      <c r="BF781" s="141"/>
      <c r="BG781" s="141"/>
      <c r="BH781" s="141"/>
      <c r="BI781" s="141"/>
      <c r="BJ781" s="141"/>
      <c r="BK781" s="141"/>
      <c r="BL781" s="141"/>
      <c r="BM781" s="141"/>
      <c r="BN781" s="141"/>
      <c r="BO781" s="141"/>
    </row>
    <row r="782" ht="13.5" customHeight="1">
      <c r="A782" s="138"/>
      <c r="B782" s="139"/>
      <c r="C782" s="138"/>
      <c r="D782" s="138"/>
      <c r="E782" s="140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  <c r="AL782" s="141"/>
      <c r="AM782" s="141"/>
      <c r="AN782" s="141"/>
      <c r="AO782" s="141"/>
      <c r="AP782" s="141"/>
      <c r="AQ782" s="141"/>
      <c r="AR782" s="141"/>
      <c r="AS782" s="141"/>
      <c r="AT782" s="141"/>
      <c r="AU782" s="141"/>
      <c r="AV782" s="141"/>
      <c r="AW782" s="141"/>
      <c r="AX782" s="141"/>
      <c r="AY782" s="141"/>
      <c r="AZ782" s="141"/>
      <c r="BA782" s="141"/>
      <c r="BB782" s="141"/>
      <c r="BC782" s="141"/>
      <c r="BD782" s="141"/>
      <c r="BE782" s="141"/>
      <c r="BF782" s="141"/>
      <c r="BG782" s="141"/>
      <c r="BH782" s="141"/>
      <c r="BI782" s="141"/>
      <c r="BJ782" s="141"/>
      <c r="BK782" s="141"/>
      <c r="BL782" s="141"/>
      <c r="BM782" s="141"/>
      <c r="BN782" s="141"/>
      <c r="BO782" s="141"/>
    </row>
    <row r="783" ht="13.5" customHeight="1">
      <c r="A783" s="138"/>
      <c r="B783" s="139"/>
      <c r="C783" s="138"/>
      <c r="D783" s="138"/>
      <c r="E783" s="140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  <c r="AL783" s="141"/>
      <c r="AM783" s="141"/>
      <c r="AN783" s="141"/>
      <c r="AO783" s="141"/>
      <c r="AP783" s="141"/>
      <c r="AQ783" s="141"/>
      <c r="AR783" s="141"/>
      <c r="AS783" s="141"/>
      <c r="AT783" s="141"/>
      <c r="AU783" s="141"/>
      <c r="AV783" s="141"/>
      <c r="AW783" s="141"/>
      <c r="AX783" s="141"/>
      <c r="AY783" s="141"/>
      <c r="AZ783" s="141"/>
      <c r="BA783" s="141"/>
      <c r="BB783" s="141"/>
      <c r="BC783" s="141"/>
      <c r="BD783" s="141"/>
      <c r="BE783" s="141"/>
      <c r="BF783" s="141"/>
      <c r="BG783" s="141"/>
      <c r="BH783" s="141"/>
      <c r="BI783" s="141"/>
      <c r="BJ783" s="141"/>
      <c r="BK783" s="141"/>
      <c r="BL783" s="141"/>
      <c r="BM783" s="141"/>
      <c r="BN783" s="141"/>
      <c r="BO783" s="141"/>
    </row>
    <row r="784" ht="13.5" customHeight="1">
      <c r="A784" s="138"/>
      <c r="B784" s="139"/>
      <c r="C784" s="138"/>
      <c r="D784" s="138"/>
      <c r="E784" s="140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  <c r="AL784" s="141"/>
      <c r="AM784" s="141"/>
      <c r="AN784" s="141"/>
      <c r="AO784" s="141"/>
      <c r="AP784" s="141"/>
      <c r="AQ784" s="141"/>
      <c r="AR784" s="141"/>
      <c r="AS784" s="141"/>
      <c r="AT784" s="141"/>
      <c r="AU784" s="141"/>
      <c r="AV784" s="141"/>
      <c r="AW784" s="141"/>
      <c r="AX784" s="141"/>
      <c r="AY784" s="141"/>
      <c r="AZ784" s="141"/>
      <c r="BA784" s="141"/>
      <c r="BB784" s="141"/>
      <c r="BC784" s="141"/>
      <c r="BD784" s="141"/>
      <c r="BE784" s="141"/>
      <c r="BF784" s="141"/>
      <c r="BG784" s="141"/>
      <c r="BH784" s="141"/>
      <c r="BI784" s="141"/>
      <c r="BJ784" s="141"/>
      <c r="BK784" s="141"/>
      <c r="BL784" s="141"/>
      <c r="BM784" s="141"/>
      <c r="BN784" s="141"/>
      <c r="BO784" s="141"/>
    </row>
    <row r="785" ht="13.5" customHeight="1">
      <c r="A785" s="138"/>
      <c r="B785" s="139"/>
      <c r="C785" s="138"/>
      <c r="D785" s="138"/>
      <c r="E785" s="140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  <c r="AL785" s="141"/>
      <c r="AM785" s="141"/>
      <c r="AN785" s="141"/>
      <c r="AO785" s="141"/>
      <c r="AP785" s="141"/>
      <c r="AQ785" s="141"/>
      <c r="AR785" s="141"/>
      <c r="AS785" s="141"/>
      <c r="AT785" s="141"/>
      <c r="AU785" s="141"/>
      <c r="AV785" s="141"/>
      <c r="AW785" s="141"/>
      <c r="AX785" s="141"/>
      <c r="AY785" s="141"/>
      <c r="AZ785" s="141"/>
      <c r="BA785" s="141"/>
      <c r="BB785" s="141"/>
      <c r="BC785" s="141"/>
      <c r="BD785" s="141"/>
      <c r="BE785" s="141"/>
      <c r="BF785" s="141"/>
      <c r="BG785" s="141"/>
      <c r="BH785" s="141"/>
      <c r="BI785" s="141"/>
      <c r="BJ785" s="141"/>
      <c r="BK785" s="141"/>
      <c r="BL785" s="141"/>
      <c r="BM785" s="141"/>
      <c r="BN785" s="141"/>
      <c r="BO785" s="141"/>
    </row>
    <row r="786" ht="13.5" customHeight="1">
      <c r="A786" s="138"/>
      <c r="B786" s="139"/>
      <c r="C786" s="138"/>
      <c r="D786" s="138"/>
      <c r="E786" s="140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  <c r="AL786" s="141"/>
      <c r="AM786" s="141"/>
      <c r="AN786" s="141"/>
      <c r="AO786" s="141"/>
      <c r="AP786" s="141"/>
      <c r="AQ786" s="141"/>
      <c r="AR786" s="141"/>
      <c r="AS786" s="141"/>
      <c r="AT786" s="141"/>
      <c r="AU786" s="141"/>
      <c r="AV786" s="141"/>
      <c r="AW786" s="141"/>
      <c r="AX786" s="141"/>
      <c r="AY786" s="141"/>
      <c r="AZ786" s="141"/>
      <c r="BA786" s="141"/>
      <c r="BB786" s="141"/>
      <c r="BC786" s="141"/>
      <c r="BD786" s="141"/>
      <c r="BE786" s="141"/>
      <c r="BF786" s="141"/>
      <c r="BG786" s="141"/>
      <c r="BH786" s="141"/>
      <c r="BI786" s="141"/>
      <c r="BJ786" s="141"/>
      <c r="BK786" s="141"/>
      <c r="BL786" s="141"/>
      <c r="BM786" s="141"/>
      <c r="BN786" s="141"/>
      <c r="BO786" s="141"/>
    </row>
    <row r="787" ht="13.5" customHeight="1">
      <c r="A787" s="138"/>
      <c r="B787" s="139"/>
      <c r="C787" s="138"/>
      <c r="D787" s="138"/>
      <c r="E787" s="140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  <c r="AL787" s="141"/>
      <c r="AM787" s="141"/>
      <c r="AN787" s="141"/>
      <c r="AO787" s="141"/>
      <c r="AP787" s="141"/>
      <c r="AQ787" s="141"/>
      <c r="AR787" s="141"/>
      <c r="AS787" s="141"/>
      <c r="AT787" s="141"/>
      <c r="AU787" s="141"/>
      <c r="AV787" s="141"/>
      <c r="AW787" s="141"/>
      <c r="AX787" s="141"/>
      <c r="AY787" s="141"/>
      <c r="AZ787" s="141"/>
      <c r="BA787" s="141"/>
      <c r="BB787" s="141"/>
      <c r="BC787" s="141"/>
      <c r="BD787" s="141"/>
      <c r="BE787" s="141"/>
      <c r="BF787" s="141"/>
      <c r="BG787" s="141"/>
      <c r="BH787" s="141"/>
      <c r="BI787" s="141"/>
      <c r="BJ787" s="141"/>
      <c r="BK787" s="141"/>
      <c r="BL787" s="141"/>
      <c r="BM787" s="141"/>
      <c r="BN787" s="141"/>
      <c r="BO787" s="141"/>
    </row>
    <row r="788" ht="13.5" customHeight="1">
      <c r="A788" s="138"/>
      <c r="B788" s="139"/>
      <c r="C788" s="138"/>
      <c r="D788" s="138"/>
      <c r="E788" s="140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  <c r="AL788" s="141"/>
      <c r="AM788" s="141"/>
      <c r="AN788" s="141"/>
      <c r="AO788" s="141"/>
      <c r="AP788" s="141"/>
      <c r="AQ788" s="141"/>
      <c r="AR788" s="141"/>
      <c r="AS788" s="141"/>
      <c r="AT788" s="141"/>
      <c r="AU788" s="141"/>
      <c r="AV788" s="141"/>
      <c r="AW788" s="141"/>
      <c r="AX788" s="141"/>
      <c r="AY788" s="141"/>
      <c r="AZ788" s="141"/>
      <c r="BA788" s="141"/>
      <c r="BB788" s="141"/>
      <c r="BC788" s="141"/>
      <c r="BD788" s="141"/>
      <c r="BE788" s="141"/>
      <c r="BF788" s="141"/>
      <c r="BG788" s="141"/>
      <c r="BH788" s="141"/>
      <c r="BI788" s="141"/>
      <c r="BJ788" s="141"/>
      <c r="BK788" s="141"/>
      <c r="BL788" s="141"/>
      <c r="BM788" s="141"/>
      <c r="BN788" s="141"/>
      <c r="BO788" s="141"/>
    </row>
    <row r="789" ht="13.5" customHeight="1">
      <c r="A789" s="138"/>
      <c r="B789" s="139"/>
      <c r="C789" s="138"/>
      <c r="D789" s="138"/>
      <c r="E789" s="140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  <c r="AL789" s="141"/>
      <c r="AM789" s="141"/>
      <c r="AN789" s="141"/>
      <c r="AO789" s="141"/>
      <c r="AP789" s="141"/>
      <c r="AQ789" s="141"/>
      <c r="AR789" s="141"/>
      <c r="AS789" s="141"/>
      <c r="AT789" s="141"/>
      <c r="AU789" s="141"/>
      <c r="AV789" s="141"/>
      <c r="AW789" s="141"/>
      <c r="AX789" s="141"/>
      <c r="AY789" s="141"/>
      <c r="AZ789" s="141"/>
      <c r="BA789" s="141"/>
      <c r="BB789" s="141"/>
      <c r="BC789" s="141"/>
      <c r="BD789" s="141"/>
      <c r="BE789" s="141"/>
      <c r="BF789" s="141"/>
      <c r="BG789" s="141"/>
      <c r="BH789" s="141"/>
      <c r="BI789" s="141"/>
      <c r="BJ789" s="141"/>
      <c r="BK789" s="141"/>
      <c r="BL789" s="141"/>
      <c r="BM789" s="141"/>
      <c r="BN789" s="141"/>
      <c r="BO789" s="141"/>
    </row>
    <row r="790" ht="13.5" customHeight="1">
      <c r="A790" s="138"/>
      <c r="B790" s="139"/>
      <c r="C790" s="138"/>
      <c r="D790" s="138"/>
      <c r="E790" s="140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  <c r="AL790" s="141"/>
      <c r="AM790" s="141"/>
      <c r="AN790" s="141"/>
      <c r="AO790" s="141"/>
      <c r="AP790" s="141"/>
      <c r="AQ790" s="141"/>
      <c r="AR790" s="141"/>
      <c r="AS790" s="141"/>
      <c r="AT790" s="141"/>
      <c r="AU790" s="141"/>
      <c r="AV790" s="141"/>
      <c r="AW790" s="141"/>
      <c r="AX790" s="141"/>
      <c r="AY790" s="141"/>
      <c r="AZ790" s="141"/>
      <c r="BA790" s="141"/>
      <c r="BB790" s="141"/>
      <c r="BC790" s="141"/>
      <c r="BD790" s="141"/>
      <c r="BE790" s="141"/>
      <c r="BF790" s="141"/>
      <c r="BG790" s="141"/>
      <c r="BH790" s="141"/>
      <c r="BI790" s="141"/>
      <c r="BJ790" s="141"/>
      <c r="BK790" s="141"/>
      <c r="BL790" s="141"/>
      <c r="BM790" s="141"/>
      <c r="BN790" s="141"/>
      <c r="BO790" s="141"/>
    </row>
    <row r="791" ht="13.5" customHeight="1">
      <c r="A791" s="138"/>
      <c r="B791" s="139"/>
      <c r="C791" s="138"/>
      <c r="D791" s="138"/>
      <c r="E791" s="140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  <c r="AL791" s="141"/>
      <c r="AM791" s="141"/>
      <c r="AN791" s="141"/>
      <c r="AO791" s="141"/>
      <c r="AP791" s="141"/>
      <c r="AQ791" s="141"/>
      <c r="AR791" s="141"/>
      <c r="AS791" s="141"/>
      <c r="AT791" s="141"/>
      <c r="AU791" s="141"/>
      <c r="AV791" s="141"/>
      <c r="AW791" s="141"/>
      <c r="AX791" s="141"/>
      <c r="AY791" s="141"/>
      <c r="AZ791" s="141"/>
      <c r="BA791" s="141"/>
      <c r="BB791" s="141"/>
      <c r="BC791" s="141"/>
      <c r="BD791" s="141"/>
      <c r="BE791" s="141"/>
      <c r="BF791" s="141"/>
      <c r="BG791" s="141"/>
      <c r="BH791" s="141"/>
      <c r="BI791" s="141"/>
      <c r="BJ791" s="141"/>
      <c r="BK791" s="141"/>
      <c r="BL791" s="141"/>
      <c r="BM791" s="141"/>
      <c r="BN791" s="141"/>
      <c r="BO791" s="141"/>
    </row>
    <row r="792" ht="13.5" customHeight="1">
      <c r="A792" s="138"/>
      <c r="B792" s="139"/>
      <c r="C792" s="138"/>
      <c r="D792" s="138"/>
      <c r="E792" s="140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  <c r="AL792" s="141"/>
      <c r="AM792" s="141"/>
      <c r="AN792" s="141"/>
      <c r="AO792" s="141"/>
      <c r="AP792" s="141"/>
      <c r="AQ792" s="141"/>
      <c r="AR792" s="141"/>
      <c r="AS792" s="141"/>
      <c r="AT792" s="141"/>
      <c r="AU792" s="141"/>
      <c r="AV792" s="141"/>
      <c r="AW792" s="141"/>
      <c r="AX792" s="141"/>
      <c r="AY792" s="141"/>
      <c r="AZ792" s="141"/>
      <c r="BA792" s="141"/>
      <c r="BB792" s="141"/>
      <c r="BC792" s="141"/>
      <c r="BD792" s="141"/>
      <c r="BE792" s="141"/>
      <c r="BF792" s="141"/>
      <c r="BG792" s="141"/>
      <c r="BH792" s="141"/>
      <c r="BI792" s="141"/>
      <c r="BJ792" s="141"/>
      <c r="BK792" s="141"/>
      <c r="BL792" s="141"/>
      <c r="BM792" s="141"/>
      <c r="BN792" s="141"/>
      <c r="BO792" s="141"/>
    </row>
    <row r="793" ht="13.5" customHeight="1">
      <c r="A793" s="138"/>
      <c r="B793" s="139"/>
      <c r="C793" s="138"/>
      <c r="D793" s="138"/>
      <c r="E793" s="140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  <c r="AL793" s="141"/>
      <c r="AM793" s="141"/>
      <c r="AN793" s="141"/>
      <c r="AO793" s="141"/>
      <c r="AP793" s="141"/>
      <c r="AQ793" s="141"/>
      <c r="AR793" s="141"/>
      <c r="AS793" s="141"/>
      <c r="AT793" s="141"/>
      <c r="AU793" s="141"/>
      <c r="AV793" s="141"/>
      <c r="AW793" s="141"/>
      <c r="AX793" s="141"/>
      <c r="AY793" s="141"/>
      <c r="AZ793" s="141"/>
      <c r="BA793" s="141"/>
      <c r="BB793" s="141"/>
      <c r="BC793" s="141"/>
      <c r="BD793" s="141"/>
      <c r="BE793" s="141"/>
      <c r="BF793" s="141"/>
      <c r="BG793" s="141"/>
      <c r="BH793" s="141"/>
      <c r="BI793" s="141"/>
      <c r="BJ793" s="141"/>
      <c r="BK793" s="141"/>
      <c r="BL793" s="141"/>
      <c r="BM793" s="141"/>
      <c r="BN793" s="141"/>
      <c r="BO793" s="141"/>
    </row>
    <row r="794" ht="13.5" customHeight="1">
      <c r="A794" s="138"/>
      <c r="B794" s="139"/>
      <c r="C794" s="138"/>
      <c r="D794" s="138"/>
      <c r="E794" s="140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  <c r="AL794" s="141"/>
      <c r="AM794" s="141"/>
      <c r="AN794" s="141"/>
      <c r="AO794" s="141"/>
      <c r="AP794" s="141"/>
      <c r="AQ794" s="141"/>
      <c r="AR794" s="141"/>
      <c r="AS794" s="141"/>
      <c r="AT794" s="141"/>
      <c r="AU794" s="141"/>
      <c r="AV794" s="141"/>
      <c r="AW794" s="141"/>
      <c r="AX794" s="141"/>
      <c r="AY794" s="141"/>
      <c r="AZ794" s="141"/>
      <c r="BA794" s="141"/>
      <c r="BB794" s="141"/>
      <c r="BC794" s="141"/>
      <c r="BD794" s="141"/>
      <c r="BE794" s="141"/>
      <c r="BF794" s="141"/>
      <c r="BG794" s="141"/>
      <c r="BH794" s="141"/>
      <c r="BI794" s="141"/>
      <c r="BJ794" s="141"/>
      <c r="BK794" s="141"/>
      <c r="BL794" s="141"/>
      <c r="BM794" s="141"/>
      <c r="BN794" s="141"/>
      <c r="BO794" s="141"/>
    </row>
    <row r="795" ht="13.5" customHeight="1">
      <c r="A795" s="138"/>
      <c r="B795" s="139"/>
      <c r="C795" s="138"/>
      <c r="D795" s="138"/>
      <c r="E795" s="140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  <c r="AL795" s="141"/>
      <c r="AM795" s="141"/>
      <c r="AN795" s="141"/>
      <c r="AO795" s="141"/>
      <c r="AP795" s="141"/>
      <c r="AQ795" s="141"/>
      <c r="AR795" s="141"/>
      <c r="AS795" s="141"/>
      <c r="AT795" s="141"/>
      <c r="AU795" s="141"/>
      <c r="AV795" s="141"/>
      <c r="AW795" s="141"/>
      <c r="AX795" s="141"/>
      <c r="AY795" s="141"/>
      <c r="AZ795" s="141"/>
      <c r="BA795" s="141"/>
      <c r="BB795" s="141"/>
      <c r="BC795" s="141"/>
      <c r="BD795" s="141"/>
      <c r="BE795" s="141"/>
      <c r="BF795" s="141"/>
      <c r="BG795" s="141"/>
      <c r="BH795" s="141"/>
      <c r="BI795" s="141"/>
      <c r="BJ795" s="141"/>
      <c r="BK795" s="141"/>
      <c r="BL795" s="141"/>
      <c r="BM795" s="141"/>
      <c r="BN795" s="141"/>
      <c r="BO795" s="141"/>
    </row>
    <row r="796" ht="13.5" customHeight="1">
      <c r="A796" s="138"/>
      <c r="B796" s="139"/>
      <c r="C796" s="138"/>
      <c r="D796" s="138"/>
      <c r="E796" s="140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  <c r="AL796" s="141"/>
      <c r="AM796" s="141"/>
      <c r="AN796" s="141"/>
      <c r="AO796" s="141"/>
      <c r="AP796" s="141"/>
      <c r="AQ796" s="141"/>
      <c r="AR796" s="141"/>
      <c r="AS796" s="141"/>
      <c r="AT796" s="141"/>
      <c r="AU796" s="141"/>
      <c r="AV796" s="141"/>
      <c r="AW796" s="141"/>
      <c r="AX796" s="141"/>
      <c r="AY796" s="141"/>
      <c r="AZ796" s="141"/>
      <c r="BA796" s="141"/>
      <c r="BB796" s="141"/>
      <c r="BC796" s="141"/>
      <c r="BD796" s="141"/>
      <c r="BE796" s="141"/>
      <c r="BF796" s="141"/>
      <c r="BG796" s="141"/>
      <c r="BH796" s="141"/>
      <c r="BI796" s="141"/>
      <c r="BJ796" s="141"/>
      <c r="BK796" s="141"/>
      <c r="BL796" s="141"/>
      <c r="BM796" s="141"/>
      <c r="BN796" s="141"/>
      <c r="BO796" s="141"/>
    </row>
    <row r="797" ht="13.5" customHeight="1">
      <c r="A797" s="138"/>
      <c r="B797" s="139"/>
      <c r="C797" s="138"/>
      <c r="D797" s="138"/>
      <c r="E797" s="140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  <c r="AL797" s="141"/>
      <c r="AM797" s="141"/>
      <c r="AN797" s="141"/>
      <c r="AO797" s="141"/>
      <c r="AP797" s="141"/>
      <c r="AQ797" s="141"/>
      <c r="AR797" s="141"/>
      <c r="AS797" s="141"/>
      <c r="AT797" s="141"/>
      <c r="AU797" s="141"/>
      <c r="AV797" s="141"/>
      <c r="AW797" s="141"/>
      <c r="AX797" s="141"/>
      <c r="AY797" s="141"/>
      <c r="AZ797" s="141"/>
      <c r="BA797" s="141"/>
      <c r="BB797" s="141"/>
      <c r="BC797" s="141"/>
      <c r="BD797" s="141"/>
      <c r="BE797" s="141"/>
      <c r="BF797" s="141"/>
      <c r="BG797" s="141"/>
      <c r="BH797" s="141"/>
      <c r="BI797" s="141"/>
      <c r="BJ797" s="141"/>
      <c r="BK797" s="141"/>
      <c r="BL797" s="141"/>
      <c r="BM797" s="141"/>
      <c r="BN797" s="141"/>
      <c r="BO797" s="141"/>
    </row>
    <row r="798" ht="13.5" customHeight="1">
      <c r="A798" s="138"/>
      <c r="B798" s="139"/>
      <c r="C798" s="138"/>
      <c r="D798" s="138"/>
      <c r="E798" s="140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  <c r="AL798" s="141"/>
      <c r="AM798" s="141"/>
      <c r="AN798" s="141"/>
      <c r="AO798" s="141"/>
      <c r="AP798" s="141"/>
      <c r="AQ798" s="141"/>
      <c r="AR798" s="141"/>
      <c r="AS798" s="141"/>
      <c r="AT798" s="141"/>
      <c r="AU798" s="141"/>
      <c r="AV798" s="141"/>
      <c r="AW798" s="141"/>
      <c r="AX798" s="141"/>
      <c r="AY798" s="141"/>
      <c r="AZ798" s="141"/>
      <c r="BA798" s="141"/>
      <c r="BB798" s="141"/>
      <c r="BC798" s="141"/>
      <c r="BD798" s="141"/>
      <c r="BE798" s="141"/>
      <c r="BF798" s="141"/>
      <c r="BG798" s="141"/>
      <c r="BH798" s="141"/>
      <c r="BI798" s="141"/>
      <c r="BJ798" s="141"/>
      <c r="BK798" s="141"/>
      <c r="BL798" s="141"/>
      <c r="BM798" s="141"/>
      <c r="BN798" s="141"/>
      <c r="BO798" s="141"/>
    </row>
    <row r="799" ht="13.5" customHeight="1">
      <c r="A799" s="138"/>
      <c r="B799" s="139"/>
      <c r="C799" s="138"/>
      <c r="D799" s="138"/>
      <c r="E799" s="140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  <c r="AL799" s="141"/>
      <c r="AM799" s="141"/>
      <c r="AN799" s="141"/>
      <c r="AO799" s="141"/>
      <c r="AP799" s="141"/>
      <c r="AQ799" s="141"/>
      <c r="AR799" s="141"/>
      <c r="AS799" s="141"/>
      <c r="AT799" s="141"/>
      <c r="AU799" s="141"/>
      <c r="AV799" s="141"/>
      <c r="AW799" s="141"/>
      <c r="AX799" s="141"/>
      <c r="AY799" s="141"/>
      <c r="AZ799" s="141"/>
      <c r="BA799" s="141"/>
      <c r="BB799" s="141"/>
      <c r="BC799" s="141"/>
      <c r="BD799" s="141"/>
      <c r="BE799" s="141"/>
      <c r="BF799" s="141"/>
      <c r="BG799" s="141"/>
      <c r="BH799" s="141"/>
      <c r="BI799" s="141"/>
      <c r="BJ799" s="141"/>
      <c r="BK799" s="141"/>
      <c r="BL799" s="141"/>
      <c r="BM799" s="141"/>
      <c r="BN799" s="141"/>
      <c r="BO799" s="141"/>
    </row>
    <row r="800" ht="13.5" customHeight="1">
      <c r="A800" s="138"/>
      <c r="B800" s="139"/>
      <c r="C800" s="138"/>
      <c r="D800" s="138"/>
      <c r="E800" s="140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  <c r="AL800" s="141"/>
      <c r="AM800" s="141"/>
      <c r="AN800" s="141"/>
      <c r="AO800" s="141"/>
      <c r="AP800" s="141"/>
      <c r="AQ800" s="141"/>
      <c r="AR800" s="141"/>
      <c r="AS800" s="141"/>
      <c r="AT800" s="141"/>
      <c r="AU800" s="141"/>
      <c r="AV800" s="141"/>
      <c r="AW800" s="141"/>
      <c r="AX800" s="141"/>
      <c r="AY800" s="141"/>
      <c r="AZ800" s="141"/>
      <c r="BA800" s="141"/>
      <c r="BB800" s="141"/>
      <c r="BC800" s="141"/>
      <c r="BD800" s="141"/>
      <c r="BE800" s="141"/>
      <c r="BF800" s="141"/>
      <c r="BG800" s="141"/>
      <c r="BH800" s="141"/>
      <c r="BI800" s="141"/>
      <c r="BJ800" s="141"/>
      <c r="BK800" s="141"/>
      <c r="BL800" s="141"/>
      <c r="BM800" s="141"/>
      <c r="BN800" s="141"/>
      <c r="BO800" s="141"/>
    </row>
    <row r="801" ht="13.5" customHeight="1">
      <c r="A801" s="138"/>
      <c r="B801" s="139"/>
      <c r="C801" s="138"/>
      <c r="D801" s="138"/>
      <c r="E801" s="140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  <c r="AL801" s="141"/>
      <c r="AM801" s="141"/>
      <c r="AN801" s="141"/>
      <c r="AO801" s="141"/>
      <c r="AP801" s="141"/>
      <c r="AQ801" s="141"/>
      <c r="AR801" s="141"/>
      <c r="AS801" s="141"/>
      <c r="AT801" s="141"/>
      <c r="AU801" s="141"/>
      <c r="AV801" s="141"/>
      <c r="AW801" s="141"/>
      <c r="AX801" s="141"/>
      <c r="AY801" s="141"/>
      <c r="AZ801" s="141"/>
      <c r="BA801" s="141"/>
      <c r="BB801" s="141"/>
      <c r="BC801" s="141"/>
      <c r="BD801" s="141"/>
      <c r="BE801" s="141"/>
      <c r="BF801" s="141"/>
      <c r="BG801" s="141"/>
      <c r="BH801" s="141"/>
      <c r="BI801" s="141"/>
      <c r="BJ801" s="141"/>
      <c r="BK801" s="141"/>
      <c r="BL801" s="141"/>
      <c r="BM801" s="141"/>
      <c r="BN801" s="141"/>
      <c r="BO801" s="141"/>
    </row>
    <row r="802" ht="13.5" customHeight="1">
      <c r="A802" s="138"/>
      <c r="B802" s="139"/>
      <c r="C802" s="138"/>
      <c r="D802" s="138"/>
      <c r="E802" s="140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  <c r="AL802" s="141"/>
      <c r="AM802" s="141"/>
      <c r="AN802" s="141"/>
      <c r="AO802" s="141"/>
      <c r="AP802" s="141"/>
      <c r="AQ802" s="141"/>
      <c r="AR802" s="141"/>
      <c r="AS802" s="141"/>
      <c r="AT802" s="141"/>
      <c r="AU802" s="141"/>
      <c r="AV802" s="141"/>
      <c r="AW802" s="141"/>
      <c r="AX802" s="141"/>
      <c r="AY802" s="141"/>
      <c r="AZ802" s="141"/>
      <c r="BA802" s="141"/>
      <c r="BB802" s="141"/>
      <c r="BC802" s="141"/>
      <c r="BD802" s="141"/>
      <c r="BE802" s="141"/>
      <c r="BF802" s="141"/>
      <c r="BG802" s="141"/>
      <c r="BH802" s="141"/>
      <c r="BI802" s="141"/>
      <c r="BJ802" s="141"/>
      <c r="BK802" s="141"/>
      <c r="BL802" s="141"/>
      <c r="BM802" s="141"/>
      <c r="BN802" s="141"/>
      <c r="BO802" s="141"/>
    </row>
    <row r="803" ht="13.5" customHeight="1">
      <c r="A803" s="138"/>
      <c r="B803" s="139"/>
      <c r="C803" s="138"/>
      <c r="D803" s="138"/>
      <c r="E803" s="140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  <c r="AL803" s="141"/>
      <c r="AM803" s="141"/>
      <c r="AN803" s="141"/>
      <c r="AO803" s="141"/>
      <c r="AP803" s="141"/>
      <c r="AQ803" s="141"/>
      <c r="AR803" s="141"/>
      <c r="AS803" s="141"/>
      <c r="AT803" s="141"/>
      <c r="AU803" s="141"/>
      <c r="AV803" s="141"/>
      <c r="AW803" s="141"/>
      <c r="AX803" s="141"/>
      <c r="AY803" s="141"/>
      <c r="AZ803" s="141"/>
      <c r="BA803" s="141"/>
      <c r="BB803" s="141"/>
      <c r="BC803" s="141"/>
      <c r="BD803" s="141"/>
      <c r="BE803" s="141"/>
      <c r="BF803" s="141"/>
      <c r="BG803" s="141"/>
      <c r="BH803" s="141"/>
      <c r="BI803" s="141"/>
      <c r="BJ803" s="141"/>
      <c r="BK803" s="141"/>
      <c r="BL803" s="141"/>
      <c r="BM803" s="141"/>
      <c r="BN803" s="141"/>
      <c r="BO803" s="141"/>
    </row>
    <row r="804" ht="13.5" customHeight="1">
      <c r="A804" s="138"/>
      <c r="B804" s="139"/>
      <c r="C804" s="138"/>
      <c r="D804" s="138"/>
      <c r="E804" s="140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  <c r="AL804" s="141"/>
      <c r="AM804" s="141"/>
      <c r="AN804" s="141"/>
      <c r="AO804" s="141"/>
      <c r="AP804" s="141"/>
      <c r="AQ804" s="141"/>
      <c r="AR804" s="141"/>
      <c r="AS804" s="141"/>
      <c r="AT804" s="141"/>
      <c r="AU804" s="141"/>
      <c r="AV804" s="141"/>
      <c r="AW804" s="141"/>
      <c r="AX804" s="141"/>
      <c r="AY804" s="141"/>
      <c r="AZ804" s="141"/>
      <c r="BA804" s="141"/>
      <c r="BB804" s="141"/>
      <c r="BC804" s="141"/>
      <c r="BD804" s="141"/>
      <c r="BE804" s="141"/>
      <c r="BF804" s="141"/>
      <c r="BG804" s="141"/>
      <c r="BH804" s="141"/>
      <c r="BI804" s="141"/>
      <c r="BJ804" s="141"/>
      <c r="BK804" s="141"/>
      <c r="BL804" s="141"/>
      <c r="BM804" s="141"/>
      <c r="BN804" s="141"/>
      <c r="BO804" s="141"/>
    </row>
    <row r="805" ht="13.5" customHeight="1">
      <c r="A805" s="138"/>
      <c r="B805" s="139"/>
      <c r="C805" s="138"/>
      <c r="D805" s="138"/>
      <c r="E805" s="140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  <c r="AL805" s="141"/>
      <c r="AM805" s="141"/>
      <c r="AN805" s="141"/>
      <c r="AO805" s="141"/>
      <c r="AP805" s="141"/>
      <c r="AQ805" s="141"/>
      <c r="AR805" s="141"/>
      <c r="AS805" s="141"/>
      <c r="AT805" s="141"/>
      <c r="AU805" s="141"/>
      <c r="AV805" s="141"/>
      <c r="AW805" s="141"/>
      <c r="AX805" s="141"/>
      <c r="AY805" s="141"/>
      <c r="AZ805" s="141"/>
      <c r="BA805" s="141"/>
      <c r="BB805" s="141"/>
      <c r="BC805" s="141"/>
      <c r="BD805" s="141"/>
      <c r="BE805" s="141"/>
      <c r="BF805" s="141"/>
      <c r="BG805" s="141"/>
      <c r="BH805" s="141"/>
      <c r="BI805" s="141"/>
      <c r="BJ805" s="141"/>
      <c r="BK805" s="141"/>
      <c r="BL805" s="141"/>
      <c r="BM805" s="141"/>
      <c r="BN805" s="141"/>
      <c r="BO805" s="141"/>
    </row>
    <row r="806" ht="13.5" customHeight="1">
      <c r="A806" s="138"/>
      <c r="B806" s="139"/>
      <c r="C806" s="138"/>
      <c r="D806" s="138"/>
      <c r="E806" s="140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  <c r="AL806" s="141"/>
      <c r="AM806" s="141"/>
      <c r="AN806" s="141"/>
      <c r="AO806" s="141"/>
      <c r="AP806" s="141"/>
      <c r="AQ806" s="141"/>
      <c r="AR806" s="141"/>
      <c r="AS806" s="141"/>
      <c r="AT806" s="141"/>
      <c r="AU806" s="141"/>
      <c r="AV806" s="141"/>
      <c r="AW806" s="141"/>
      <c r="AX806" s="141"/>
      <c r="AY806" s="141"/>
      <c r="AZ806" s="141"/>
      <c r="BA806" s="141"/>
      <c r="BB806" s="141"/>
      <c r="BC806" s="141"/>
      <c r="BD806" s="141"/>
      <c r="BE806" s="141"/>
      <c r="BF806" s="141"/>
      <c r="BG806" s="141"/>
      <c r="BH806" s="141"/>
      <c r="BI806" s="141"/>
      <c r="BJ806" s="141"/>
      <c r="BK806" s="141"/>
      <c r="BL806" s="141"/>
      <c r="BM806" s="141"/>
      <c r="BN806" s="141"/>
      <c r="BO806" s="141"/>
    </row>
    <row r="807" ht="13.5" customHeight="1">
      <c r="A807" s="138"/>
      <c r="B807" s="139"/>
      <c r="C807" s="138"/>
      <c r="D807" s="138"/>
      <c r="E807" s="140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  <c r="AL807" s="141"/>
      <c r="AM807" s="141"/>
      <c r="AN807" s="141"/>
      <c r="AO807" s="141"/>
      <c r="AP807" s="141"/>
      <c r="AQ807" s="141"/>
      <c r="AR807" s="141"/>
      <c r="AS807" s="141"/>
      <c r="AT807" s="141"/>
      <c r="AU807" s="141"/>
      <c r="AV807" s="141"/>
      <c r="AW807" s="141"/>
      <c r="AX807" s="141"/>
      <c r="AY807" s="141"/>
      <c r="AZ807" s="141"/>
      <c r="BA807" s="141"/>
      <c r="BB807" s="141"/>
      <c r="BC807" s="141"/>
      <c r="BD807" s="141"/>
      <c r="BE807" s="141"/>
      <c r="BF807" s="141"/>
      <c r="BG807" s="141"/>
      <c r="BH807" s="141"/>
      <c r="BI807" s="141"/>
      <c r="BJ807" s="141"/>
      <c r="BK807" s="141"/>
      <c r="BL807" s="141"/>
      <c r="BM807" s="141"/>
      <c r="BN807" s="141"/>
      <c r="BO807" s="141"/>
    </row>
    <row r="808" ht="13.5" customHeight="1">
      <c r="A808" s="138"/>
      <c r="B808" s="139"/>
      <c r="C808" s="138"/>
      <c r="D808" s="138"/>
      <c r="E808" s="140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  <c r="AL808" s="141"/>
      <c r="AM808" s="141"/>
      <c r="AN808" s="141"/>
      <c r="AO808" s="141"/>
      <c r="AP808" s="141"/>
      <c r="AQ808" s="141"/>
      <c r="AR808" s="141"/>
      <c r="AS808" s="141"/>
      <c r="AT808" s="141"/>
      <c r="AU808" s="141"/>
      <c r="AV808" s="141"/>
      <c r="AW808" s="141"/>
      <c r="AX808" s="141"/>
      <c r="AY808" s="141"/>
      <c r="AZ808" s="141"/>
      <c r="BA808" s="141"/>
      <c r="BB808" s="141"/>
      <c r="BC808" s="141"/>
      <c r="BD808" s="141"/>
      <c r="BE808" s="141"/>
      <c r="BF808" s="141"/>
      <c r="BG808" s="141"/>
      <c r="BH808" s="141"/>
      <c r="BI808" s="141"/>
      <c r="BJ808" s="141"/>
      <c r="BK808" s="141"/>
      <c r="BL808" s="141"/>
      <c r="BM808" s="141"/>
      <c r="BN808" s="141"/>
      <c r="BO808" s="141"/>
    </row>
    <row r="809" ht="13.5" customHeight="1">
      <c r="A809" s="138"/>
      <c r="B809" s="139"/>
      <c r="C809" s="138"/>
      <c r="D809" s="138"/>
      <c r="E809" s="140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  <c r="AL809" s="141"/>
      <c r="AM809" s="141"/>
      <c r="AN809" s="141"/>
      <c r="AO809" s="141"/>
      <c r="AP809" s="141"/>
      <c r="AQ809" s="141"/>
      <c r="AR809" s="141"/>
      <c r="AS809" s="141"/>
      <c r="AT809" s="141"/>
      <c r="AU809" s="141"/>
      <c r="AV809" s="141"/>
      <c r="AW809" s="141"/>
      <c r="AX809" s="141"/>
      <c r="AY809" s="141"/>
      <c r="AZ809" s="141"/>
      <c r="BA809" s="141"/>
      <c r="BB809" s="141"/>
      <c r="BC809" s="141"/>
      <c r="BD809" s="141"/>
      <c r="BE809" s="141"/>
      <c r="BF809" s="141"/>
      <c r="BG809" s="141"/>
      <c r="BH809" s="141"/>
      <c r="BI809" s="141"/>
      <c r="BJ809" s="141"/>
      <c r="BK809" s="141"/>
      <c r="BL809" s="141"/>
      <c r="BM809" s="141"/>
      <c r="BN809" s="141"/>
      <c r="BO809" s="141"/>
    </row>
    <row r="810" ht="13.5" customHeight="1">
      <c r="A810" s="138"/>
      <c r="B810" s="139"/>
      <c r="C810" s="138"/>
      <c r="D810" s="138"/>
      <c r="E810" s="140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  <c r="AL810" s="141"/>
      <c r="AM810" s="141"/>
      <c r="AN810" s="141"/>
      <c r="AO810" s="141"/>
      <c r="AP810" s="141"/>
      <c r="AQ810" s="141"/>
      <c r="AR810" s="141"/>
      <c r="AS810" s="141"/>
      <c r="AT810" s="141"/>
      <c r="AU810" s="141"/>
      <c r="AV810" s="141"/>
      <c r="AW810" s="141"/>
      <c r="AX810" s="141"/>
      <c r="AY810" s="141"/>
      <c r="AZ810" s="141"/>
      <c r="BA810" s="141"/>
      <c r="BB810" s="141"/>
      <c r="BC810" s="141"/>
      <c r="BD810" s="141"/>
      <c r="BE810" s="141"/>
      <c r="BF810" s="141"/>
      <c r="BG810" s="141"/>
      <c r="BH810" s="141"/>
      <c r="BI810" s="141"/>
      <c r="BJ810" s="141"/>
      <c r="BK810" s="141"/>
      <c r="BL810" s="141"/>
      <c r="BM810" s="141"/>
      <c r="BN810" s="141"/>
      <c r="BO810" s="141"/>
    </row>
    <row r="811" ht="13.5" customHeight="1">
      <c r="A811" s="138"/>
      <c r="B811" s="139"/>
      <c r="C811" s="138"/>
      <c r="D811" s="138"/>
      <c r="E811" s="140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  <c r="AL811" s="141"/>
      <c r="AM811" s="141"/>
      <c r="AN811" s="141"/>
      <c r="AO811" s="141"/>
      <c r="AP811" s="141"/>
      <c r="AQ811" s="141"/>
      <c r="AR811" s="141"/>
      <c r="AS811" s="141"/>
      <c r="AT811" s="141"/>
      <c r="AU811" s="141"/>
      <c r="AV811" s="141"/>
      <c r="AW811" s="141"/>
      <c r="AX811" s="141"/>
      <c r="AY811" s="141"/>
      <c r="AZ811" s="141"/>
      <c r="BA811" s="141"/>
      <c r="BB811" s="141"/>
      <c r="BC811" s="141"/>
      <c r="BD811" s="141"/>
      <c r="BE811" s="141"/>
      <c r="BF811" s="141"/>
      <c r="BG811" s="141"/>
      <c r="BH811" s="141"/>
      <c r="BI811" s="141"/>
      <c r="BJ811" s="141"/>
      <c r="BK811" s="141"/>
      <c r="BL811" s="141"/>
      <c r="BM811" s="141"/>
      <c r="BN811" s="141"/>
      <c r="BO811" s="141"/>
    </row>
    <row r="812" ht="13.5" customHeight="1">
      <c r="A812" s="138"/>
      <c r="B812" s="139"/>
      <c r="C812" s="138"/>
      <c r="D812" s="138"/>
      <c r="E812" s="140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  <c r="AL812" s="141"/>
      <c r="AM812" s="141"/>
      <c r="AN812" s="141"/>
      <c r="AO812" s="141"/>
      <c r="AP812" s="141"/>
      <c r="AQ812" s="141"/>
      <c r="AR812" s="141"/>
      <c r="AS812" s="141"/>
      <c r="AT812" s="141"/>
      <c r="AU812" s="141"/>
      <c r="AV812" s="141"/>
      <c r="AW812" s="141"/>
      <c r="AX812" s="141"/>
      <c r="AY812" s="141"/>
      <c r="AZ812" s="141"/>
      <c r="BA812" s="141"/>
      <c r="BB812" s="141"/>
      <c r="BC812" s="141"/>
      <c r="BD812" s="141"/>
      <c r="BE812" s="141"/>
      <c r="BF812" s="141"/>
      <c r="BG812" s="141"/>
      <c r="BH812" s="141"/>
      <c r="BI812" s="141"/>
      <c r="BJ812" s="141"/>
      <c r="BK812" s="141"/>
      <c r="BL812" s="141"/>
      <c r="BM812" s="141"/>
      <c r="BN812" s="141"/>
      <c r="BO812" s="141"/>
    </row>
    <row r="813" ht="13.5" customHeight="1">
      <c r="A813" s="138"/>
      <c r="B813" s="139"/>
      <c r="C813" s="138"/>
      <c r="D813" s="138"/>
      <c r="E813" s="140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  <c r="AL813" s="141"/>
      <c r="AM813" s="141"/>
      <c r="AN813" s="141"/>
      <c r="AO813" s="141"/>
      <c r="AP813" s="141"/>
      <c r="AQ813" s="141"/>
      <c r="AR813" s="141"/>
      <c r="AS813" s="141"/>
      <c r="AT813" s="141"/>
      <c r="AU813" s="141"/>
      <c r="AV813" s="141"/>
      <c r="AW813" s="141"/>
      <c r="AX813" s="141"/>
      <c r="AY813" s="141"/>
      <c r="AZ813" s="141"/>
      <c r="BA813" s="141"/>
      <c r="BB813" s="141"/>
      <c r="BC813" s="141"/>
      <c r="BD813" s="141"/>
      <c r="BE813" s="141"/>
      <c r="BF813" s="141"/>
      <c r="BG813" s="141"/>
      <c r="BH813" s="141"/>
      <c r="BI813" s="141"/>
      <c r="BJ813" s="141"/>
      <c r="BK813" s="141"/>
      <c r="BL813" s="141"/>
      <c r="BM813" s="141"/>
      <c r="BN813" s="141"/>
      <c r="BO813" s="141"/>
    </row>
    <row r="814" ht="13.5" customHeight="1">
      <c r="A814" s="138"/>
      <c r="B814" s="139"/>
      <c r="C814" s="138"/>
      <c r="D814" s="138"/>
      <c r="E814" s="140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  <c r="AL814" s="141"/>
      <c r="AM814" s="141"/>
      <c r="AN814" s="141"/>
      <c r="AO814" s="141"/>
      <c r="AP814" s="141"/>
      <c r="AQ814" s="141"/>
      <c r="AR814" s="141"/>
      <c r="AS814" s="141"/>
      <c r="AT814" s="141"/>
      <c r="AU814" s="141"/>
      <c r="AV814" s="141"/>
      <c r="AW814" s="141"/>
      <c r="AX814" s="141"/>
      <c r="AY814" s="141"/>
      <c r="AZ814" s="141"/>
      <c r="BA814" s="141"/>
      <c r="BB814" s="141"/>
      <c r="BC814" s="141"/>
      <c r="BD814" s="141"/>
      <c r="BE814" s="141"/>
      <c r="BF814" s="141"/>
      <c r="BG814" s="141"/>
      <c r="BH814" s="141"/>
      <c r="BI814" s="141"/>
      <c r="BJ814" s="141"/>
      <c r="BK814" s="141"/>
      <c r="BL814" s="141"/>
      <c r="BM814" s="141"/>
      <c r="BN814" s="141"/>
      <c r="BO814" s="141"/>
    </row>
    <row r="815" ht="13.5" customHeight="1">
      <c r="A815" s="138"/>
      <c r="B815" s="139"/>
      <c r="C815" s="138"/>
      <c r="D815" s="138"/>
      <c r="E815" s="140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  <c r="AL815" s="141"/>
      <c r="AM815" s="141"/>
      <c r="AN815" s="141"/>
      <c r="AO815" s="141"/>
      <c r="AP815" s="141"/>
      <c r="AQ815" s="141"/>
      <c r="AR815" s="141"/>
      <c r="AS815" s="141"/>
      <c r="AT815" s="141"/>
      <c r="AU815" s="141"/>
      <c r="AV815" s="141"/>
      <c r="AW815" s="141"/>
      <c r="AX815" s="141"/>
      <c r="AY815" s="141"/>
      <c r="AZ815" s="141"/>
      <c r="BA815" s="141"/>
      <c r="BB815" s="141"/>
      <c r="BC815" s="141"/>
      <c r="BD815" s="141"/>
      <c r="BE815" s="141"/>
      <c r="BF815" s="141"/>
      <c r="BG815" s="141"/>
      <c r="BH815" s="141"/>
      <c r="BI815" s="141"/>
      <c r="BJ815" s="141"/>
      <c r="BK815" s="141"/>
      <c r="BL815" s="141"/>
      <c r="BM815" s="141"/>
      <c r="BN815" s="141"/>
      <c r="BO815" s="141"/>
    </row>
    <row r="816" ht="13.5" customHeight="1">
      <c r="A816" s="138"/>
      <c r="B816" s="139"/>
      <c r="C816" s="138"/>
      <c r="D816" s="138"/>
      <c r="E816" s="140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  <c r="AL816" s="141"/>
      <c r="AM816" s="141"/>
      <c r="AN816" s="141"/>
      <c r="AO816" s="141"/>
      <c r="AP816" s="141"/>
      <c r="AQ816" s="141"/>
      <c r="AR816" s="141"/>
      <c r="AS816" s="141"/>
      <c r="AT816" s="141"/>
      <c r="AU816" s="141"/>
      <c r="AV816" s="141"/>
      <c r="AW816" s="141"/>
      <c r="AX816" s="141"/>
      <c r="AY816" s="141"/>
      <c r="AZ816" s="141"/>
      <c r="BA816" s="141"/>
      <c r="BB816" s="141"/>
      <c r="BC816" s="141"/>
      <c r="BD816" s="141"/>
      <c r="BE816" s="141"/>
      <c r="BF816" s="141"/>
      <c r="BG816" s="141"/>
      <c r="BH816" s="141"/>
      <c r="BI816" s="141"/>
      <c r="BJ816" s="141"/>
      <c r="BK816" s="141"/>
      <c r="BL816" s="141"/>
      <c r="BM816" s="141"/>
      <c r="BN816" s="141"/>
      <c r="BO816" s="141"/>
    </row>
    <row r="817" ht="13.5" customHeight="1">
      <c r="A817" s="138"/>
      <c r="B817" s="139"/>
      <c r="C817" s="138"/>
      <c r="D817" s="138"/>
      <c r="E817" s="140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  <c r="AL817" s="141"/>
      <c r="AM817" s="141"/>
      <c r="AN817" s="141"/>
      <c r="AO817" s="141"/>
      <c r="AP817" s="141"/>
      <c r="AQ817" s="141"/>
      <c r="AR817" s="141"/>
      <c r="AS817" s="141"/>
      <c r="AT817" s="141"/>
      <c r="AU817" s="141"/>
      <c r="AV817" s="141"/>
      <c r="AW817" s="141"/>
      <c r="AX817" s="141"/>
      <c r="AY817" s="141"/>
      <c r="AZ817" s="141"/>
      <c r="BA817" s="141"/>
      <c r="BB817" s="141"/>
      <c r="BC817" s="141"/>
      <c r="BD817" s="141"/>
      <c r="BE817" s="141"/>
      <c r="BF817" s="141"/>
      <c r="BG817" s="141"/>
      <c r="BH817" s="141"/>
      <c r="BI817" s="141"/>
      <c r="BJ817" s="141"/>
      <c r="BK817" s="141"/>
      <c r="BL817" s="141"/>
      <c r="BM817" s="141"/>
      <c r="BN817" s="141"/>
      <c r="BO817" s="141"/>
    </row>
    <row r="818" ht="13.5" customHeight="1">
      <c r="A818" s="138"/>
      <c r="B818" s="139"/>
      <c r="C818" s="138"/>
      <c r="D818" s="138"/>
      <c r="E818" s="140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  <c r="AL818" s="141"/>
      <c r="AM818" s="141"/>
      <c r="AN818" s="141"/>
      <c r="AO818" s="141"/>
      <c r="AP818" s="141"/>
      <c r="AQ818" s="141"/>
      <c r="AR818" s="141"/>
      <c r="AS818" s="141"/>
      <c r="AT818" s="141"/>
      <c r="AU818" s="141"/>
      <c r="AV818" s="141"/>
      <c r="AW818" s="141"/>
      <c r="AX818" s="141"/>
      <c r="AY818" s="141"/>
      <c r="AZ818" s="141"/>
      <c r="BA818" s="141"/>
      <c r="BB818" s="141"/>
      <c r="BC818" s="141"/>
      <c r="BD818" s="141"/>
      <c r="BE818" s="141"/>
      <c r="BF818" s="141"/>
      <c r="BG818" s="141"/>
      <c r="BH818" s="141"/>
      <c r="BI818" s="141"/>
      <c r="BJ818" s="141"/>
      <c r="BK818" s="141"/>
      <c r="BL818" s="141"/>
      <c r="BM818" s="141"/>
      <c r="BN818" s="141"/>
      <c r="BO818" s="141"/>
    </row>
    <row r="819" ht="13.5" customHeight="1">
      <c r="A819" s="138"/>
      <c r="B819" s="139"/>
      <c r="C819" s="138"/>
      <c r="D819" s="138"/>
      <c r="E819" s="140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  <c r="AL819" s="141"/>
      <c r="AM819" s="141"/>
      <c r="AN819" s="141"/>
      <c r="AO819" s="141"/>
      <c r="AP819" s="141"/>
      <c r="AQ819" s="141"/>
      <c r="AR819" s="141"/>
      <c r="AS819" s="141"/>
      <c r="AT819" s="141"/>
      <c r="AU819" s="141"/>
      <c r="AV819" s="141"/>
      <c r="AW819" s="141"/>
      <c r="AX819" s="141"/>
      <c r="AY819" s="141"/>
      <c r="AZ819" s="141"/>
      <c r="BA819" s="141"/>
      <c r="BB819" s="141"/>
      <c r="BC819" s="141"/>
      <c r="BD819" s="141"/>
      <c r="BE819" s="141"/>
      <c r="BF819" s="141"/>
      <c r="BG819" s="141"/>
      <c r="BH819" s="141"/>
      <c r="BI819" s="141"/>
      <c r="BJ819" s="141"/>
      <c r="BK819" s="141"/>
      <c r="BL819" s="141"/>
      <c r="BM819" s="141"/>
      <c r="BN819" s="141"/>
      <c r="BO819" s="141"/>
    </row>
    <row r="820" ht="13.5" customHeight="1">
      <c r="A820" s="138"/>
      <c r="B820" s="139"/>
      <c r="C820" s="138"/>
      <c r="D820" s="138"/>
      <c r="E820" s="140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  <c r="AL820" s="141"/>
      <c r="AM820" s="141"/>
      <c r="AN820" s="141"/>
      <c r="AO820" s="141"/>
      <c r="AP820" s="141"/>
      <c r="AQ820" s="141"/>
      <c r="AR820" s="141"/>
      <c r="AS820" s="141"/>
      <c r="AT820" s="141"/>
      <c r="AU820" s="141"/>
      <c r="AV820" s="141"/>
      <c r="AW820" s="141"/>
      <c r="AX820" s="141"/>
      <c r="AY820" s="141"/>
      <c r="AZ820" s="141"/>
      <c r="BA820" s="141"/>
      <c r="BB820" s="141"/>
      <c r="BC820" s="141"/>
      <c r="BD820" s="141"/>
      <c r="BE820" s="141"/>
      <c r="BF820" s="141"/>
      <c r="BG820" s="141"/>
      <c r="BH820" s="141"/>
      <c r="BI820" s="141"/>
      <c r="BJ820" s="141"/>
      <c r="BK820" s="141"/>
      <c r="BL820" s="141"/>
      <c r="BM820" s="141"/>
      <c r="BN820" s="141"/>
      <c r="BO820" s="141"/>
    </row>
    <row r="821" ht="13.5" customHeight="1">
      <c r="A821" s="138"/>
      <c r="B821" s="139"/>
      <c r="C821" s="138"/>
      <c r="D821" s="138"/>
      <c r="E821" s="140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  <c r="AL821" s="141"/>
      <c r="AM821" s="141"/>
      <c r="AN821" s="141"/>
      <c r="AO821" s="141"/>
      <c r="AP821" s="141"/>
      <c r="AQ821" s="141"/>
      <c r="AR821" s="141"/>
      <c r="AS821" s="141"/>
      <c r="AT821" s="141"/>
      <c r="AU821" s="141"/>
      <c r="AV821" s="141"/>
      <c r="AW821" s="141"/>
      <c r="AX821" s="141"/>
      <c r="AY821" s="141"/>
      <c r="AZ821" s="141"/>
      <c r="BA821" s="141"/>
      <c r="BB821" s="141"/>
      <c r="BC821" s="141"/>
      <c r="BD821" s="141"/>
      <c r="BE821" s="141"/>
      <c r="BF821" s="141"/>
      <c r="BG821" s="141"/>
      <c r="BH821" s="141"/>
      <c r="BI821" s="141"/>
      <c r="BJ821" s="141"/>
      <c r="BK821" s="141"/>
      <c r="BL821" s="141"/>
      <c r="BM821" s="141"/>
      <c r="BN821" s="141"/>
      <c r="BO821" s="141"/>
    </row>
    <row r="822" ht="13.5" customHeight="1">
      <c r="A822" s="138"/>
      <c r="B822" s="139"/>
      <c r="C822" s="138"/>
      <c r="D822" s="138"/>
      <c r="E822" s="140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  <c r="AL822" s="141"/>
      <c r="AM822" s="141"/>
      <c r="AN822" s="141"/>
      <c r="AO822" s="141"/>
      <c r="AP822" s="141"/>
      <c r="AQ822" s="141"/>
      <c r="AR822" s="141"/>
      <c r="AS822" s="141"/>
      <c r="AT822" s="141"/>
      <c r="AU822" s="141"/>
      <c r="AV822" s="141"/>
      <c r="AW822" s="141"/>
      <c r="AX822" s="141"/>
      <c r="AY822" s="141"/>
      <c r="AZ822" s="141"/>
      <c r="BA822" s="141"/>
      <c r="BB822" s="141"/>
      <c r="BC822" s="141"/>
      <c r="BD822" s="141"/>
      <c r="BE822" s="141"/>
      <c r="BF822" s="141"/>
      <c r="BG822" s="141"/>
      <c r="BH822" s="141"/>
      <c r="BI822" s="141"/>
      <c r="BJ822" s="141"/>
      <c r="BK822" s="141"/>
      <c r="BL822" s="141"/>
      <c r="BM822" s="141"/>
      <c r="BN822" s="141"/>
      <c r="BO822" s="141"/>
    </row>
    <row r="823" ht="13.5" customHeight="1">
      <c r="A823" s="138"/>
      <c r="B823" s="139"/>
      <c r="C823" s="138"/>
      <c r="D823" s="138"/>
      <c r="E823" s="140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  <c r="AL823" s="141"/>
      <c r="AM823" s="141"/>
      <c r="AN823" s="141"/>
      <c r="AO823" s="141"/>
      <c r="AP823" s="141"/>
      <c r="AQ823" s="141"/>
      <c r="AR823" s="141"/>
      <c r="AS823" s="141"/>
      <c r="AT823" s="141"/>
      <c r="AU823" s="141"/>
      <c r="AV823" s="141"/>
      <c r="AW823" s="141"/>
      <c r="AX823" s="141"/>
      <c r="AY823" s="141"/>
      <c r="AZ823" s="141"/>
      <c r="BA823" s="141"/>
      <c r="BB823" s="141"/>
      <c r="BC823" s="141"/>
      <c r="BD823" s="141"/>
      <c r="BE823" s="141"/>
      <c r="BF823" s="141"/>
      <c r="BG823" s="141"/>
      <c r="BH823" s="141"/>
      <c r="BI823" s="141"/>
      <c r="BJ823" s="141"/>
      <c r="BK823" s="141"/>
      <c r="BL823" s="141"/>
      <c r="BM823" s="141"/>
      <c r="BN823" s="141"/>
      <c r="BO823" s="141"/>
    </row>
    <row r="824" ht="13.5" customHeight="1">
      <c r="A824" s="138"/>
      <c r="B824" s="139"/>
      <c r="C824" s="138"/>
      <c r="D824" s="138"/>
      <c r="E824" s="140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  <c r="AL824" s="141"/>
      <c r="AM824" s="141"/>
      <c r="AN824" s="141"/>
      <c r="AO824" s="141"/>
      <c r="AP824" s="141"/>
      <c r="AQ824" s="141"/>
      <c r="AR824" s="141"/>
      <c r="AS824" s="141"/>
      <c r="AT824" s="141"/>
      <c r="AU824" s="141"/>
      <c r="AV824" s="141"/>
      <c r="AW824" s="141"/>
      <c r="AX824" s="141"/>
      <c r="AY824" s="141"/>
      <c r="AZ824" s="141"/>
      <c r="BA824" s="141"/>
      <c r="BB824" s="141"/>
      <c r="BC824" s="141"/>
      <c r="BD824" s="141"/>
      <c r="BE824" s="141"/>
      <c r="BF824" s="141"/>
      <c r="BG824" s="141"/>
      <c r="BH824" s="141"/>
      <c r="BI824" s="141"/>
      <c r="BJ824" s="141"/>
      <c r="BK824" s="141"/>
      <c r="BL824" s="141"/>
      <c r="BM824" s="141"/>
      <c r="BN824" s="141"/>
      <c r="BO824" s="141"/>
    </row>
    <row r="825" ht="13.5" customHeight="1">
      <c r="A825" s="138"/>
      <c r="B825" s="139"/>
      <c r="C825" s="138"/>
      <c r="D825" s="138"/>
      <c r="E825" s="140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  <c r="AL825" s="141"/>
      <c r="AM825" s="141"/>
      <c r="AN825" s="141"/>
      <c r="AO825" s="141"/>
      <c r="AP825" s="141"/>
      <c r="AQ825" s="141"/>
      <c r="AR825" s="141"/>
      <c r="AS825" s="141"/>
      <c r="AT825" s="141"/>
      <c r="AU825" s="141"/>
      <c r="AV825" s="141"/>
      <c r="AW825" s="141"/>
      <c r="AX825" s="141"/>
      <c r="AY825" s="141"/>
      <c r="AZ825" s="141"/>
      <c r="BA825" s="141"/>
      <c r="BB825" s="141"/>
      <c r="BC825" s="141"/>
      <c r="BD825" s="141"/>
      <c r="BE825" s="141"/>
      <c r="BF825" s="141"/>
      <c r="BG825" s="141"/>
      <c r="BH825" s="141"/>
      <c r="BI825" s="141"/>
      <c r="BJ825" s="141"/>
      <c r="BK825" s="141"/>
      <c r="BL825" s="141"/>
      <c r="BM825" s="141"/>
      <c r="BN825" s="141"/>
      <c r="BO825" s="141"/>
    </row>
    <row r="826" ht="13.5" customHeight="1">
      <c r="A826" s="138"/>
      <c r="B826" s="139"/>
      <c r="C826" s="138"/>
      <c r="D826" s="138"/>
      <c r="E826" s="140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  <c r="AL826" s="141"/>
      <c r="AM826" s="141"/>
      <c r="AN826" s="141"/>
      <c r="AO826" s="141"/>
      <c r="AP826" s="141"/>
      <c r="AQ826" s="141"/>
      <c r="AR826" s="141"/>
      <c r="AS826" s="141"/>
      <c r="AT826" s="141"/>
      <c r="AU826" s="141"/>
      <c r="AV826" s="141"/>
      <c r="AW826" s="141"/>
      <c r="AX826" s="141"/>
      <c r="AY826" s="141"/>
      <c r="AZ826" s="141"/>
      <c r="BA826" s="141"/>
      <c r="BB826" s="141"/>
      <c r="BC826" s="141"/>
      <c r="BD826" s="141"/>
      <c r="BE826" s="141"/>
      <c r="BF826" s="141"/>
      <c r="BG826" s="141"/>
      <c r="BH826" s="141"/>
      <c r="BI826" s="141"/>
      <c r="BJ826" s="141"/>
      <c r="BK826" s="141"/>
      <c r="BL826" s="141"/>
      <c r="BM826" s="141"/>
      <c r="BN826" s="141"/>
      <c r="BO826" s="141"/>
    </row>
    <row r="827" ht="13.5" customHeight="1">
      <c r="A827" s="138"/>
      <c r="B827" s="139"/>
      <c r="C827" s="138"/>
      <c r="D827" s="138"/>
      <c r="E827" s="140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  <c r="AL827" s="141"/>
      <c r="AM827" s="141"/>
      <c r="AN827" s="141"/>
      <c r="AO827" s="141"/>
      <c r="AP827" s="141"/>
      <c r="AQ827" s="141"/>
      <c r="AR827" s="141"/>
      <c r="AS827" s="141"/>
      <c r="AT827" s="141"/>
      <c r="AU827" s="141"/>
      <c r="AV827" s="141"/>
      <c r="AW827" s="141"/>
      <c r="AX827" s="141"/>
      <c r="AY827" s="141"/>
      <c r="AZ827" s="141"/>
      <c r="BA827" s="141"/>
      <c r="BB827" s="141"/>
      <c r="BC827" s="141"/>
      <c r="BD827" s="141"/>
      <c r="BE827" s="141"/>
      <c r="BF827" s="141"/>
      <c r="BG827" s="141"/>
      <c r="BH827" s="141"/>
      <c r="BI827" s="141"/>
      <c r="BJ827" s="141"/>
      <c r="BK827" s="141"/>
      <c r="BL827" s="141"/>
      <c r="BM827" s="141"/>
      <c r="BN827" s="141"/>
      <c r="BO827" s="141"/>
    </row>
    <row r="828" ht="13.5" customHeight="1">
      <c r="A828" s="138"/>
      <c r="B828" s="139"/>
      <c r="C828" s="138"/>
      <c r="D828" s="138"/>
      <c r="E828" s="140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  <c r="AL828" s="141"/>
      <c r="AM828" s="141"/>
      <c r="AN828" s="141"/>
      <c r="AO828" s="141"/>
      <c r="AP828" s="141"/>
      <c r="AQ828" s="141"/>
      <c r="AR828" s="141"/>
      <c r="AS828" s="141"/>
      <c r="AT828" s="141"/>
      <c r="AU828" s="141"/>
      <c r="AV828" s="141"/>
      <c r="AW828" s="141"/>
      <c r="AX828" s="141"/>
      <c r="AY828" s="141"/>
      <c r="AZ828" s="141"/>
      <c r="BA828" s="141"/>
      <c r="BB828" s="141"/>
      <c r="BC828" s="141"/>
      <c r="BD828" s="141"/>
      <c r="BE828" s="141"/>
      <c r="BF828" s="141"/>
      <c r="BG828" s="141"/>
      <c r="BH828" s="141"/>
      <c r="BI828" s="141"/>
      <c r="BJ828" s="141"/>
      <c r="BK828" s="141"/>
      <c r="BL828" s="141"/>
      <c r="BM828" s="141"/>
      <c r="BN828" s="141"/>
      <c r="BO828" s="141"/>
    </row>
    <row r="829" ht="13.5" customHeight="1">
      <c r="A829" s="138"/>
      <c r="B829" s="139"/>
      <c r="C829" s="138"/>
      <c r="D829" s="138"/>
      <c r="E829" s="140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  <c r="AL829" s="141"/>
      <c r="AM829" s="141"/>
      <c r="AN829" s="141"/>
      <c r="AO829" s="141"/>
      <c r="AP829" s="141"/>
      <c r="AQ829" s="141"/>
      <c r="AR829" s="141"/>
      <c r="AS829" s="141"/>
      <c r="AT829" s="141"/>
      <c r="AU829" s="141"/>
      <c r="AV829" s="141"/>
      <c r="AW829" s="141"/>
      <c r="AX829" s="141"/>
      <c r="AY829" s="141"/>
      <c r="AZ829" s="141"/>
      <c r="BA829" s="141"/>
      <c r="BB829" s="141"/>
      <c r="BC829" s="141"/>
      <c r="BD829" s="141"/>
      <c r="BE829" s="141"/>
      <c r="BF829" s="141"/>
      <c r="BG829" s="141"/>
      <c r="BH829" s="141"/>
      <c r="BI829" s="141"/>
      <c r="BJ829" s="141"/>
      <c r="BK829" s="141"/>
      <c r="BL829" s="141"/>
      <c r="BM829" s="141"/>
      <c r="BN829" s="141"/>
      <c r="BO829" s="141"/>
    </row>
    <row r="830" ht="13.5" customHeight="1">
      <c r="A830" s="138"/>
      <c r="B830" s="139"/>
      <c r="C830" s="138"/>
      <c r="D830" s="138"/>
      <c r="E830" s="140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  <c r="AL830" s="141"/>
      <c r="AM830" s="141"/>
      <c r="AN830" s="141"/>
      <c r="AO830" s="141"/>
      <c r="AP830" s="141"/>
      <c r="AQ830" s="141"/>
      <c r="AR830" s="141"/>
      <c r="AS830" s="141"/>
      <c r="AT830" s="141"/>
      <c r="AU830" s="141"/>
      <c r="AV830" s="141"/>
      <c r="AW830" s="141"/>
      <c r="AX830" s="141"/>
      <c r="AY830" s="141"/>
      <c r="AZ830" s="141"/>
      <c r="BA830" s="141"/>
      <c r="BB830" s="141"/>
      <c r="BC830" s="141"/>
      <c r="BD830" s="141"/>
      <c r="BE830" s="141"/>
      <c r="BF830" s="141"/>
      <c r="BG830" s="141"/>
      <c r="BH830" s="141"/>
      <c r="BI830" s="141"/>
      <c r="BJ830" s="141"/>
      <c r="BK830" s="141"/>
      <c r="BL830" s="141"/>
      <c r="BM830" s="141"/>
      <c r="BN830" s="141"/>
      <c r="BO830" s="141"/>
    </row>
    <row r="831" ht="13.5" customHeight="1">
      <c r="A831" s="138"/>
      <c r="B831" s="139"/>
      <c r="C831" s="138"/>
      <c r="D831" s="138"/>
      <c r="E831" s="140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  <c r="AL831" s="141"/>
      <c r="AM831" s="141"/>
      <c r="AN831" s="141"/>
      <c r="AO831" s="141"/>
      <c r="AP831" s="141"/>
      <c r="AQ831" s="141"/>
      <c r="AR831" s="141"/>
      <c r="AS831" s="141"/>
      <c r="AT831" s="141"/>
      <c r="AU831" s="141"/>
      <c r="AV831" s="141"/>
      <c r="AW831" s="141"/>
      <c r="AX831" s="141"/>
      <c r="AY831" s="141"/>
      <c r="AZ831" s="141"/>
      <c r="BA831" s="141"/>
      <c r="BB831" s="141"/>
      <c r="BC831" s="141"/>
      <c r="BD831" s="141"/>
      <c r="BE831" s="141"/>
      <c r="BF831" s="141"/>
      <c r="BG831" s="141"/>
      <c r="BH831" s="141"/>
      <c r="BI831" s="141"/>
      <c r="BJ831" s="141"/>
      <c r="BK831" s="141"/>
      <c r="BL831" s="141"/>
      <c r="BM831" s="141"/>
      <c r="BN831" s="141"/>
      <c r="BO831" s="141"/>
    </row>
    <row r="832" ht="13.5" customHeight="1">
      <c r="A832" s="138"/>
      <c r="B832" s="139"/>
      <c r="C832" s="138"/>
      <c r="D832" s="138"/>
      <c r="E832" s="140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  <c r="AL832" s="141"/>
      <c r="AM832" s="141"/>
      <c r="AN832" s="141"/>
      <c r="AO832" s="141"/>
      <c r="AP832" s="141"/>
      <c r="AQ832" s="141"/>
      <c r="AR832" s="141"/>
      <c r="AS832" s="141"/>
      <c r="AT832" s="141"/>
      <c r="AU832" s="141"/>
      <c r="AV832" s="141"/>
      <c r="AW832" s="141"/>
      <c r="AX832" s="141"/>
      <c r="AY832" s="141"/>
      <c r="AZ832" s="141"/>
      <c r="BA832" s="141"/>
      <c r="BB832" s="141"/>
      <c r="BC832" s="141"/>
      <c r="BD832" s="141"/>
      <c r="BE832" s="141"/>
      <c r="BF832" s="141"/>
      <c r="BG832" s="141"/>
      <c r="BH832" s="141"/>
      <c r="BI832" s="141"/>
      <c r="BJ832" s="141"/>
      <c r="BK832" s="141"/>
      <c r="BL832" s="141"/>
      <c r="BM832" s="141"/>
      <c r="BN832" s="141"/>
      <c r="BO832" s="141"/>
    </row>
    <row r="833" ht="13.5" customHeight="1">
      <c r="A833" s="138"/>
      <c r="B833" s="139"/>
      <c r="C833" s="138"/>
      <c r="D833" s="138"/>
      <c r="E833" s="140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  <c r="AL833" s="141"/>
      <c r="AM833" s="141"/>
      <c r="AN833" s="141"/>
      <c r="AO833" s="141"/>
      <c r="AP833" s="141"/>
      <c r="AQ833" s="141"/>
      <c r="AR833" s="141"/>
      <c r="AS833" s="141"/>
      <c r="AT833" s="141"/>
      <c r="AU833" s="141"/>
      <c r="AV833" s="141"/>
      <c r="AW833" s="141"/>
      <c r="AX833" s="141"/>
      <c r="AY833" s="141"/>
      <c r="AZ833" s="141"/>
      <c r="BA833" s="141"/>
      <c r="BB833" s="141"/>
      <c r="BC833" s="141"/>
      <c r="BD833" s="141"/>
      <c r="BE833" s="141"/>
      <c r="BF833" s="141"/>
      <c r="BG833" s="141"/>
      <c r="BH833" s="141"/>
      <c r="BI833" s="141"/>
      <c r="BJ833" s="141"/>
      <c r="BK833" s="141"/>
      <c r="BL833" s="141"/>
      <c r="BM833" s="141"/>
      <c r="BN833" s="141"/>
      <c r="BO833" s="141"/>
    </row>
    <row r="834" ht="13.5" customHeight="1">
      <c r="A834" s="138"/>
      <c r="B834" s="139"/>
      <c r="C834" s="138"/>
      <c r="D834" s="138"/>
      <c r="E834" s="140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  <c r="AL834" s="141"/>
      <c r="AM834" s="141"/>
      <c r="AN834" s="141"/>
      <c r="AO834" s="141"/>
      <c r="AP834" s="141"/>
      <c r="AQ834" s="141"/>
      <c r="AR834" s="141"/>
      <c r="AS834" s="141"/>
      <c r="AT834" s="141"/>
      <c r="AU834" s="141"/>
      <c r="AV834" s="141"/>
      <c r="AW834" s="141"/>
      <c r="AX834" s="141"/>
      <c r="AY834" s="141"/>
      <c r="AZ834" s="141"/>
      <c r="BA834" s="141"/>
      <c r="BB834" s="141"/>
      <c r="BC834" s="141"/>
      <c r="BD834" s="141"/>
      <c r="BE834" s="141"/>
      <c r="BF834" s="141"/>
      <c r="BG834" s="141"/>
      <c r="BH834" s="141"/>
      <c r="BI834" s="141"/>
      <c r="BJ834" s="141"/>
      <c r="BK834" s="141"/>
      <c r="BL834" s="141"/>
      <c r="BM834" s="141"/>
      <c r="BN834" s="141"/>
      <c r="BO834" s="141"/>
    </row>
    <row r="835" ht="13.5" customHeight="1">
      <c r="A835" s="138"/>
      <c r="B835" s="139"/>
      <c r="C835" s="138"/>
      <c r="D835" s="138"/>
      <c r="E835" s="140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  <c r="AL835" s="141"/>
      <c r="AM835" s="141"/>
      <c r="AN835" s="141"/>
      <c r="AO835" s="141"/>
      <c r="AP835" s="141"/>
      <c r="AQ835" s="141"/>
      <c r="AR835" s="141"/>
      <c r="AS835" s="141"/>
      <c r="AT835" s="141"/>
      <c r="AU835" s="141"/>
      <c r="AV835" s="141"/>
      <c r="AW835" s="141"/>
      <c r="AX835" s="141"/>
      <c r="AY835" s="141"/>
      <c r="AZ835" s="141"/>
      <c r="BA835" s="141"/>
      <c r="BB835" s="141"/>
      <c r="BC835" s="141"/>
      <c r="BD835" s="141"/>
      <c r="BE835" s="141"/>
      <c r="BF835" s="141"/>
      <c r="BG835" s="141"/>
      <c r="BH835" s="141"/>
      <c r="BI835" s="141"/>
      <c r="BJ835" s="141"/>
      <c r="BK835" s="141"/>
      <c r="BL835" s="141"/>
      <c r="BM835" s="141"/>
      <c r="BN835" s="141"/>
      <c r="BO835" s="141"/>
    </row>
    <row r="836" ht="13.5" customHeight="1">
      <c r="A836" s="138"/>
      <c r="B836" s="139"/>
      <c r="C836" s="138"/>
      <c r="D836" s="138"/>
      <c r="E836" s="140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  <c r="AL836" s="141"/>
      <c r="AM836" s="141"/>
      <c r="AN836" s="141"/>
      <c r="AO836" s="141"/>
      <c r="AP836" s="141"/>
      <c r="AQ836" s="141"/>
      <c r="AR836" s="141"/>
      <c r="AS836" s="141"/>
      <c r="AT836" s="141"/>
      <c r="AU836" s="141"/>
      <c r="AV836" s="141"/>
      <c r="AW836" s="141"/>
      <c r="AX836" s="141"/>
      <c r="AY836" s="141"/>
      <c r="AZ836" s="141"/>
      <c r="BA836" s="141"/>
      <c r="BB836" s="141"/>
      <c r="BC836" s="141"/>
      <c r="BD836" s="141"/>
      <c r="BE836" s="141"/>
      <c r="BF836" s="141"/>
      <c r="BG836" s="141"/>
      <c r="BH836" s="141"/>
      <c r="BI836" s="141"/>
      <c r="BJ836" s="141"/>
      <c r="BK836" s="141"/>
      <c r="BL836" s="141"/>
      <c r="BM836" s="141"/>
      <c r="BN836" s="141"/>
      <c r="BO836" s="141"/>
    </row>
    <row r="837" ht="13.5" customHeight="1">
      <c r="A837" s="138"/>
      <c r="B837" s="139"/>
      <c r="C837" s="138"/>
      <c r="D837" s="138"/>
      <c r="E837" s="140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  <c r="AL837" s="141"/>
      <c r="AM837" s="141"/>
      <c r="AN837" s="141"/>
      <c r="AO837" s="141"/>
      <c r="AP837" s="141"/>
      <c r="AQ837" s="141"/>
      <c r="AR837" s="141"/>
      <c r="AS837" s="141"/>
      <c r="AT837" s="141"/>
      <c r="AU837" s="141"/>
      <c r="AV837" s="141"/>
      <c r="AW837" s="141"/>
      <c r="AX837" s="141"/>
      <c r="AY837" s="141"/>
      <c r="AZ837" s="141"/>
      <c r="BA837" s="141"/>
      <c r="BB837" s="141"/>
      <c r="BC837" s="141"/>
      <c r="BD837" s="141"/>
      <c r="BE837" s="141"/>
      <c r="BF837" s="141"/>
      <c r="BG837" s="141"/>
      <c r="BH837" s="141"/>
      <c r="BI837" s="141"/>
      <c r="BJ837" s="141"/>
      <c r="BK837" s="141"/>
      <c r="BL837" s="141"/>
      <c r="BM837" s="141"/>
      <c r="BN837" s="141"/>
      <c r="BO837" s="141"/>
    </row>
    <row r="838" ht="13.5" customHeight="1">
      <c r="A838" s="138"/>
      <c r="B838" s="139"/>
      <c r="C838" s="138"/>
      <c r="D838" s="138"/>
      <c r="E838" s="140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  <c r="AL838" s="141"/>
      <c r="AM838" s="141"/>
      <c r="AN838" s="141"/>
      <c r="AO838" s="141"/>
      <c r="AP838" s="141"/>
      <c r="AQ838" s="141"/>
      <c r="AR838" s="141"/>
      <c r="AS838" s="141"/>
      <c r="AT838" s="141"/>
      <c r="AU838" s="141"/>
      <c r="AV838" s="141"/>
      <c r="AW838" s="141"/>
      <c r="AX838" s="141"/>
      <c r="AY838" s="141"/>
      <c r="AZ838" s="141"/>
      <c r="BA838" s="141"/>
      <c r="BB838" s="141"/>
      <c r="BC838" s="141"/>
      <c r="BD838" s="141"/>
      <c r="BE838" s="141"/>
      <c r="BF838" s="141"/>
      <c r="BG838" s="141"/>
      <c r="BH838" s="141"/>
      <c r="BI838" s="141"/>
      <c r="BJ838" s="141"/>
      <c r="BK838" s="141"/>
      <c r="BL838" s="141"/>
      <c r="BM838" s="141"/>
      <c r="BN838" s="141"/>
      <c r="BO838" s="141"/>
    </row>
    <row r="839" ht="13.5" customHeight="1">
      <c r="A839" s="138"/>
      <c r="B839" s="139"/>
      <c r="C839" s="138"/>
      <c r="D839" s="138"/>
      <c r="E839" s="140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  <c r="AL839" s="141"/>
      <c r="AM839" s="141"/>
      <c r="AN839" s="141"/>
      <c r="AO839" s="141"/>
      <c r="AP839" s="141"/>
      <c r="AQ839" s="141"/>
      <c r="AR839" s="141"/>
      <c r="AS839" s="141"/>
      <c r="AT839" s="141"/>
      <c r="AU839" s="141"/>
      <c r="AV839" s="141"/>
      <c r="AW839" s="141"/>
      <c r="AX839" s="141"/>
      <c r="AY839" s="141"/>
      <c r="AZ839" s="141"/>
      <c r="BA839" s="141"/>
      <c r="BB839" s="141"/>
      <c r="BC839" s="141"/>
      <c r="BD839" s="141"/>
      <c r="BE839" s="141"/>
      <c r="BF839" s="141"/>
      <c r="BG839" s="141"/>
      <c r="BH839" s="141"/>
      <c r="BI839" s="141"/>
      <c r="BJ839" s="141"/>
      <c r="BK839" s="141"/>
      <c r="BL839" s="141"/>
      <c r="BM839" s="141"/>
      <c r="BN839" s="141"/>
      <c r="BO839" s="141"/>
    </row>
    <row r="840" ht="13.5" customHeight="1">
      <c r="A840" s="138"/>
      <c r="B840" s="139"/>
      <c r="C840" s="138"/>
      <c r="D840" s="138"/>
      <c r="E840" s="140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  <c r="AL840" s="141"/>
      <c r="AM840" s="141"/>
      <c r="AN840" s="141"/>
      <c r="AO840" s="141"/>
      <c r="AP840" s="141"/>
      <c r="AQ840" s="141"/>
      <c r="AR840" s="141"/>
      <c r="AS840" s="141"/>
      <c r="AT840" s="141"/>
      <c r="AU840" s="141"/>
      <c r="AV840" s="141"/>
      <c r="AW840" s="141"/>
      <c r="AX840" s="141"/>
      <c r="AY840" s="141"/>
      <c r="AZ840" s="141"/>
      <c r="BA840" s="141"/>
      <c r="BB840" s="141"/>
      <c r="BC840" s="141"/>
      <c r="BD840" s="141"/>
      <c r="BE840" s="141"/>
      <c r="BF840" s="141"/>
      <c r="BG840" s="141"/>
      <c r="BH840" s="141"/>
      <c r="BI840" s="141"/>
      <c r="BJ840" s="141"/>
      <c r="BK840" s="141"/>
      <c r="BL840" s="141"/>
      <c r="BM840" s="141"/>
      <c r="BN840" s="141"/>
      <c r="BO840" s="141"/>
    </row>
    <row r="841" ht="13.5" customHeight="1">
      <c r="A841" s="138"/>
      <c r="B841" s="139"/>
      <c r="C841" s="138"/>
      <c r="D841" s="138"/>
      <c r="E841" s="140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  <c r="AL841" s="141"/>
      <c r="AM841" s="141"/>
      <c r="AN841" s="141"/>
      <c r="AO841" s="141"/>
      <c r="AP841" s="141"/>
      <c r="AQ841" s="141"/>
      <c r="AR841" s="141"/>
      <c r="AS841" s="141"/>
      <c r="AT841" s="141"/>
      <c r="AU841" s="141"/>
      <c r="AV841" s="141"/>
      <c r="AW841" s="141"/>
      <c r="AX841" s="141"/>
      <c r="AY841" s="141"/>
      <c r="AZ841" s="141"/>
      <c r="BA841" s="141"/>
      <c r="BB841" s="141"/>
      <c r="BC841" s="141"/>
      <c r="BD841" s="141"/>
      <c r="BE841" s="141"/>
      <c r="BF841" s="141"/>
      <c r="BG841" s="141"/>
      <c r="BH841" s="141"/>
      <c r="BI841" s="141"/>
      <c r="BJ841" s="141"/>
      <c r="BK841" s="141"/>
      <c r="BL841" s="141"/>
      <c r="BM841" s="141"/>
      <c r="BN841" s="141"/>
      <c r="BO841" s="141"/>
    </row>
    <row r="842" ht="13.5" customHeight="1">
      <c r="A842" s="138"/>
      <c r="B842" s="139"/>
      <c r="C842" s="138"/>
      <c r="D842" s="138"/>
      <c r="E842" s="140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  <c r="AL842" s="141"/>
      <c r="AM842" s="141"/>
      <c r="AN842" s="141"/>
      <c r="AO842" s="141"/>
      <c r="AP842" s="141"/>
      <c r="AQ842" s="141"/>
      <c r="AR842" s="141"/>
      <c r="AS842" s="141"/>
      <c r="AT842" s="141"/>
      <c r="AU842" s="141"/>
      <c r="AV842" s="141"/>
      <c r="AW842" s="141"/>
      <c r="AX842" s="141"/>
      <c r="AY842" s="141"/>
      <c r="AZ842" s="141"/>
      <c r="BA842" s="141"/>
      <c r="BB842" s="141"/>
      <c r="BC842" s="141"/>
      <c r="BD842" s="141"/>
      <c r="BE842" s="141"/>
      <c r="BF842" s="141"/>
      <c r="BG842" s="141"/>
      <c r="BH842" s="141"/>
      <c r="BI842" s="141"/>
      <c r="BJ842" s="141"/>
      <c r="BK842" s="141"/>
      <c r="BL842" s="141"/>
      <c r="BM842" s="141"/>
      <c r="BN842" s="141"/>
      <c r="BO842" s="141"/>
    </row>
    <row r="843" ht="13.5" customHeight="1">
      <c r="A843" s="138"/>
      <c r="B843" s="139"/>
      <c r="C843" s="138"/>
      <c r="D843" s="138"/>
      <c r="E843" s="140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  <c r="AL843" s="141"/>
      <c r="AM843" s="141"/>
      <c r="AN843" s="141"/>
      <c r="AO843" s="141"/>
      <c r="AP843" s="141"/>
      <c r="AQ843" s="141"/>
      <c r="AR843" s="141"/>
      <c r="AS843" s="141"/>
      <c r="AT843" s="141"/>
      <c r="AU843" s="141"/>
      <c r="AV843" s="141"/>
      <c r="AW843" s="141"/>
      <c r="AX843" s="141"/>
      <c r="AY843" s="141"/>
      <c r="AZ843" s="141"/>
      <c r="BA843" s="141"/>
      <c r="BB843" s="141"/>
      <c r="BC843" s="141"/>
      <c r="BD843" s="141"/>
      <c r="BE843" s="141"/>
      <c r="BF843" s="141"/>
      <c r="BG843" s="141"/>
      <c r="BH843" s="141"/>
      <c r="BI843" s="141"/>
      <c r="BJ843" s="141"/>
      <c r="BK843" s="141"/>
      <c r="BL843" s="141"/>
      <c r="BM843" s="141"/>
      <c r="BN843" s="141"/>
      <c r="BO843" s="141"/>
    </row>
    <row r="844" ht="13.5" customHeight="1">
      <c r="A844" s="138"/>
      <c r="B844" s="139"/>
      <c r="C844" s="138"/>
      <c r="D844" s="138"/>
      <c r="E844" s="140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  <c r="AL844" s="141"/>
      <c r="AM844" s="141"/>
      <c r="AN844" s="141"/>
      <c r="AO844" s="141"/>
      <c r="AP844" s="141"/>
      <c r="AQ844" s="141"/>
      <c r="AR844" s="141"/>
      <c r="AS844" s="141"/>
      <c r="AT844" s="141"/>
      <c r="AU844" s="141"/>
      <c r="AV844" s="141"/>
      <c r="AW844" s="141"/>
      <c r="AX844" s="141"/>
      <c r="AY844" s="141"/>
      <c r="AZ844" s="141"/>
      <c r="BA844" s="141"/>
      <c r="BB844" s="141"/>
      <c r="BC844" s="141"/>
      <c r="BD844" s="141"/>
      <c r="BE844" s="141"/>
      <c r="BF844" s="141"/>
      <c r="BG844" s="141"/>
      <c r="BH844" s="141"/>
      <c r="BI844" s="141"/>
      <c r="BJ844" s="141"/>
      <c r="BK844" s="141"/>
      <c r="BL844" s="141"/>
      <c r="BM844" s="141"/>
      <c r="BN844" s="141"/>
      <c r="BO844" s="141"/>
    </row>
    <row r="845" ht="13.5" customHeight="1">
      <c r="A845" s="138"/>
      <c r="B845" s="139"/>
      <c r="C845" s="138"/>
      <c r="D845" s="138"/>
      <c r="E845" s="140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  <c r="AL845" s="141"/>
      <c r="AM845" s="141"/>
      <c r="AN845" s="141"/>
      <c r="AO845" s="141"/>
      <c r="AP845" s="141"/>
      <c r="AQ845" s="141"/>
      <c r="AR845" s="141"/>
      <c r="AS845" s="141"/>
      <c r="AT845" s="141"/>
      <c r="AU845" s="141"/>
      <c r="AV845" s="141"/>
      <c r="AW845" s="141"/>
      <c r="AX845" s="141"/>
      <c r="AY845" s="141"/>
      <c r="AZ845" s="141"/>
      <c r="BA845" s="141"/>
      <c r="BB845" s="141"/>
      <c r="BC845" s="141"/>
      <c r="BD845" s="141"/>
      <c r="BE845" s="141"/>
      <c r="BF845" s="141"/>
      <c r="BG845" s="141"/>
      <c r="BH845" s="141"/>
      <c r="BI845" s="141"/>
      <c r="BJ845" s="141"/>
      <c r="BK845" s="141"/>
      <c r="BL845" s="141"/>
      <c r="BM845" s="141"/>
      <c r="BN845" s="141"/>
      <c r="BO845" s="141"/>
    </row>
    <row r="846" ht="13.5" customHeight="1">
      <c r="A846" s="138"/>
      <c r="B846" s="139"/>
      <c r="C846" s="138"/>
      <c r="D846" s="138"/>
      <c r="E846" s="140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  <c r="AL846" s="141"/>
      <c r="AM846" s="141"/>
      <c r="AN846" s="141"/>
      <c r="AO846" s="141"/>
      <c r="AP846" s="141"/>
      <c r="AQ846" s="141"/>
      <c r="AR846" s="141"/>
      <c r="AS846" s="141"/>
      <c r="AT846" s="141"/>
      <c r="AU846" s="141"/>
      <c r="AV846" s="141"/>
      <c r="AW846" s="141"/>
      <c r="AX846" s="141"/>
      <c r="AY846" s="141"/>
      <c r="AZ846" s="141"/>
      <c r="BA846" s="141"/>
      <c r="BB846" s="141"/>
      <c r="BC846" s="141"/>
      <c r="BD846" s="141"/>
      <c r="BE846" s="141"/>
      <c r="BF846" s="141"/>
      <c r="BG846" s="141"/>
      <c r="BH846" s="141"/>
      <c r="BI846" s="141"/>
      <c r="BJ846" s="141"/>
      <c r="BK846" s="141"/>
      <c r="BL846" s="141"/>
      <c r="BM846" s="141"/>
      <c r="BN846" s="141"/>
      <c r="BO846" s="141"/>
    </row>
    <row r="847" ht="13.5" customHeight="1">
      <c r="A847" s="138"/>
      <c r="B847" s="139"/>
      <c r="C847" s="138"/>
      <c r="D847" s="138"/>
      <c r="E847" s="140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  <c r="AL847" s="141"/>
      <c r="AM847" s="141"/>
      <c r="AN847" s="141"/>
      <c r="AO847" s="141"/>
      <c r="AP847" s="141"/>
      <c r="AQ847" s="141"/>
      <c r="AR847" s="141"/>
      <c r="AS847" s="141"/>
      <c r="AT847" s="141"/>
      <c r="AU847" s="141"/>
      <c r="AV847" s="141"/>
      <c r="AW847" s="141"/>
      <c r="AX847" s="141"/>
      <c r="AY847" s="141"/>
      <c r="AZ847" s="141"/>
      <c r="BA847" s="141"/>
      <c r="BB847" s="141"/>
      <c r="BC847" s="141"/>
      <c r="BD847" s="141"/>
      <c r="BE847" s="141"/>
      <c r="BF847" s="141"/>
      <c r="BG847" s="141"/>
      <c r="BH847" s="141"/>
      <c r="BI847" s="141"/>
      <c r="BJ847" s="141"/>
      <c r="BK847" s="141"/>
      <c r="BL847" s="141"/>
      <c r="BM847" s="141"/>
      <c r="BN847" s="141"/>
      <c r="BO847" s="141"/>
    </row>
    <row r="848" ht="13.5" customHeight="1">
      <c r="A848" s="138"/>
      <c r="B848" s="139"/>
      <c r="C848" s="138"/>
      <c r="D848" s="138"/>
      <c r="E848" s="140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  <c r="AL848" s="141"/>
      <c r="AM848" s="141"/>
      <c r="AN848" s="141"/>
      <c r="AO848" s="141"/>
      <c r="AP848" s="141"/>
      <c r="AQ848" s="141"/>
      <c r="AR848" s="141"/>
      <c r="AS848" s="141"/>
      <c r="AT848" s="141"/>
      <c r="AU848" s="141"/>
      <c r="AV848" s="141"/>
      <c r="AW848" s="141"/>
      <c r="AX848" s="141"/>
      <c r="AY848" s="141"/>
      <c r="AZ848" s="141"/>
      <c r="BA848" s="141"/>
      <c r="BB848" s="141"/>
      <c r="BC848" s="141"/>
      <c r="BD848" s="141"/>
      <c r="BE848" s="141"/>
      <c r="BF848" s="141"/>
      <c r="BG848" s="141"/>
      <c r="BH848" s="141"/>
      <c r="BI848" s="141"/>
      <c r="BJ848" s="141"/>
      <c r="BK848" s="141"/>
      <c r="BL848" s="141"/>
      <c r="BM848" s="141"/>
      <c r="BN848" s="141"/>
      <c r="BO848" s="141"/>
    </row>
    <row r="849" ht="13.5" customHeight="1">
      <c r="A849" s="138"/>
      <c r="B849" s="139"/>
      <c r="C849" s="138"/>
      <c r="D849" s="138"/>
      <c r="E849" s="140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  <c r="AL849" s="141"/>
      <c r="AM849" s="141"/>
      <c r="AN849" s="141"/>
      <c r="AO849" s="141"/>
      <c r="AP849" s="141"/>
      <c r="AQ849" s="141"/>
      <c r="AR849" s="141"/>
      <c r="AS849" s="141"/>
      <c r="AT849" s="141"/>
      <c r="AU849" s="141"/>
      <c r="AV849" s="141"/>
      <c r="AW849" s="141"/>
      <c r="AX849" s="141"/>
      <c r="AY849" s="141"/>
      <c r="AZ849" s="141"/>
      <c r="BA849" s="141"/>
      <c r="BB849" s="141"/>
      <c r="BC849" s="141"/>
      <c r="BD849" s="141"/>
      <c r="BE849" s="141"/>
      <c r="BF849" s="141"/>
      <c r="BG849" s="141"/>
      <c r="BH849" s="141"/>
      <c r="BI849" s="141"/>
      <c r="BJ849" s="141"/>
      <c r="BK849" s="141"/>
      <c r="BL849" s="141"/>
      <c r="BM849" s="141"/>
      <c r="BN849" s="141"/>
      <c r="BO849" s="141"/>
    </row>
    <row r="850" ht="13.5" customHeight="1">
      <c r="A850" s="138"/>
      <c r="B850" s="139"/>
      <c r="C850" s="138"/>
      <c r="D850" s="138"/>
      <c r="E850" s="140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  <c r="AL850" s="141"/>
      <c r="AM850" s="141"/>
      <c r="AN850" s="141"/>
      <c r="AO850" s="141"/>
      <c r="AP850" s="141"/>
      <c r="AQ850" s="141"/>
      <c r="AR850" s="141"/>
      <c r="AS850" s="141"/>
      <c r="AT850" s="141"/>
      <c r="AU850" s="141"/>
      <c r="AV850" s="141"/>
      <c r="AW850" s="141"/>
      <c r="AX850" s="141"/>
      <c r="AY850" s="141"/>
      <c r="AZ850" s="141"/>
      <c r="BA850" s="141"/>
      <c r="BB850" s="141"/>
      <c r="BC850" s="141"/>
      <c r="BD850" s="141"/>
      <c r="BE850" s="141"/>
      <c r="BF850" s="141"/>
      <c r="BG850" s="141"/>
      <c r="BH850" s="141"/>
      <c r="BI850" s="141"/>
      <c r="BJ850" s="141"/>
      <c r="BK850" s="141"/>
      <c r="BL850" s="141"/>
      <c r="BM850" s="141"/>
      <c r="BN850" s="141"/>
      <c r="BO850" s="141"/>
    </row>
    <row r="851" ht="13.5" customHeight="1">
      <c r="A851" s="138"/>
      <c r="B851" s="139"/>
      <c r="C851" s="138"/>
      <c r="D851" s="138"/>
      <c r="E851" s="140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  <c r="AL851" s="141"/>
      <c r="AM851" s="141"/>
      <c r="AN851" s="141"/>
      <c r="AO851" s="141"/>
      <c r="AP851" s="141"/>
      <c r="AQ851" s="141"/>
      <c r="AR851" s="141"/>
      <c r="AS851" s="141"/>
      <c r="AT851" s="141"/>
      <c r="AU851" s="141"/>
      <c r="AV851" s="141"/>
      <c r="AW851" s="141"/>
      <c r="AX851" s="141"/>
      <c r="AY851" s="141"/>
      <c r="AZ851" s="141"/>
      <c r="BA851" s="141"/>
      <c r="BB851" s="141"/>
      <c r="BC851" s="141"/>
      <c r="BD851" s="141"/>
      <c r="BE851" s="141"/>
      <c r="BF851" s="141"/>
      <c r="BG851" s="141"/>
      <c r="BH851" s="141"/>
      <c r="BI851" s="141"/>
      <c r="BJ851" s="141"/>
      <c r="BK851" s="141"/>
      <c r="BL851" s="141"/>
      <c r="BM851" s="141"/>
      <c r="BN851" s="141"/>
      <c r="BO851" s="141"/>
    </row>
    <row r="852" ht="13.5" customHeight="1">
      <c r="A852" s="138"/>
      <c r="B852" s="139"/>
      <c r="C852" s="138"/>
      <c r="D852" s="138"/>
      <c r="E852" s="140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  <c r="AL852" s="141"/>
      <c r="AM852" s="141"/>
      <c r="AN852" s="141"/>
      <c r="AO852" s="141"/>
      <c r="AP852" s="141"/>
      <c r="AQ852" s="141"/>
      <c r="AR852" s="141"/>
      <c r="AS852" s="141"/>
      <c r="AT852" s="141"/>
      <c r="AU852" s="141"/>
      <c r="AV852" s="141"/>
      <c r="AW852" s="141"/>
      <c r="AX852" s="141"/>
      <c r="AY852" s="141"/>
      <c r="AZ852" s="141"/>
      <c r="BA852" s="141"/>
      <c r="BB852" s="141"/>
      <c r="BC852" s="141"/>
      <c r="BD852" s="141"/>
      <c r="BE852" s="141"/>
      <c r="BF852" s="141"/>
      <c r="BG852" s="141"/>
      <c r="BH852" s="141"/>
      <c r="BI852" s="141"/>
      <c r="BJ852" s="141"/>
      <c r="BK852" s="141"/>
      <c r="BL852" s="141"/>
      <c r="BM852" s="141"/>
      <c r="BN852" s="141"/>
      <c r="BO852" s="141"/>
    </row>
    <row r="853" ht="13.5" customHeight="1">
      <c r="A853" s="138"/>
      <c r="B853" s="139"/>
      <c r="C853" s="138"/>
      <c r="D853" s="138"/>
      <c r="E853" s="140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  <c r="AL853" s="141"/>
      <c r="AM853" s="141"/>
      <c r="AN853" s="141"/>
      <c r="AO853" s="141"/>
      <c r="AP853" s="141"/>
      <c r="AQ853" s="141"/>
      <c r="AR853" s="141"/>
      <c r="AS853" s="141"/>
      <c r="AT853" s="141"/>
      <c r="AU853" s="141"/>
      <c r="AV853" s="141"/>
      <c r="AW853" s="141"/>
      <c r="AX853" s="141"/>
      <c r="AY853" s="141"/>
      <c r="AZ853" s="141"/>
      <c r="BA853" s="141"/>
      <c r="BB853" s="141"/>
      <c r="BC853" s="141"/>
      <c r="BD853" s="141"/>
      <c r="BE853" s="141"/>
      <c r="BF853" s="141"/>
      <c r="BG853" s="141"/>
      <c r="BH853" s="141"/>
      <c r="BI853" s="141"/>
      <c r="BJ853" s="141"/>
      <c r="BK853" s="141"/>
      <c r="BL853" s="141"/>
      <c r="BM853" s="141"/>
      <c r="BN853" s="141"/>
      <c r="BO853" s="141"/>
    </row>
    <row r="854" ht="13.5" customHeight="1">
      <c r="A854" s="138"/>
      <c r="B854" s="139"/>
      <c r="C854" s="138"/>
      <c r="D854" s="138"/>
      <c r="E854" s="140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  <c r="AL854" s="141"/>
      <c r="AM854" s="141"/>
      <c r="AN854" s="141"/>
      <c r="AO854" s="141"/>
      <c r="AP854" s="141"/>
      <c r="AQ854" s="141"/>
      <c r="AR854" s="141"/>
      <c r="AS854" s="141"/>
      <c r="AT854" s="141"/>
      <c r="AU854" s="141"/>
      <c r="AV854" s="141"/>
      <c r="AW854" s="141"/>
      <c r="AX854" s="141"/>
      <c r="AY854" s="141"/>
      <c r="AZ854" s="141"/>
      <c r="BA854" s="141"/>
      <c r="BB854" s="141"/>
      <c r="BC854" s="141"/>
      <c r="BD854" s="141"/>
      <c r="BE854" s="141"/>
      <c r="BF854" s="141"/>
      <c r="BG854" s="141"/>
      <c r="BH854" s="141"/>
      <c r="BI854" s="141"/>
      <c r="BJ854" s="141"/>
      <c r="BK854" s="141"/>
      <c r="BL854" s="141"/>
      <c r="BM854" s="141"/>
      <c r="BN854" s="141"/>
      <c r="BO854" s="141"/>
    </row>
    <row r="855" ht="13.5" customHeight="1">
      <c r="A855" s="138"/>
      <c r="B855" s="139"/>
      <c r="C855" s="138"/>
      <c r="D855" s="138"/>
      <c r="E855" s="140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  <c r="AL855" s="141"/>
      <c r="AM855" s="141"/>
      <c r="AN855" s="141"/>
      <c r="AO855" s="141"/>
      <c r="AP855" s="141"/>
      <c r="AQ855" s="141"/>
      <c r="AR855" s="141"/>
      <c r="AS855" s="141"/>
      <c r="AT855" s="141"/>
      <c r="AU855" s="141"/>
      <c r="AV855" s="141"/>
      <c r="AW855" s="141"/>
      <c r="AX855" s="141"/>
      <c r="AY855" s="141"/>
      <c r="AZ855" s="141"/>
      <c r="BA855" s="141"/>
      <c r="BB855" s="141"/>
      <c r="BC855" s="141"/>
      <c r="BD855" s="141"/>
      <c r="BE855" s="141"/>
      <c r="BF855" s="141"/>
      <c r="BG855" s="141"/>
      <c r="BH855" s="141"/>
      <c r="BI855" s="141"/>
      <c r="BJ855" s="141"/>
      <c r="BK855" s="141"/>
      <c r="BL855" s="141"/>
      <c r="BM855" s="141"/>
      <c r="BN855" s="141"/>
      <c r="BO855" s="141"/>
    </row>
    <row r="856" ht="13.5" customHeight="1">
      <c r="A856" s="138"/>
      <c r="B856" s="139"/>
      <c r="C856" s="138"/>
      <c r="D856" s="138"/>
      <c r="E856" s="140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  <c r="AL856" s="141"/>
      <c r="AM856" s="141"/>
      <c r="AN856" s="141"/>
      <c r="AO856" s="141"/>
      <c r="AP856" s="141"/>
      <c r="AQ856" s="141"/>
      <c r="AR856" s="141"/>
      <c r="AS856" s="141"/>
      <c r="AT856" s="141"/>
      <c r="AU856" s="141"/>
      <c r="AV856" s="141"/>
      <c r="AW856" s="141"/>
      <c r="AX856" s="141"/>
      <c r="AY856" s="141"/>
      <c r="AZ856" s="141"/>
      <c r="BA856" s="141"/>
      <c r="BB856" s="141"/>
      <c r="BC856" s="141"/>
      <c r="BD856" s="141"/>
      <c r="BE856" s="141"/>
      <c r="BF856" s="141"/>
      <c r="BG856" s="141"/>
      <c r="BH856" s="141"/>
      <c r="BI856" s="141"/>
      <c r="BJ856" s="141"/>
      <c r="BK856" s="141"/>
      <c r="BL856" s="141"/>
      <c r="BM856" s="141"/>
      <c r="BN856" s="141"/>
      <c r="BO856" s="141"/>
    </row>
    <row r="857" ht="13.5" customHeight="1">
      <c r="A857" s="138"/>
      <c r="B857" s="139"/>
      <c r="C857" s="138"/>
      <c r="D857" s="138"/>
      <c r="E857" s="140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  <c r="AL857" s="141"/>
      <c r="AM857" s="141"/>
      <c r="AN857" s="141"/>
      <c r="AO857" s="141"/>
      <c r="AP857" s="141"/>
      <c r="AQ857" s="141"/>
      <c r="AR857" s="141"/>
      <c r="AS857" s="141"/>
      <c r="AT857" s="141"/>
      <c r="AU857" s="141"/>
      <c r="AV857" s="141"/>
      <c r="AW857" s="141"/>
      <c r="AX857" s="141"/>
      <c r="AY857" s="141"/>
      <c r="AZ857" s="141"/>
      <c r="BA857" s="141"/>
      <c r="BB857" s="141"/>
      <c r="BC857" s="141"/>
      <c r="BD857" s="141"/>
      <c r="BE857" s="141"/>
      <c r="BF857" s="141"/>
      <c r="BG857" s="141"/>
      <c r="BH857" s="141"/>
      <c r="BI857" s="141"/>
      <c r="BJ857" s="141"/>
      <c r="BK857" s="141"/>
      <c r="BL857" s="141"/>
      <c r="BM857" s="141"/>
      <c r="BN857" s="141"/>
      <c r="BO857" s="141"/>
    </row>
    <row r="858" ht="13.5" customHeight="1">
      <c r="A858" s="138"/>
      <c r="B858" s="139"/>
      <c r="C858" s="138"/>
      <c r="D858" s="138"/>
      <c r="E858" s="140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  <c r="AL858" s="141"/>
      <c r="AM858" s="141"/>
      <c r="AN858" s="141"/>
      <c r="AO858" s="141"/>
      <c r="AP858" s="141"/>
      <c r="AQ858" s="141"/>
      <c r="AR858" s="141"/>
      <c r="AS858" s="141"/>
      <c r="AT858" s="141"/>
      <c r="AU858" s="141"/>
      <c r="AV858" s="141"/>
      <c r="AW858" s="141"/>
      <c r="AX858" s="141"/>
      <c r="AY858" s="141"/>
      <c r="AZ858" s="141"/>
      <c r="BA858" s="141"/>
      <c r="BB858" s="141"/>
      <c r="BC858" s="141"/>
      <c r="BD858" s="141"/>
      <c r="BE858" s="141"/>
      <c r="BF858" s="141"/>
      <c r="BG858" s="141"/>
      <c r="BH858" s="141"/>
      <c r="BI858" s="141"/>
      <c r="BJ858" s="141"/>
      <c r="BK858" s="141"/>
      <c r="BL858" s="141"/>
      <c r="BM858" s="141"/>
      <c r="BN858" s="141"/>
      <c r="BO858" s="141"/>
    </row>
    <row r="859" ht="13.5" customHeight="1">
      <c r="A859" s="138"/>
      <c r="B859" s="139"/>
      <c r="C859" s="138"/>
      <c r="D859" s="138"/>
      <c r="E859" s="140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  <c r="AL859" s="141"/>
      <c r="AM859" s="141"/>
      <c r="AN859" s="141"/>
      <c r="AO859" s="141"/>
      <c r="AP859" s="141"/>
      <c r="AQ859" s="141"/>
      <c r="AR859" s="141"/>
      <c r="AS859" s="141"/>
      <c r="AT859" s="141"/>
      <c r="AU859" s="141"/>
      <c r="AV859" s="141"/>
      <c r="AW859" s="141"/>
      <c r="AX859" s="141"/>
      <c r="AY859" s="141"/>
      <c r="AZ859" s="141"/>
      <c r="BA859" s="141"/>
      <c r="BB859" s="141"/>
      <c r="BC859" s="141"/>
      <c r="BD859" s="141"/>
      <c r="BE859" s="141"/>
      <c r="BF859" s="141"/>
      <c r="BG859" s="141"/>
      <c r="BH859" s="141"/>
      <c r="BI859" s="141"/>
      <c r="BJ859" s="141"/>
      <c r="BK859" s="141"/>
      <c r="BL859" s="141"/>
      <c r="BM859" s="141"/>
      <c r="BN859" s="141"/>
      <c r="BO859" s="141"/>
    </row>
    <row r="860" ht="13.5" customHeight="1">
      <c r="A860" s="138"/>
      <c r="B860" s="139"/>
      <c r="C860" s="138"/>
      <c r="D860" s="138"/>
      <c r="E860" s="140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  <c r="AL860" s="141"/>
      <c r="AM860" s="141"/>
      <c r="AN860" s="141"/>
      <c r="AO860" s="141"/>
      <c r="AP860" s="141"/>
      <c r="AQ860" s="141"/>
      <c r="AR860" s="141"/>
      <c r="AS860" s="141"/>
      <c r="AT860" s="141"/>
      <c r="AU860" s="141"/>
      <c r="AV860" s="141"/>
      <c r="AW860" s="141"/>
      <c r="AX860" s="141"/>
      <c r="AY860" s="141"/>
      <c r="AZ860" s="141"/>
      <c r="BA860" s="141"/>
      <c r="BB860" s="141"/>
      <c r="BC860" s="141"/>
      <c r="BD860" s="141"/>
      <c r="BE860" s="141"/>
      <c r="BF860" s="141"/>
      <c r="BG860" s="141"/>
      <c r="BH860" s="141"/>
      <c r="BI860" s="141"/>
      <c r="BJ860" s="141"/>
      <c r="BK860" s="141"/>
      <c r="BL860" s="141"/>
      <c r="BM860" s="141"/>
      <c r="BN860" s="141"/>
      <c r="BO860" s="141"/>
    </row>
    <row r="861" ht="13.5" customHeight="1">
      <c r="A861" s="138"/>
      <c r="B861" s="139"/>
      <c r="C861" s="138"/>
      <c r="D861" s="138"/>
      <c r="E861" s="140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  <c r="AL861" s="141"/>
      <c r="AM861" s="141"/>
      <c r="AN861" s="141"/>
      <c r="AO861" s="141"/>
      <c r="AP861" s="141"/>
      <c r="AQ861" s="141"/>
      <c r="AR861" s="141"/>
      <c r="AS861" s="141"/>
      <c r="AT861" s="141"/>
      <c r="AU861" s="141"/>
      <c r="AV861" s="141"/>
      <c r="AW861" s="141"/>
      <c r="AX861" s="141"/>
      <c r="AY861" s="141"/>
      <c r="AZ861" s="141"/>
      <c r="BA861" s="141"/>
      <c r="BB861" s="141"/>
      <c r="BC861" s="141"/>
      <c r="BD861" s="141"/>
      <c r="BE861" s="141"/>
      <c r="BF861" s="141"/>
      <c r="BG861" s="141"/>
      <c r="BH861" s="141"/>
      <c r="BI861" s="141"/>
      <c r="BJ861" s="141"/>
      <c r="BK861" s="141"/>
      <c r="BL861" s="141"/>
      <c r="BM861" s="141"/>
      <c r="BN861" s="141"/>
      <c r="BO861" s="141"/>
    </row>
    <row r="862" ht="13.5" customHeight="1">
      <c r="A862" s="138"/>
      <c r="B862" s="139"/>
      <c r="C862" s="138"/>
      <c r="D862" s="138"/>
      <c r="E862" s="140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  <c r="AL862" s="141"/>
      <c r="AM862" s="141"/>
      <c r="AN862" s="141"/>
      <c r="AO862" s="141"/>
      <c r="AP862" s="141"/>
      <c r="AQ862" s="141"/>
      <c r="AR862" s="141"/>
      <c r="AS862" s="141"/>
      <c r="AT862" s="141"/>
      <c r="AU862" s="141"/>
      <c r="AV862" s="141"/>
      <c r="AW862" s="141"/>
      <c r="AX862" s="141"/>
      <c r="AY862" s="141"/>
      <c r="AZ862" s="141"/>
      <c r="BA862" s="141"/>
      <c r="BB862" s="141"/>
      <c r="BC862" s="141"/>
      <c r="BD862" s="141"/>
      <c r="BE862" s="141"/>
      <c r="BF862" s="141"/>
      <c r="BG862" s="141"/>
      <c r="BH862" s="141"/>
      <c r="BI862" s="141"/>
      <c r="BJ862" s="141"/>
      <c r="BK862" s="141"/>
      <c r="BL862" s="141"/>
      <c r="BM862" s="141"/>
      <c r="BN862" s="141"/>
      <c r="BO862" s="141"/>
    </row>
    <row r="863" ht="13.5" customHeight="1">
      <c r="A863" s="138"/>
      <c r="B863" s="139"/>
      <c r="C863" s="138"/>
      <c r="D863" s="138"/>
      <c r="E863" s="140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  <c r="AL863" s="141"/>
      <c r="AM863" s="141"/>
      <c r="AN863" s="141"/>
      <c r="AO863" s="141"/>
      <c r="AP863" s="141"/>
      <c r="AQ863" s="141"/>
      <c r="AR863" s="141"/>
      <c r="AS863" s="141"/>
      <c r="AT863" s="141"/>
      <c r="AU863" s="141"/>
      <c r="AV863" s="141"/>
      <c r="AW863" s="141"/>
      <c r="AX863" s="141"/>
      <c r="AY863" s="141"/>
      <c r="AZ863" s="141"/>
      <c r="BA863" s="141"/>
      <c r="BB863" s="141"/>
      <c r="BC863" s="141"/>
      <c r="BD863" s="141"/>
      <c r="BE863" s="141"/>
      <c r="BF863" s="141"/>
      <c r="BG863" s="141"/>
      <c r="BH863" s="141"/>
      <c r="BI863" s="141"/>
      <c r="BJ863" s="141"/>
      <c r="BK863" s="141"/>
      <c r="BL863" s="141"/>
      <c r="BM863" s="141"/>
      <c r="BN863" s="141"/>
      <c r="BO863" s="141"/>
    </row>
    <row r="864" ht="13.5" customHeight="1">
      <c r="A864" s="138"/>
      <c r="B864" s="139"/>
      <c r="C864" s="138"/>
      <c r="D864" s="138"/>
      <c r="E864" s="140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  <c r="AL864" s="141"/>
      <c r="AM864" s="141"/>
      <c r="AN864" s="141"/>
      <c r="AO864" s="141"/>
      <c r="AP864" s="141"/>
      <c r="AQ864" s="141"/>
      <c r="AR864" s="141"/>
      <c r="AS864" s="141"/>
      <c r="AT864" s="141"/>
      <c r="AU864" s="141"/>
      <c r="AV864" s="141"/>
      <c r="AW864" s="141"/>
      <c r="AX864" s="141"/>
      <c r="AY864" s="141"/>
      <c r="AZ864" s="141"/>
      <c r="BA864" s="141"/>
      <c r="BB864" s="141"/>
      <c r="BC864" s="141"/>
      <c r="BD864" s="141"/>
      <c r="BE864" s="141"/>
      <c r="BF864" s="141"/>
      <c r="BG864" s="141"/>
      <c r="BH864" s="141"/>
      <c r="BI864" s="141"/>
      <c r="BJ864" s="141"/>
      <c r="BK864" s="141"/>
      <c r="BL864" s="141"/>
      <c r="BM864" s="141"/>
      <c r="BN864" s="141"/>
      <c r="BO864" s="141"/>
    </row>
    <row r="865" ht="13.5" customHeight="1">
      <c r="A865" s="138"/>
      <c r="B865" s="139"/>
      <c r="C865" s="138"/>
      <c r="D865" s="138"/>
      <c r="E865" s="140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  <c r="AL865" s="141"/>
      <c r="AM865" s="141"/>
      <c r="AN865" s="141"/>
      <c r="AO865" s="141"/>
      <c r="AP865" s="141"/>
      <c r="AQ865" s="141"/>
      <c r="AR865" s="141"/>
      <c r="AS865" s="141"/>
      <c r="AT865" s="141"/>
      <c r="AU865" s="141"/>
      <c r="AV865" s="141"/>
      <c r="AW865" s="141"/>
      <c r="AX865" s="141"/>
      <c r="AY865" s="141"/>
      <c r="AZ865" s="141"/>
      <c r="BA865" s="141"/>
      <c r="BB865" s="141"/>
      <c r="BC865" s="141"/>
      <c r="BD865" s="141"/>
      <c r="BE865" s="141"/>
      <c r="BF865" s="141"/>
      <c r="BG865" s="141"/>
      <c r="BH865" s="141"/>
      <c r="BI865" s="141"/>
      <c r="BJ865" s="141"/>
      <c r="BK865" s="141"/>
      <c r="BL865" s="141"/>
      <c r="BM865" s="141"/>
      <c r="BN865" s="141"/>
      <c r="BO865" s="141"/>
    </row>
    <row r="866" ht="13.5" customHeight="1">
      <c r="A866" s="138"/>
      <c r="B866" s="139"/>
      <c r="C866" s="138"/>
      <c r="D866" s="138"/>
      <c r="E866" s="140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  <c r="AL866" s="141"/>
      <c r="AM866" s="141"/>
      <c r="AN866" s="141"/>
      <c r="AO866" s="141"/>
      <c r="AP866" s="141"/>
      <c r="AQ866" s="141"/>
      <c r="AR866" s="141"/>
      <c r="AS866" s="141"/>
      <c r="AT866" s="141"/>
      <c r="AU866" s="141"/>
      <c r="AV866" s="141"/>
      <c r="AW866" s="141"/>
      <c r="AX866" s="141"/>
      <c r="AY866" s="141"/>
      <c r="AZ866" s="141"/>
      <c r="BA866" s="141"/>
      <c r="BB866" s="141"/>
      <c r="BC866" s="141"/>
      <c r="BD866" s="141"/>
      <c r="BE866" s="141"/>
      <c r="BF866" s="141"/>
      <c r="BG866" s="141"/>
      <c r="BH866" s="141"/>
      <c r="BI866" s="141"/>
      <c r="BJ866" s="141"/>
      <c r="BK866" s="141"/>
      <c r="BL866" s="141"/>
      <c r="BM866" s="141"/>
      <c r="BN866" s="141"/>
      <c r="BO866" s="141"/>
    </row>
    <row r="867" ht="13.5" customHeight="1">
      <c r="A867" s="138"/>
      <c r="B867" s="139"/>
      <c r="C867" s="138"/>
      <c r="D867" s="138"/>
      <c r="E867" s="140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  <c r="AL867" s="141"/>
      <c r="AM867" s="141"/>
      <c r="AN867" s="141"/>
      <c r="AO867" s="141"/>
      <c r="AP867" s="141"/>
      <c r="AQ867" s="141"/>
      <c r="AR867" s="141"/>
      <c r="AS867" s="141"/>
      <c r="AT867" s="141"/>
      <c r="AU867" s="141"/>
      <c r="AV867" s="141"/>
      <c r="AW867" s="141"/>
      <c r="AX867" s="141"/>
      <c r="AY867" s="141"/>
      <c r="AZ867" s="141"/>
      <c r="BA867" s="141"/>
      <c r="BB867" s="141"/>
      <c r="BC867" s="141"/>
      <c r="BD867" s="141"/>
      <c r="BE867" s="141"/>
      <c r="BF867" s="141"/>
      <c r="BG867" s="141"/>
      <c r="BH867" s="141"/>
      <c r="BI867" s="141"/>
      <c r="BJ867" s="141"/>
      <c r="BK867" s="141"/>
      <c r="BL867" s="141"/>
      <c r="BM867" s="141"/>
      <c r="BN867" s="141"/>
      <c r="BO867" s="141"/>
    </row>
    <row r="868" ht="13.5" customHeight="1">
      <c r="A868" s="138"/>
      <c r="B868" s="139"/>
      <c r="C868" s="138"/>
      <c r="D868" s="138"/>
      <c r="E868" s="140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  <c r="AL868" s="141"/>
      <c r="AM868" s="141"/>
      <c r="AN868" s="141"/>
      <c r="AO868" s="141"/>
      <c r="AP868" s="141"/>
      <c r="AQ868" s="141"/>
      <c r="AR868" s="141"/>
      <c r="AS868" s="141"/>
      <c r="AT868" s="141"/>
      <c r="AU868" s="141"/>
      <c r="AV868" s="141"/>
      <c r="AW868" s="141"/>
      <c r="AX868" s="141"/>
      <c r="AY868" s="141"/>
      <c r="AZ868" s="141"/>
      <c r="BA868" s="141"/>
      <c r="BB868" s="141"/>
      <c r="BC868" s="141"/>
      <c r="BD868" s="141"/>
      <c r="BE868" s="141"/>
      <c r="BF868" s="141"/>
      <c r="BG868" s="141"/>
      <c r="BH868" s="141"/>
      <c r="BI868" s="141"/>
      <c r="BJ868" s="141"/>
      <c r="BK868" s="141"/>
      <c r="BL868" s="141"/>
      <c r="BM868" s="141"/>
      <c r="BN868" s="141"/>
      <c r="BO868" s="141"/>
    </row>
    <row r="869" ht="13.5" customHeight="1">
      <c r="A869" s="138"/>
      <c r="B869" s="139"/>
      <c r="C869" s="138"/>
      <c r="D869" s="138"/>
      <c r="E869" s="140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  <c r="AL869" s="141"/>
      <c r="AM869" s="141"/>
      <c r="AN869" s="141"/>
      <c r="AO869" s="141"/>
      <c r="AP869" s="141"/>
      <c r="AQ869" s="141"/>
      <c r="AR869" s="141"/>
      <c r="AS869" s="141"/>
      <c r="AT869" s="141"/>
      <c r="AU869" s="141"/>
      <c r="AV869" s="141"/>
      <c r="AW869" s="141"/>
      <c r="AX869" s="141"/>
      <c r="AY869" s="141"/>
      <c r="AZ869" s="141"/>
      <c r="BA869" s="141"/>
      <c r="BB869" s="141"/>
      <c r="BC869" s="141"/>
      <c r="BD869" s="141"/>
      <c r="BE869" s="141"/>
      <c r="BF869" s="141"/>
      <c r="BG869" s="141"/>
      <c r="BH869" s="141"/>
      <c r="BI869" s="141"/>
      <c r="BJ869" s="141"/>
      <c r="BK869" s="141"/>
      <c r="BL869" s="141"/>
      <c r="BM869" s="141"/>
      <c r="BN869" s="141"/>
      <c r="BO869" s="141"/>
    </row>
    <row r="870" ht="13.5" customHeight="1">
      <c r="A870" s="138"/>
      <c r="B870" s="139"/>
      <c r="C870" s="138"/>
      <c r="D870" s="138"/>
      <c r="E870" s="140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  <c r="AL870" s="141"/>
      <c r="AM870" s="141"/>
      <c r="AN870" s="141"/>
      <c r="AO870" s="141"/>
      <c r="AP870" s="141"/>
      <c r="AQ870" s="141"/>
      <c r="AR870" s="141"/>
      <c r="AS870" s="141"/>
      <c r="AT870" s="141"/>
      <c r="AU870" s="141"/>
      <c r="AV870" s="141"/>
      <c r="AW870" s="141"/>
      <c r="AX870" s="141"/>
      <c r="AY870" s="141"/>
      <c r="AZ870" s="141"/>
      <c r="BA870" s="141"/>
      <c r="BB870" s="141"/>
      <c r="BC870" s="141"/>
      <c r="BD870" s="141"/>
      <c r="BE870" s="141"/>
      <c r="BF870" s="141"/>
      <c r="BG870" s="141"/>
      <c r="BH870" s="141"/>
      <c r="BI870" s="141"/>
      <c r="BJ870" s="141"/>
      <c r="BK870" s="141"/>
      <c r="BL870" s="141"/>
      <c r="BM870" s="141"/>
      <c r="BN870" s="141"/>
      <c r="BO870" s="141"/>
    </row>
    <row r="871" ht="13.5" customHeight="1">
      <c r="A871" s="138"/>
      <c r="B871" s="139"/>
      <c r="C871" s="138"/>
      <c r="D871" s="138"/>
      <c r="E871" s="140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  <c r="AL871" s="141"/>
      <c r="AM871" s="141"/>
      <c r="AN871" s="141"/>
      <c r="AO871" s="141"/>
      <c r="AP871" s="141"/>
      <c r="AQ871" s="141"/>
      <c r="AR871" s="141"/>
      <c r="AS871" s="141"/>
      <c r="AT871" s="141"/>
      <c r="AU871" s="141"/>
      <c r="AV871" s="141"/>
      <c r="AW871" s="141"/>
      <c r="AX871" s="141"/>
      <c r="AY871" s="141"/>
      <c r="AZ871" s="141"/>
      <c r="BA871" s="141"/>
      <c r="BB871" s="141"/>
      <c r="BC871" s="141"/>
      <c r="BD871" s="141"/>
      <c r="BE871" s="141"/>
      <c r="BF871" s="141"/>
      <c r="BG871" s="141"/>
      <c r="BH871" s="141"/>
      <c r="BI871" s="141"/>
      <c r="BJ871" s="141"/>
      <c r="BK871" s="141"/>
      <c r="BL871" s="141"/>
      <c r="BM871" s="141"/>
      <c r="BN871" s="141"/>
      <c r="BO871" s="141"/>
    </row>
    <row r="872" ht="13.5" customHeight="1">
      <c r="A872" s="138"/>
      <c r="B872" s="139"/>
      <c r="C872" s="138"/>
      <c r="D872" s="138"/>
      <c r="E872" s="140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  <c r="AL872" s="141"/>
      <c r="AM872" s="141"/>
      <c r="AN872" s="141"/>
      <c r="AO872" s="141"/>
      <c r="AP872" s="141"/>
      <c r="AQ872" s="141"/>
      <c r="AR872" s="141"/>
      <c r="AS872" s="141"/>
      <c r="AT872" s="141"/>
      <c r="AU872" s="141"/>
      <c r="AV872" s="141"/>
      <c r="AW872" s="141"/>
      <c r="AX872" s="141"/>
      <c r="AY872" s="141"/>
      <c r="AZ872" s="141"/>
      <c r="BA872" s="141"/>
      <c r="BB872" s="141"/>
      <c r="BC872" s="141"/>
      <c r="BD872" s="141"/>
      <c r="BE872" s="141"/>
      <c r="BF872" s="141"/>
      <c r="BG872" s="141"/>
      <c r="BH872" s="141"/>
      <c r="BI872" s="141"/>
      <c r="BJ872" s="141"/>
      <c r="BK872" s="141"/>
      <c r="BL872" s="141"/>
      <c r="BM872" s="141"/>
      <c r="BN872" s="141"/>
      <c r="BO872" s="141"/>
    </row>
    <row r="873" ht="13.5" customHeight="1">
      <c r="A873" s="138"/>
      <c r="B873" s="139"/>
      <c r="C873" s="138"/>
      <c r="D873" s="138"/>
      <c r="E873" s="140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  <c r="AL873" s="141"/>
      <c r="AM873" s="141"/>
      <c r="AN873" s="141"/>
      <c r="AO873" s="141"/>
      <c r="AP873" s="141"/>
      <c r="AQ873" s="141"/>
      <c r="AR873" s="141"/>
      <c r="AS873" s="141"/>
      <c r="AT873" s="141"/>
      <c r="AU873" s="141"/>
      <c r="AV873" s="141"/>
      <c r="AW873" s="141"/>
      <c r="AX873" s="141"/>
      <c r="AY873" s="141"/>
      <c r="AZ873" s="141"/>
      <c r="BA873" s="141"/>
      <c r="BB873" s="141"/>
      <c r="BC873" s="141"/>
      <c r="BD873" s="141"/>
      <c r="BE873" s="141"/>
      <c r="BF873" s="141"/>
      <c r="BG873" s="141"/>
      <c r="BH873" s="141"/>
      <c r="BI873" s="141"/>
      <c r="BJ873" s="141"/>
      <c r="BK873" s="141"/>
      <c r="BL873" s="141"/>
      <c r="BM873" s="141"/>
      <c r="BN873" s="141"/>
      <c r="BO873" s="141"/>
    </row>
    <row r="874" ht="13.5" customHeight="1">
      <c r="A874" s="138"/>
      <c r="B874" s="139"/>
      <c r="C874" s="138"/>
      <c r="D874" s="138"/>
      <c r="E874" s="140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  <c r="AL874" s="141"/>
      <c r="AM874" s="141"/>
      <c r="AN874" s="141"/>
      <c r="AO874" s="141"/>
      <c r="AP874" s="141"/>
      <c r="AQ874" s="141"/>
      <c r="AR874" s="141"/>
      <c r="AS874" s="141"/>
      <c r="AT874" s="141"/>
      <c r="AU874" s="141"/>
      <c r="AV874" s="141"/>
      <c r="AW874" s="141"/>
      <c r="AX874" s="141"/>
      <c r="AY874" s="141"/>
      <c r="AZ874" s="141"/>
      <c r="BA874" s="141"/>
      <c r="BB874" s="141"/>
      <c r="BC874" s="141"/>
      <c r="BD874" s="141"/>
      <c r="BE874" s="141"/>
      <c r="BF874" s="141"/>
      <c r="BG874" s="141"/>
      <c r="BH874" s="141"/>
      <c r="BI874" s="141"/>
      <c r="BJ874" s="141"/>
      <c r="BK874" s="141"/>
      <c r="BL874" s="141"/>
      <c r="BM874" s="141"/>
      <c r="BN874" s="141"/>
      <c r="BO874" s="141"/>
    </row>
    <row r="875" ht="13.5" customHeight="1">
      <c r="A875" s="138"/>
      <c r="B875" s="139"/>
      <c r="C875" s="138"/>
      <c r="D875" s="138"/>
      <c r="E875" s="140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  <c r="AL875" s="141"/>
      <c r="AM875" s="141"/>
      <c r="AN875" s="141"/>
      <c r="AO875" s="141"/>
      <c r="AP875" s="141"/>
      <c r="AQ875" s="141"/>
      <c r="AR875" s="141"/>
      <c r="AS875" s="141"/>
      <c r="AT875" s="141"/>
      <c r="AU875" s="141"/>
      <c r="AV875" s="141"/>
      <c r="AW875" s="141"/>
      <c r="AX875" s="141"/>
      <c r="AY875" s="141"/>
      <c r="AZ875" s="141"/>
      <c r="BA875" s="141"/>
      <c r="BB875" s="141"/>
      <c r="BC875" s="141"/>
      <c r="BD875" s="141"/>
      <c r="BE875" s="141"/>
      <c r="BF875" s="141"/>
      <c r="BG875" s="141"/>
      <c r="BH875" s="141"/>
      <c r="BI875" s="141"/>
      <c r="BJ875" s="141"/>
      <c r="BK875" s="141"/>
      <c r="BL875" s="141"/>
      <c r="BM875" s="141"/>
      <c r="BN875" s="141"/>
      <c r="BO875" s="141"/>
    </row>
    <row r="876" ht="13.5" customHeight="1">
      <c r="A876" s="138"/>
      <c r="B876" s="139"/>
      <c r="C876" s="138"/>
      <c r="D876" s="138"/>
      <c r="E876" s="140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  <c r="AL876" s="141"/>
      <c r="AM876" s="141"/>
      <c r="AN876" s="141"/>
      <c r="AO876" s="141"/>
      <c r="AP876" s="141"/>
      <c r="AQ876" s="141"/>
      <c r="AR876" s="141"/>
      <c r="AS876" s="141"/>
      <c r="AT876" s="141"/>
      <c r="AU876" s="141"/>
      <c r="AV876" s="141"/>
      <c r="AW876" s="141"/>
      <c r="AX876" s="141"/>
      <c r="AY876" s="141"/>
      <c r="AZ876" s="141"/>
      <c r="BA876" s="141"/>
      <c r="BB876" s="141"/>
      <c r="BC876" s="141"/>
      <c r="BD876" s="141"/>
      <c r="BE876" s="141"/>
      <c r="BF876" s="141"/>
      <c r="BG876" s="141"/>
      <c r="BH876" s="141"/>
      <c r="BI876" s="141"/>
      <c r="BJ876" s="141"/>
      <c r="BK876" s="141"/>
      <c r="BL876" s="141"/>
      <c r="BM876" s="141"/>
      <c r="BN876" s="141"/>
      <c r="BO876" s="141"/>
    </row>
    <row r="877" ht="13.5" customHeight="1">
      <c r="A877" s="138"/>
      <c r="B877" s="139"/>
      <c r="C877" s="138"/>
      <c r="D877" s="138"/>
      <c r="E877" s="140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  <c r="AL877" s="141"/>
      <c r="AM877" s="141"/>
      <c r="AN877" s="141"/>
      <c r="AO877" s="141"/>
      <c r="AP877" s="141"/>
      <c r="AQ877" s="141"/>
      <c r="AR877" s="141"/>
      <c r="AS877" s="141"/>
      <c r="AT877" s="141"/>
      <c r="AU877" s="141"/>
      <c r="AV877" s="141"/>
      <c r="AW877" s="141"/>
      <c r="AX877" s="141"/>
      <c r="AY877" s="141"/>
      <c r="AZ877" s="141"/>
      <c r="BA877" s="141"/>
      <c r="BB877" s="141"/>
      <c r="BC877" s="141"/>
      <c r="BD877" s="141"/>
      <c r="BE877" s="141"/>
      <c r="BF877" s="141"/>
      <c r="BG877" s="141"/>
      <c r="BH877" s="141"/>
      <c r="BI877" s="141"/>
      <c r="BJ877" s="141"/>
      <c r="BK877" s="141"/>
      <c r="BL877" s="141"/>
      <c r="BM877" s="141"/>
      <c r="BN877" s="141"/>
      <c r="BO877" s="141"/>
    </row>
    <row r="878" ht="13.5" customHeight="1">
      <c r="A878" s="138"/>
      <c r="B878" s="139"/>
      <c r="C878" s="138"/>
      <c r="D878" s="138"/>
      <c r="E878" s="140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  <c r="AL878" s="141"/>
      <c r="AM878" s="141"/>
      <c r="AN878" s="141"/>
      <c r="AO878" s="141"/>
      <c r="AP878" s="141"/>
      <c r="AQ878" s="141"/>
      <c r="AR878" s="141"/>
      <c r="AS878" s="141"/>
      <c r="AT878" s="141"/>
      <c r="AU878" s="141"/>
      <c r="AV878" s="141"/>
      <c r="AW878" s="141"/>
      <c r="AX878" s="141"/>
      <c r="AY878" s="141"/>
      <c r="AZ878" s="141"/>
      <c r="BA878" s="141"/>
      <c r="BB878" s="141"/>
      <c r="BC878" s="141"/>
      <c r="BD878" s="141"/>
      <c r="BE878" s="141"/>
      <c r="BF878" s="141"/>
      <c r="BG878" s="141"/>
      <c r="BH878" s="141"/>
      <c r="BI878" s="141"/>
      <c r="BJ878" s="141"/>
      <c r="BK878" s="141"/>
      <c r="BL878" s="141"/>
      <c r="BM878" s="141"/>
      <c r="BN878" s="141"/>
      <c r="BO878" s="141"/>
    </row>
    <row r="879" ht="13.5" customHeight="1">
      <c r="A879" s="138"/>
      <c r="B879" s="139"/>
      <c r="C879" s="138"/>
      <c r="D879" s="138"/>
      <c r="E879" s="140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  <c r="AL879" s="141"/>
      <c r="AM879" s="141"/>
      <c r="AN879" s="141"/>
      <c r="AO879" s="141"/>
      <c r="AP879" s="141"/>
      <c r="AQ879" s="141"/>
      <c r="AR879" s="141"/>
      <c r="AS879" s="141"/>
      <c r="AT879" s="141"/>
      <c r="AU879" s="141"/>
      <c r="AV879" s="141"/>
      <c r="AW879" s="141"/>
      <c r="AX879" s="141"/>
      <c r="AY879" s="141"/>
      <c r="AZ879" s="141"/>
      <c r="BA879" s="141"/>
      <c r="BB879" s="141"/>
      <c r="BC879" s="141"/>
      <c r="BD879" s="141"/>
      <c r="BE879" s="141"/>
      <c r="BF879" s="141"/>
      <c r="BG879" s="141"/>
      <c r="BH879" s="141"/>
      <c r="BI879" s="141"/>
      <c r="BJ879" s="141"/>
      <c r="BK879" s="141"/>
      <c r="BL879" s="141"/>
      <c r="BM879" s="141"/>
      <c r="BN879" s="141"/>
      <c r="BO879" s="141"/>
    </row>
    <row r="880" ht="13.5" customHeight="1">
      <c r="A880" s="138"/>
      <c r="B880" s="139"/>
      <c r="C880" s="138"/>
      <c r="D880" s="138"/>
      <c r="E880" s="140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  <c r="AL880" s="141"/>
      <c r="AM880" s="141"/>
      <c r="AN880" s="141"/>
      <c r="AO880" s="141"/>
      <c r="AP880" s="141"/>
      <c r="AQ880" s="141"/>
      <c r="AR880" s="141"/>
      <c r="AS880" s="141"/>
      <c r="AT880" s="141"/>
      <c r="AU880" s="141"/>
      <c r="AV880" s="141"/>
      <c r="AW880" s="141"/>
      <c r="AX880" s="141"/>
      <c r="AY880" s="141"/>
      <c r="AZ880" s="141"/>
      <c r="BA880" s="141"/>
      <c r="BB880" s="141"/>
      <c r="BC880" s="141"/>
      <c r="BD880" s="141"/>
      <c r="BE880" s="141"/>
      <c r="BF880" s="141"/>
      <c r="BG880" s="141"/>
      <c r="BH880" s="141"/>
      <c r="BI880" s="141"/>
      <c r="BJ880" s="141"/>
      <c r="BK880" s="141"/>
      <c r="BL880" s="141"/>
      <c r="BM880" s="141"/>
      <c r="BN880" s="141"/>
      <c r="BO880" s="141"/>
    </row>
    <row r="881" ht="13.5" customHeight="1">
      <c r="A881" s="138"/>
      <c r="B881" s="139"/>
      <c r="C881" s="138"/>
      <c r="D881" s="138"/>
      <c r="E881" s="140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  <c r="AL881" s="141"/>
      <c r="AM881" s="141"/>
      <c r="AN881" s="141"/>
      <c r="AO881" s="141"/>
      <c r="AP881" s="141"/>
      <c r="AQ881" s="141"/>
      <c r="AR881" s="141"/>
      <c r="AS881" s="141"/>
      <c r="AT881" s="141"/>
      <c r="AU881" s="141"/>
      <c r="AV881" s="141"/>
      <c r="AW881" s="141"/>
      <c r="AX881" s="141"/>
      <c r="AY881" s="141"/>
      <c r="AZ881" s="141"/>
      <c r="BA881" s="141"/>
      <c r="BB881" s="141"/>
      <c r="BC881" s="141"/>
      <c r="BD881" s="141"/>
      <c r="BE881" s="141"/>
      <c r="BF881" s="141"/>
      <c r="BG881" s="141"/>
      <c r="BH881" s="141"/>
      <c r="BI881" s="141"/>
      <c r="BJ881" s="141"/>
      <c r="BK881" s="141"/>
      <c r="BL881" s="141"/>
      <c r="BM881" s="141"/>
      <c r="BN881" s="141"/>
      <c r="BO881" s="141"/>
    </row>
    <row r="882" ht="13.5" customHeight="1">
      <c r="A882" s="138"/>
      <c r="B882" s="139"/>
      <c r="C882" s="138"/>
      <c r="D882" s="138"/>
      <c r="E882" s="140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  <c r="AL882" s="141"/>
      <c r="AM882" s="141"/>
      <c r="AN882" s="141"/>
      <c r="AO882" s="141"/>
      <c r="AP882" s="141"/>
      <c r="AQ882" s="141"/>
      <c r="AR882" s="141"/>
      <c r="AS882" s="141"/>
      <c r="AT882" s="141"/>
      <c r="AU882" s="141"/>
      <c r="AV882" s="141"/>
      <c r="AW882" s="141"/>
      <c r="AX882" s="141"/>
      <c r="AY882" s="141"/>
      <c r="AZ882" s="141"/>
      <c r="BA882" s="141"/>
      <c r="BB882" s="141"/>
      <c r="BC882" s="141"/>
      <c r="BD882" s="141"/>
      <c r="BE882" s="141"/>
      <c r="BF882" s="141"/>
      <c r="BG882" s="141"/>
      <c r="BH882" s="141"/>
      <c r="BI882" s="141"/>
      <c r="BJ882" s="141"/>
      <c r="BK882" s="141"/>
      <c r="BL882" s="141"/>
      <c r="BM882" s="141"/>
      <c r="BN882" s="141"/>
      <c r="BO882" s="141"/>
    </row>
    <row r="883" ht="13.5" customHeight="1">
      <c r="A883" s="138"/>
      <c r="B883" s="139"/>
      <c r="C883" s="138"/>
      <c r="D883" s="138"/>
      <c r="E883" s="140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  <c r="AL883" s="141"/>
      <c r="AM883" s="141"/>
      <c r="AN883" s="141"/>
      <c r="AO883" s="141"/>
      <c r="AP883" s="141"/>
      <c r="AQ883" s="141"/>
      <c r="AR883" s="141"/>
      <c r="AS883" s="141"/>
      <c r="AT883" s="141"/>
      <c r="AU883" s="141"/>
      <c r="AV883" s="141"/>
      <c r="AW883" s="141"/>
      <c r="AX883" s="141"/>
      <c r="AY883" s="141"/>
      <c r="AZ883" s="141"/>
      <c r="BA883" s="141"/>
      <c r="BB883" s="141"/>
      <c r="BC883" s="141"/>
      <c r="BD883" s="141"/>
      <c r="BE883" s="141"/>
      <c r="BF883" s="141"/>
      <c r="BG883" s="141"/>
      <c r="BH883" s="141"/>
      <c r="BI883" s="141"/>
      <c r="BJ883" s="141"/>
      <c r="BK883" s="141"/>
      <c r="BL883" s="141"/>
      <c r="BM883" s="141"/>
      <c r="BN883" s="141"/>
      <c r="BO883" s="141"/>
    </row>
    <row r="884" ht="13.5" customHeight="1">
      <c r="A884" s="138"/>
      <c r="B884" s="139"/>
      <c r="C884" s="138"/>
      <c r="D884" s="138"/>
      <c r="E884" s="140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  <c r="AL884" s="141"/>
      <c r="AM884" s="141"/>
      <c r="AN884" s="141"/>
      <c r="AO884" s="141"/>
      <c r="AP884" s="141"/>
      <c r="AQ884" s="141"/>
      <c r="AR884" s="141"/>
      <c r="AS884" s="141"/>
      <c r="AT884" s="141"/>
      <c r="AU884" s="141"/>
      <c r="AV884" s="141"/>
      <c r="AW884" s="141"/>
      <c r="AX884" s="141"/>
      <c r="AY884" s="141"/>
      <c r="AZ884" s="141"/>
      <c r="BA884" s="141"/>
      <c r="BB884" s="141"/>
      <c r="BC884" s="141"/>
      <c r="BD884" s="141"/>
      <c r="BE884" s="141"/>
      <c r="BF884" s="141"/>
      <c r="BG884" s="141"/>
      <c r="BH884" s="141"/>
      <c r="BI884" s="141"/>
      <c r="BJ884" s="141"/>
      <c r="BK884" s="141"/>
      <c r="BL884" s="141"/>
      <c r="BM884" s="141"/>
      <c r="BN884" s="141"/>
      <c r="BO884" s="141"/>
    </row>
    <row r="885" ht="13.5" customHeight="1">
      <c r="A885" s="138"/>
      <c r="B885" s="139"/>
      <c r="C885" s="138"/>
      <c r="D885" s="138"/>
      <c r="E885" s="140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  <c r="AL885" s="141"/>
      <c r="AM885" s="141"/>
      <c r="AN885" s="141"/>
      <c r="AO885" s="141"/>
      <c r="AP885" s="141"/>
      <c r="AQ885" s="141"/>
      <c r="AR885" s="141"/>
      <c r="AS885" s="141"/>
      <c r="AT885" s="141"/>
      <c r="AU885" s="141"/>
      <c r="AV885" s="141"/>
      <c r="AW885" s="141"/>
      <c r="AX885" s="141"/>
      <c r="AY885" s="141"/>
      <c r="AZ885" s="141"/>
      <c r="BA885" s="141"/>
      <c r="BB885" s="141"/>
      <c r="BC885" s="141"/>
      <c r="BD885" s="141"/>
      <c r="BE885" s="141"/>
      <c r="BF885" s="141"/>
      <c r="BG885" s="141"/>
      <c r="BH885" s="141"/>
      <c r="BI885" s="141"/>
      <c r="BJ885" s="141"/>
      <c r="BK885" s="141"/>
      <c r="BL885" s="141"/>
      <c r="BM885" s="141"/>
      <c r="BN885" s="141"/>
      <c r="BO885" s="141"/>
    </row>
    <row r="886" ht="13.5" customHeight="1">
      <c r="A886" s="138"/>
      <c r="B886" s="139"/>
      <c r="C886" s="138"/>
      <c r="D886" s="138"/>
      <c r="E886" s="140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  <c r="AL886" s="141"/>
      <c r="AM886" s="141"/>
      <c r="AN886" s="141"/>
      <c r="AO886" s="141"/>
      <c r="AP886" s="141"/>
      <c r="AQ886" s="141"/>
      <c r="AR886" s="141"/>
      <c r="AS886" s="141"/>
      <c r="AT886" s="141"/>
      <c r="AU886" s="141"/>
      <c r="AV886" s="141"/>
      <c r="AW886" s="141"/>
      <c r="AX886" s="141"/>
      <c r="AY886" s="141"/>
      <c r="AZ886" s="141"/>
      <c r="BA886" s="141"/>
      <c r="BB886" s="141"/>
      <c r="BC886" s="141"/>
      <c r="BD886" s="141"/>
      <c r="BE886" s="141"/>
      <c r="BF886" s="141"/>
      <c r="BG886" s="141"/>
      <c r="BH886" s="141"/>
      <c r="BI886" s="141"/>
      <c r="BJ886" s="141"/>
      <c r="BK886" s="141"/>
      <c r="BL886" s="141"/>
      <c r="BM886" s="141"/>
      <c r="BN886" s="141"/>
      <c r="BO886" s="141"/>
    </row>
    <row r="887" ht="13.5" customHeight="1">
      <c r="A887" s="138"/>
      <c r="B887" s="139"/>
      <c r="C887" s="138"/>
      <c r="D887" s="138"/>
      <c r="E887" s="140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  <c r="AL887" s="141"/>
      <c r="AM887" s="141"/>
      <c r="AN887" s="141"/>
      <c r="AO887" s="141"/>
      <c r="AP887" s="141"/>
      <c r="AQ887" s="141"/>
      <c r="AR887" s="141"/>
      <c r="AS887" s="141"/>
      <c r="AT887" s="141"/>
      <c r="AU887" s="141"/>
      <c r="AV887" s="141"/>
      <c r="AW887" s="141"/>
      <c r="AX887" s="141"/>
      <c r="AY887" s="141"/>
      <c r="AZ887" s="141"/>
      <c r="BA887" s="141"/>
      <c r="BB887" s="141"/>
      <c r="BC887" s="141"/>
      <c r="BD887" s="141"/>
      <c r="BE887" s="141"/>
      <c r="BF887" s="141"/>
      <c r="BG887" s="141"/>
      <c r="BH887" s="141"/>
      <c r="BI887" s="141"/>
      <c r="BJ887" s="141"/>
      <c r="BK887" s="141"/>
      <c r="BL887" s="141"/>
      <c r="BM887" s="141"/>
      <c r="BN887" s="141"/>
      <c r="BO887" s="141"/>
    </row>
    <row r="888" ht="13.5" customHeight="1">
      <c r="A888" s="138"/>
      <c r="B888" s="139"/>
      <c r="C888" s="138"/>
      <c r="D888" s="138"/>
      <c r="E888" s="140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  <c r="AL888" s="141"/>
      <c r="AM888" s="141"/>
      <c r="AN888" s="141"/>
      <c r="AO888" s="141"/>
      <c r="AP888" s="141"/>
      <c r="AQ888" s="141"/>
      <c r="AR888" s="141"/>
      <c r="AS888" s="141"/>
      <c r="AT888" s="141"/>
      <c r="AU888" s="141"/>
      <c r="AV888" s="141"/>
      <c r="AW888" s="141"/>
      <c r="AX888" s="141"/>
      <c r="AY888" s="141"/>
      <c r="AZ888" s="141"/>
      <c r="BA888" s="141"/>
      <c r="BB888" s="141"/>
      <c r="BC888" s="141"/>
      <c r="BD888" s="141"/>
      <c r="BE888" s="141"/>
      <c r="BF888" s="141"/>
      <c r="BG888" s="141"/>
      <c r="BH888" s="141"/>
      <c r="BI888" s="141"/>
      <c r="BJ888" s="141"/>
      <c r="BK888" s="141"/>
      <c r="BL888" s="141"/>
      <c r="BM888" s="141"/>
      <c r="BN888" s="141"/>
      <c r="BO888" s="141"/>
    </row>
    <row r="889" ht="13.5" customHeight="1">
      <c r="A889" s="138"/>
      <c r="B889" s="139"/>
      <c r="C889" s="138"/>
      <c r="D889" s="138"/>
      <c r="E889" s="140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  <c r="AL889" s="141"/>
      <c r="AM889" s="141"/>
      <c r="AN889" s="141"/>
      <c r="AO889" s="141"/>
      <c r="AP889" s="141"/>
      <c r="AQ889" s="141"/>
      <c r="AR889" s="141"/>
      <c r="AS889" s="141"/>
      <c r="AT889" s="141"/>
      <c r="AU889" s="141"/>
      <c r="AV889" s="141"/>
      <c r="AW889" s="141"/>
      <c r="AX889" s="141"/>
      <c r="AY889" s="141"/>
      <c r="AZ889" s="141"/>
      <c r="BA889" s="141"/>
      <c r="BB889" s="141"/>
      <c r="BC889" s="141"/>
      <c r="BD889" s="141"/>
      <c r="BE889" s="141"/>
      <c r="BF889" s="141"/>
      <c r="BG889" s="141"/>
      <c r="BH889" s="141"/>
      <c r="BI889" s="141"/>
      <c r="BJ889" s="141"/>
      <c r="BK889" s="141"/>
      <c r="BL889" s="141"/>
      <c r="BM889" s="141"/>
      <c r="BN889" s="141"/>
      <c r="BO889" s="141"/>
    </row>
    <row r="890" ht="13.5" customHeight="1">
      <c r="A890" s="138"/>
      <c r="B890" s="139"/>
      <c r="C890" s="138"/>
      <c r="D890" s="138"/>
      <c r="E890" s="140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  <c r="AL890" s="141"/>
      <c r="AM890" s="141"/>
      <c r="AN890" s="141"/>
      <c r="AO890" s="141"/>
      <c r="AP890" s="141"/>
      <c r="AQ890" s="141"/>
      <c r="AR890" s="141"/>
      <c r="AS890" s="141"/>
      <c r="AT890" s="141"/>
      <c r="AU890" s="141"/>
      <c r="AV890" s="141"/>
      <c r="AW890" s="141"/>
      <c r="AX890" s="141"/>
      <c r="AY890" s="141"/>
      <c r="AZ890" s="141"/>
      <c r="BA890" s="141"/>
      <c r="BB890" s="141"/>
      <c r="BC890" s="141"/>
      <c r="BD890" s="141"/>
      <c r="BE890" s="141"/>
      <c r="BF890" s="141"/>
      <c r="BG890" s="141"/>
      <c r="BH890" s="141"/>
      <c r="BI890" s="141"/>
      <c r="BJ890" s="141"/>
      <c r="BK890" s="141"/>
      <c r="BL890" s="141"/>
      <c r="BM890" s="141"/>
      <c r="BN890" s="141"/>
      <c r="BO890" s="141"/>
    </row>
    <row r="891" ht="13.5" customHeight="1">
      <c r="A891" s="138"/>
      <c r="B891" s="139"/>
      <c r="C891" s="138"/>
      <c r="D891" s="138"/>
      <c r="E891" s="140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  <c r="AL891" s="141"/>
      <c r="AM891" s="141"/>
      <c r="AN891" s="141"/>
      <c r="AO891" s="141"/>
      <c r="AP891" s="141"/>
      <c r="AQ891" s="141"/>
      <c r="AR891" s="141"/>
      <c r="AS891" s="141"/>
      <c r="AT891" s="141"/>
      <c r="AU891" s="141"/>
      <c r="AV891" s="141"/>
      <c r="AW891" s="141"/>
      <c r="AX891" s="141"/>
      <c r="AY891" s="141"/>
      <c r="AZ891" s="141"/>
      <c r="BA891" s="141"/>
      <c r="BB891" s="141"/>
      <c r="BC891" s="141"/>
      <c r="BD891" s="141"/>
      <c r="BE891" s="141"/>
      <c r="BF891" s="141"/>
      <c r="BG891" s="141"/>
      <c r="BH891" s="141"/>
      <c r="BI891" s="141"/>
      <c r="BJ891" s="141"/>
      <c r="BK891" s="141"/>
      <c r="BL891" s="141"/>
      <c r="BM891" s="141"/>
      <c r="BN891" s="141"/>
      <c r="BO891" s="141"/>
    </row>
    <row r="892" ht="13.5" customHeight="1">
      <c r="A892" s="138"/>
      <c r="B892" s="139"/>
      <c r="C892" s="138"/>
      <c r="D892" s="138"/>
      <c r="E892" s="140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  <c r="AL892" s="141"/>
      <c r="AM892" s="141"/>
      <c r="AN892" s="141"/>
      <c r="AO892" s="141"/>
      <c r="AP892" s="141"/>
      <c r="AQ892" s="141"/>
      <c r="AR892" s="141"/>
      <c r="AS892" s="141"/>
      <c r="AT892" s="141"/>
      <c r="AU892" s="141"/>
      <c r="AV892" s="141"/>
      <c r="AW892" s="141"/>
      <c r="AX892" s="141"/>
      <c r="AY892" s="141"/>
      <c r="AZ892" s="141"/>
      <c r="BA892" s="141"/>
      <c r="BB892" s="141"/>
      <c r="BC892" s="141"/>
      <c r="BD892" s="141"/>
      <c r="BE892" s="141"/>
      <c r="BF892" s="141"/>
      <c r="BG892" s="141"/>
      <c r="BH892" s="141"/>
      <c r="BI892" s="141"/>
      <c r="BJ892" s="141"/>
      <c r="BK892" s="141"/>
      <c r="BL892" s="141"/>
      <c r="BM892" s="141"/>
      <c r="BN892" s="141"/>
      <c r="BO892" s="141"/>
    </row>
    <row r="893" ht="13.5" customHeight="1">
      <c r="A893" s="138"/>
      <c r="B893" s="139"/>
      <c r="C893" s="138"/>
      <c r="D893" s="138"/>
      <c r="E893" s="140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  <c r="AL893" s="141"/>
      <c r="AM893" s="141"/>
      <c r="AN893" s="141"/>
      <c r="AO893" s="141"/>
      <c r="AP893" s="141"/>
      <c r="AQ893" s="141"/>
      <c r="AR893" s="141"/>
      <c r="AS893" s="141"/>
      <c r="AT893" s="141"/>
      <c r="AU893" s="141"/>
      <c r="AV893" s="141"/>
      <c r="AW893" s="141"/>
      <c r="AX893" s="141"/>
      <c r="AY893" s="141"/>
      <c r="AZ893" s="141"/>
      <c r="BA893" s="141"/>
      <c r="BB893" s="141"/>
      <c r="BC893" s="141"/>
      <c r="BD893" s="141"/>
      <c r="BE893" s="141"/>
      <c r="BF893" s="141"/>
      <c r="BG893" s="141"/>
      <c r="BH893" s="141"/>
      <c r="BI893" s="141"/>
      <c r="BJ893" s="141"/>
      <c r="BK893" s="141"/>
      <c r="BL893" s="141"/>
      <c r="BM893" s="141"/>
      <c r="BN893" s="141"/>
      <c r="BO893" s="141"/>
    </row>
    <row r="894" ht="13.5" customHeight="1">
      <c r="A894" s="138"/>
      <c r="B894" s="139"/>
      <c r="C894" s="138"/>
      <c r="D894" s="138"/>
      <c r="E894" s="140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  <c r="AL894" s="141"/>
      <c r="AM894" s="141"/>
      <c r="AN894" s="141"/>
      <c r="AO894" s="141"/>
      <c r="AP894" s="141"/>
      <c r="AQ894" s="141"/>
      <c r="AR894" s="141"/>
      <c r="AS894" s="141"/>
      <c r="AT894" s="141"/>
      <c r="AU894" s="141"/>
      <c r="AV894" s="141"/>
      <c r="AW894" s="141"/>
      <c r="AX894" s="141"/>
      <c r="AY894" s="141"/>
      <c r="AZ894" s="141"/>
      <c r="BA894" s="141"/>
      <c r="BB894" s="141"/>
      <c r="BC894" s="141"/>
      <c r="BD894" s="141"/>
      <c r="BE894" s="141"/>
      <c r="BF894" s="141"/>
      <c r="BG894" s="141"/>
      <c r="BH894" s="141"/>
      <c r="BI894" s="141"/>
      <c r="BJ894" s="141"/>
      <c r="BK894" s="141"/>
      <c r="BL894" s="141"/>
      <c r="BM894" s="141"/>
      <c r="BN894" s="141"/>
      <c r="BO894" s="141"/>
    </row>
    <row r="895" ht="13.5" customHeight="1">
      <c r="A895" s="138"/>
      <c r="B895" s="139"/>
      <c r="C895" s="138"/>
      <c r="D895" s="138"/>
      <c r="E895" s="140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  <c r="AL895" s="141"/>
      <c r="AM895" s="141"/>
      <c r="AN895" s="141"/>
      <c r="AO895" s="141"/>
      <c r="AP895" s="141"/>
      <c r="AQ895" s="141"/>
      <c r="AR895" s="141"/>
      <c r="AS895" s="141"/>
      <c r="AT895" s="141"/>
      <c r="AU895" s="141"/>
      <c r="AV895" s="141"/>
      <c r="AW895" s="141"/>
      <c r="AX895" s="141"/>
      <c r="AY895" s="141"/>
      <c r="AZ895" s="141"/>
      <c r="BA895" s="141"/>
      <c r="BB895" s="141"/>
      <c r="BC895" s="141"/>
      <c r="BD895" s="141"/>
      <c r="BE895" s="141"/>
      <c r="BF895" s="141"/>
      <c r="BG895" s="141"/>
      <c r="BH895" s="141"/>
      <c r="BI895" s="141"/>
      <c r="BJ895" s="141"/>
      <c r="BK895" s="141"/>
      <c r="BL895" s="141"/>
      <c r="BM895" s="141"/>
      <c r="BN895" s="141"/>
      <c r="BO895" s="141"/>
    </row>
    <row r="896" ht="13.5" customHeight="1">
      <c r="A896" s="138"/>
      <c r="B896" s="139"/>
      <c r="C896" s="138"/>
      <c r="D896" s="138"/>
      <c r="E896" s="140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  <c r="AL896" s="141"/>
      <c r="AM896" s="141"/>
      <c r="AN896" s="141"/>
      <c r="AO896" s="141"/>
      <c r="AP896" s="141"/>
      <c r="AQ896" s="141"/>
      <c r="AR896" s="141"/>
      <c r="AS896" s="141"/>
      <c r="AT896" s="141"/>
      <c r="AU896" s="141"/>
      <c r="AV896" s="141"/>
      <c r="AW896" s="141"/>
      <c r="AX896" s="141"/>
      <c r="AY896" s="141"/>
      <c r="AZ896" s="141"/>
      <c r="BA896" s="141"/>
      <c r="BB896" s="141"/>
      <c r="BC896" s="141"/>
      <c r="BD896" s="141"/>
      <c r="BE896" s="141"/>
      <c r="BF896" s="141"/>
      <c r="BG896" s="141"/>
      <c r="BH896" s="141"/>
      <c r="BI896" s="141"/>
      <c r="BJ896" s="141"/>
      <c r="BK896" s="141"/>
      <c r="BL896" s="141"/>
      <c r="BM896" s="141"/>
      <c r="BN896" s="141"/>
      <c r="BO896" s="141"/>
    </row>
    <row r="897" ht="13.5" customHeight="1">
      <c r="A897" s="138"/>
      <c r="B897" s="139"/>
      <c r="C897" s="138"/>
      <c r="D897" s="138"/>
      <c r="E897" s="140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  <c r="AL897" s="141"/>
      <c r="AM897" s="141"/>
      <c r="AN897" s="141"/>
      <c r="AO897" s="141"/>
      <c r="AP897" s="141"/>
      <c r="AQ897" s="141"/>
      <c r="AR897" s="141"/>
      <c r="AS897" s="141"/>
      <c r="AT897" s="141"/>
      <c r="AU897" s="141"/>
      <c r="AV897" s="141"/>
      <c r="AW897" s="141"/>
      <c r="AX897" s="141"/>
      <c r="AY897" s="141"/>
      <c r="AZ897" s="141"/>
      <c r="BA897" s="141"/>
      <c r="BB897" s="141"/>
      <c r="BC897" s="141"/>
      <c r="BD897" s="141"/>
      <c r="BE897" s="141"/>
      <c r="BF897" s="141"/>
      <c r="BG897" s="141"/>
      <c r="BH897" s="141"/>
      <c r="BI897" s="141"/>
      <c r="BJ897" s="141"/>
      <c r="BK897" s="141"/>
      <c r="BL897" s="141"/>
      <c r="BM897" s="141"/>
      <c r="BN897" s="141"/>
      <c r="BO897" s="141"/>
    </row>
    <row r="898" ht="13.5" customHeight="1">
      <c r="A898" s="138"/>
      <c r="B898" s="139"/>
      <c r="C898" s="138"/>
      <c r="D898" s="138"/>
      <c r="E898" s="140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  <c r="AL898" s="141"/>
      <c r="AM898" s="141"/>
      <c r="AN898" s="141"/>
      <c r="AO898" s="141"/>
      <c r="AP898" s="141"/>
      <c r="AQ898" s="141"/>
      <c r="AR898" s="141"/>
      <c r="AS898" s="141"/>
      <c r="AT898" s="141"/>
      <c r="AU898" s="141"/>
      <c r="AV898" s="141"/>
      <c r="AW898" s="141"/>
      <c r="AX898" s="141"/>
      <c r="AY898" s="141"/>
      <c r="AZ898" s="141"/>
      <c r="BA898" s="141"/>
      <c r="BB898" s="141"/>
      <c r="BC898" s="141"/>
      <c r="BD898" s="141"/>
      <c r="BE898" s="141"/>
      <c r="BF898" s="141"/>
      <c r="BG898" s="141"/>
      <c r="BH898" s="141"/>
      <c r="BI898" s="141"/>
      <c r="BJ898" s="141"/>
      <c r="BK898" s="141"/>
      <c r="BL898" s="141"/>
      <c r="BM898" s="141"/>
      <c r="BN898" s="141"/>
      <c r="BO898" s="141"/>
    </row>
    <row r="899" ht="13.5" customHeight="1">
      <c r="A899" s="138"/>
      <c r="B899" s="139"/>
      <c r="C899" s="138"/>
      <c r="D899" s="138"/>
      <c r="E899" s="140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  <c r="AL899" s="141"/>
      <c r="AM899" s="141"/>
      <c r="AN899" s="141"/>
      <c r="AO899" s="141"/>
      <c r="AP899" s="141"/>
      <c r="AQ899" s="141"/>
      <c r="AR899" s="141"/>
      <c r="AS899" s="141"/>
      <c r="AT899" s="141"/>
      <c r="AU899" s="141"/>
      <c r="AV899" s="141"/>
      <c r="AW899" s="141"/>
      <c r="AX899" s="141"/>
      <c r="AY899" s="141"/>
      <c r="AZ899" s="141"/>
      <c r="BA899" s="141"/>
      <c r="BB899" s="141"/>
      <c r="BC899" s="141"/>
      <c r="BD899" s="141"/>
      <c r="BE899" s="141"/>
      <c r="BF899" s="141"/>
      <c r="BG899" s="141"/>
      <c r="BH899" s="141"/>
      <c r="BI899" s="141"/>
      <c r="BJ899" s="141"/>
      <c r="BK899" s="141"/>
      <c r="BL899" s="141"/>
      <c r="BM899" s="141"/>
      <c r="BN899" s="141"/>
      <c r="BO899" s="141"/>
    </row>
    <row r="900" ht="13.5" customHeight="1">
      <c r="A900" s="138"/>
      <c r="B900" s="139"/>
      <c r="C900" s="138"/>
      <c r="D900" s="138"/>
      <c r="E900" s="140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  <c r="AL900" s="141"/>
      <c r="AM900" s="141"/>
      <c r="AN900" s="141"/>
      <c r="AO900" s="141"/>
      <c r="AP900" s="141"/>
      <c r="AQ900" s="141"/>
      <c r="AR900" s="141"/>
      <c r="AS900" s="141"/>
      <c r="AT900" s="141"/>
      <c r="AU900" s="141"/>
      <c r="AV900" s="141"/>
      <c r="AW900" s="141"/>
      <c r="AX900" s="141"/>
      <c r="AY900" s="141"/>
      <c r="AZ900" s="141"/>
      <c r="BA900" s="141"/>
      <c r="BB900" s="141"/>
      <c r="BC900" s="141"/>
      <c r="BD900" s="141"/>
      <c r="BE900" s="141"/>
      <c r="BF900" s="141"/>
      <c r="BG900" s="141"/>
      <c r="BH900" s="141"/>
      <c r="BI900" s="141"/>
      <c r="BJ900" s="141"/>
      <c r="BK900" s="141"/>
      <c r="BL900" s="141"/>
      <c r="BM900" s="141"/>
      <c r="BN900" s="141"/>
      <c r="BO900" s="141"/>
    </row>
    <row r="901" ht="13.5" customHeight="1">
      <c r="A901" s="138"/>
      <c r="B901" s="139"/>
      <c r="C901" s="138"/>
      <c r="D901" s="138"/>
      <c r="E901" s="140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  <c r="AL901" s="141"/>
      <c r="AM901" s="141"/>
      <c r="AN901" s="141"/>
      <c r="AO901" s="141"/>
      <c r="AP901" s="141"/>
      <c r="AQ901" s="141"/>
      <c r="AR901" s="141"/>
      <c r="AS901" s="141"/>
      <c r="AT901" s="141"/>
      <c r="AU901" s="141"/>
      <c r="AV901" s="141"/>
      <c r="AW901" s="141"/>
      <c r="AX901" s="141"/>
      <c r="AY901" s="141"/>
      <c r="AZ901" s="141"/>
      <c r="BA901" s="141"/>
      <c r="BB901" s="141"/>
      <c r="BC901" s="141"/>
      <c r="BD901" s="141"/>
      <c r="BE901" s="141"/>
      <c r="BF901" s="141"/>
      <c r="BG901" s="141"/>
      <c r="BH901" s="141"/>
      <c r="BI901" s="141"/>
      <c r="BJ901" s="141"/>
      <c r="BK901" s="141"/>
      <c r="BL901" s="141"/>
      <c r="BM901" s="141"/>
      <c r="BN901" s="141"/>
      <c r="BO901" s="141"/>
    </row>
    <row r="902" ht="13.5" customHeight="1">
      <c r="A902" s="138"/>
      <c r="B902" s="139"/>
      <c r="C902" s="138"/>
      <c r="D902" s="138"/>
      <c r="E902" s="140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  <c r="AL902" s="141"/>
      <c r="AM902" s="141"/>
      <c r="AN902" s="141"/>
      <c r="AO902" s="141"/>
      <c r="AP902" s="141"/>
      <c r="AQ902" s="141"/>
      <c r="AR902" s="141"/>
      <c r="AS902" s="141"/>
      <c r="AT902" s="141"/>
      <c r="AU902" s="141"/>
      <c r="AV902" s="141"/>
      <c r="AW902" s="141"/>
      <c r="AX902" s="141"/>
      <c r="AY902" s="141"/>
      <c r="AZ902" s="141"/>
      <c r="BA902" s="141"/>
      <c r="BB902" s="141"/>
      <c r="BC902" s="141"/>
      <c r="BD902" s="141"/>
      <c r="BE902" s="141"/>
      <c r="BF902" s="141"/>
      <c r="BG902" s="141"/>
      <c r="BH902" s="141"/>
      <c r="BI902" s="141"/>
      <c r="BJ902" s="141"/>
      <c r="BK902" s="141"/>
      <c r="BL902" s="141"/>
      <c r="BM902" s="141"/>
      <c r="BN902" s="141"/>
      <c r="BO902" s="141"/>
    </row>
    <row r="903" ht="13.5" customHeight="1">
      <c r="A903" s="138"/>
      <c r="B903" s="139"/>
      <c r="C903" s="138"/>
      <c r="D903" s="138"/>
      <c r="E903" s="140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  <c r="AL903" s="141"/>
      <c r="AM903" s="141"/>
      <c r="AN903" s="141"/>
      <c r="AO903" s="141"/>
      <c r="AP903" s="141"/>
      <c r="AQ903" s="141"/>
      <c r="AR903" s="141"/>
      <c r="AS903" s="141"/>
      <c r="AT903" s="141"/>
      <c r="AU903" s="141"/>
      <c r="AV903" s="141"/>
      <c r="AW903" s="141"/>
      <c r="AX903" s="141"/>
      <c r="AY903" s="141"/>
      <c r="AZ903" s="141"/>
      <c r="BA903" s="141"/>
      <c r="BB903" s="141"/>
      <c r="BC903" s="141"/>
      <c r="BD903" s="141"/>
      <c r="BE903" s="141"/>
      <c r="BF903" s="141"/>
      <c r="BG903" s="141"/>
      <c r="BH903" s="141"/>
      <c r="BI903" s="141"/>
      <c r="BJ903" s="141"/>
      <c r="BK903" s="141"/>
      <c r="BL903" s="141"/>
      <c r="BM903" s="141"/>
      <c r="BN903" s="141"/>
      <c r="BO903" s="141"/>
    </row>
    <row r="904" ht="13.5" customHeight="1">
      <c r="A904" s="138"/>
      <c r="B904" s="139"/>
      <c r="C904" s="138"/>
      <c r="D904" s="138"/>
      <c r="E904" s="140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  <c r="AL904" s="141"/>
      <c r="AM904" s="141"/>
      <c r="AN904" s="141"/>
      <c r="AO904" s="141"/>
      <c r="AP904" s="141"/>
      <c r="AQ904" s="141"/>
      <c r="AR904" s="141"/>
      <c r="AS904" s="141"/>
      <c r="AT904" s="141"/>
      <c r="AU904" s="141"/>
      <c r="AV904" s="141"/>
      <c r="AW904" s="141"/>
      <c r="AX904" s="141"/>
      <c r="AY904" s="141"/>
      <c r="AZ904" s="141"/>
      <c r="BA904" s="141"/>
      <c r="BB904" s="141"/>
      <c r="BC904" s="141"/>
      <c r="BD904" s="141"/>
      <c r="BE904" s="141"/>
      <c r="BF904" s="141"/>
      <c r="BG904" s="141"/>
      <c r="BH904" s="141"/>
      <c r="BI904" s="141"/>
      <c r="BJ904" s="141"/>
      <c r="BK904" s="141"/>
      <c r="BL904" s="141"/>
      <c r="BM904" s="141"/>
      <c r="BN904" s="141"/>
      <c r="BO904" s="141"/>
    </row>
    <row r="905" ht="13.5" customHeight="1">
      <c r="A905" s="138"/>
      <c r="B905" s="139"/>
      <c r="C905" s="138"/>
      <c r="D905" s="138"/>
      <c r="E905" s="140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  <c r="AL905" s="141"/>
      <c r="AM905" s="141"/>
      <c r="AN905" s="141"/>
      <c r="AO905" s="141"/>
      <c r="AP905" s="141"/>
      <c r="AQ905" s="141"/>
      <c r="AR905" s="141"/>
      <c r="AS905" s="141"/>
      <c r="AT905" s="141"/>
      <c r="AU905" s="141"/>
      <c r="AV905" s="141"/>
      <c r="AW905" s="141"/>
      <c r="AX905" s="141"/>
      <c r="AY905" s="141"/>
      <c r="AZ905" s="141"/>
      <c r="BA905" s="141"/>
      <c r="BB905" s="141"/>
      <c r="BC905" s="141"/>
      <c r="BD905" s="141"/>
      <c r="BE905" s="141"/>
      <c r="BF905" s="141"/>
      <c r="BG905" s="141"/>
      <c r="BH905" s="141"/>
      <c r="BI905" s="141"/>
      <c r="BJ905" s="141"/>
      <c r="BK905" s="141"/>
      <c r="BL905" s="141"/>
      <c r="BM905" s="141"/>
      <c r="BN905" s="141"/>
      <c r="BO905" s="141"/>
    </row>
    <row r="906" ht="13.5" customHeight="1">
      <c r="A906" s="138"/>
      <c r="B906" s="139"/>
      <c r="C906" s="138"/>
      <c r="D906" s="138"/>
      <c r="E906" s="140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  <c r="AL906" s="141"/>
      <c r="AM906" s="141"/>
      <c r="AN906" s="141"/>
      <c r="AO906" s="141"/>
      <c r="AP906" s="141"/>
      <c r="AQ906" s="141"/>
      <c r="AR906" s="141"/>
      <c r="AS906" s="141"/>
      <c r="AT906" s="141"/>
      <c r="AU906" s="141"/>
      <c r="AV906" s="141"/>
      <c r="AW906" s="141"/>
      <c r="AX906" s="141"/>
      <c r="AY906" s="141"/>
      <c r="AZ906" s="141"/>
      <c r="BA906" s="141"/>
      <c r="BB906" s="141"/>
      <c r="BC906" s="141"/>
      <c r="BD906" s="141"/>
      <c r="BE906" s="141"/>
      <c r="BF906" s="141"/>
      <c r="BG906" s="141"/>
      <c r="BH906" s="141"/>
      <c r="BI906" s="141"/>
      <c r="BJ906" s="141"/>
      <c r="BK906" s="141"/>
      <c r="BL906" s="141"/>
      <c r="BM906" s="141"/>
      <c r="BN906" s="141"/>
      <c r="BO906" s="141"/>
    </row>
    <row r="907" ht="13.5" customHeight="1">
      <c r="A907" s="138"/>
      <c r="B907" s="139"/>
      <c r="C907" s="138"/>
      <c r="D907" s="138"/>
      <c r="E907" s="140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  <c r="AL907" s="141"/>
      <c r="AM907" s="141"/>
      <c r="AN907" s="141"/>
      <c r="AO907" s="141"/>
      <c r="AP907" s="141"/>
      <c r="AQ907" s="141"/>
      <c r="AR907" s="141"/>
      <c r="AS907" s="141"/>
      <c r="AT907" s="141"/>
      <c r="AU907" s="141"/>
      <c r="AV907" s="141"/>
      <c r="AW907" s="141"/>
      <c r="AX907" s="141"/>
      <c r="AY907" s="141"/>
      <c r="AZ907" s="141"/>
      <c r="BA907" s="141"/>
      <c r="BB907" s="141"/>
      <c r="BC907" s="141"/>
      <c r="BD907" s="141"/>
      <c r="BE907" s="141"/>
      <c r="BF907" s="141"/>
      <c r="BG907" s="141"/>
      <c r="BH907" s="141"/>
      <c r="BI907" s="141"/>
      <c r="BJ907" s="141"/>
      <c r="BK907" s="141"/>
      <c r="BL907" s="141"/>
      <c r="BM907" s="141"/>
      <c r="BN907" s="141"/>
      <c r="BO907" s="141"/>
    </row>
    <row r="908" ht="13.5" customHeight="1">
      <c r="A908" s="138"/>
      <c r="B908" s="139"/>
      <c r="C908" s="138"/>
      <c r="D908" s="138"/>
      <c r="E908" s="140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  <c r="AL908" s="141"/>
      <c r="AM908" s="141"/>
      <c r="AN908" s="141"/>
      <c r="AO908" s="141"/>
      <c r="AP908" s="141"/>
      <c r="AQ908" s="141"/>
      <c r="AR908" s="141"/>
      <c r="AS908" s="141"/>
      <c r="AT908" s="141"/>
      <c r="AU908" s="141"/>
      <c r="AV908" s="141"/>
      <c r="AW908" s="141"/>
      <c r="AX908" s="141"/>
      <c r="AY908" s="141"/>
      <c r="AZ908" s="141"/>
      <c r="BA908" s="141"/>
      <c r="BB908" s="141"/>
      <c r="BC908" s="141"/>
      <c r="BD908" s="141"/>
      <c r="BE908" s="141"/>
      <c r="BF908" s="141"/>
      <c r="BG908" s="141"/>
      <c r="BH908" s="141"/>
      <c r="BI908" s="141"/>
      <c r="BJ908" s="141"/>
      <c r="BK908" s="141"/>
      <c r="BL908" s="141"/>
      <c r="BM908" s="141"/>
      <c r="BN908" s="141"/>
      <c r="BO908" s="141"/>
    </row>
    <row r="909" ht="13.5" customHeight="1">
      <c r="A909" s="138"/>
      <c r="B909" s="139"/>
      <c r="C909" s="138"/>
      <c r="D909" s="138"/>
      <c r="E909" s="140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  <c r="AL909" s="141"/>
      <c r="AM909" s="141"/>
      <c r="AN909" s="141"/>
      <c r="AO909" s="141"/>
      <c r="AP909" s="141"/>
      <c r="AQ909" s="141"/>
      <c r="AR909" s="141"/>
      <c r="AS909" s="141"/>
      <c r="AT909" s="141"/>
      <c r="AU909" s="141"/>
      <c r="AV909" s="141"/>
      <c r="AW909" s="141"/>
      <c r="AX909" s="141"/>
      <c r="AY909" s="141"/>
      <c r="AZ909" s="141"/>
      <c r="BA909" s="141"/>
      <c r="BB909" s="141"/>
      <c r="BC909" s="141"/>
      <c r="BD909" s="141"/>
      <c r="BE909" s="141"/>
      <c r="BF909" s="141"/>
      <c r="BG909" s="141"/>
      <c r="BH909" s="141"/>
      <c r="BI909" s="141"/>
      <c r="BJ909" s="141"/>
      <c r="BK909" s="141"/>
      <c r="BL909" s="141"/>
      <c r="BM909" s="141"/>
      <c r="BN909" s="141"/>
      <c r="BO909" s="141"/>
    </row>
    <row r="910" ht="13.5" customHeight="1">
      <c r="A910" s="138"/>
      <c r="B910" s="139"/>
      <c r="C910" s="138"/>
      <c r="D910" s="138"/>
      <c r="E910" s="140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  <c r="AL910" s="141"/>
      <c r="AM910" s="141"/>
      <c r="AN910" s="141"/>
      <c r="AO910" s="141"/>
      <c r="AP910" s="141"/>
      <c r="AQ910" s="141"/>
      <c r="AR910" s="141"/>
      <c r="AS910" s="141"/>
      <c r="AT910" s="141"/>
      <c r="AU910" s="141"/>
      <c r="AV910" s="141"/>
      <c r="AW910" s="141"/>
      <c r="AX910" s="141"/>
      <c r="AY910" s="141"/>
      <c r="AZ910" s="141"/>
      <c r="BA910" s="141"/>
      <c r="BB910" s="141"/>
      <c r="BC910" s="141"/>
      <c r="BD910" s="141"/>
      <c r="BE910" s="141"/>
      <c r="BF910" s="141"/>
      <c r="BG910" s="141"/>
      <c r="BH910" s="141"/>
      <c r="BI910" s="141"/>
      <c r="BJ910" s="141"/>
      <c r="BK910" s="141"/>
      <c r="BL910" s="141"/>
      <c r="BM910" s="141"/>
      <c r="BN910" s="141"/>
      <c r="BO910" s="141"/>
    </row>
    <row r="911" ht="13.5" customHeight="1">
      <c r="A911" s="138"/>
      <c r="B911" s="139"/>
      <c r="C911" s="138"/>
      <c r="D911" s="138"/>
      <c r="E911" s="140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  <c r="AL911" s="141"/>
      <c r="AM911" s="141"/>
      <c r="AN911" s="141"/>
      <c r="AO911" s="141"/>
      <c r="AP911" s="141"/>
      <c r="AQ911" s="141"/>
      <c r="AR911" s="141"/>
      <c r="AS911" s="141"/>
      <c r="AT911" s="141"/>
      <c r="AU911" s="141"/>
      <c r="AV911" s="141"/>
      <c r="AW911" s="141"/>
      <c r="AX911" s="141"/>
      <c r="AY911" s="141"/>
      <c r="AZ911" s="141"/>
      <c r="BA911" s="141"/>
      <c r="BB911" s="141"/>
      <c r="BC911" s="141"/>
      <c r="BD911" s="141"/>
      <c r="BE911" s="141"/>
      <c r="BF911" s="141"/>
      <c r="BG911" s="141"/>
      <c r="BH911" s="141"/>
      <c r="BI911" s="141"/>
      <c r="BJ911" s="141"/>
      <c r="BK911" s="141"/>
      <c r="BL911" s="141"/>
      <c r="BM911" s="141"/>
      <c r="BN911" s="141"/>
      <c r="BO911" s="141"/>
    </row>
    <row r="912" ht="13.5" customHeight="1">
      <c r="A912" s="138"/>
      <c r="B912" s="139"/>
      <c r="C912" s="138"/>
      <c r="D912" s="138"/>
      <c r="E912" s="140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  <c r="AL912" s="141"/>
      <c r="AM912" s="141"/>
      <c r="AN912" s="141"/>
      <c r="AO912" s="141"/>
      <c r="AP912" s="141"/>
      <c r="AQ912" s="141"/>
      <c r="AR912" s="141"/>
      <c r="AS912" s="141"/>
      <c r="AT912" s="141"/>
      <c r="AU912" s="141"/>
      <c r="AV912" s="141"/>
      <c r="AW912" s="141"/>
      <c r="AX912" s="141"/>
      <c r="AY912" s="141"/>
      <c r="AZ912" s="141"/>
      <c r="BA912" s="141"/>
      <c r="BB912" s="141"/>
      <c r="BC912" s="141"/>
      <c r="BD912" s="141"/>
      <c r="BE912" s="141"/>
      <c r="BF912" s="141"/>
      <c r="BG912" s="141"/>
      <c r="BH912" s="141"/>
      <c r="BI912" s="141"/>
      <c r="BJ912" s="141"/>
      <c r="BK912" s="141"/>
      <c r="BL912" s="141"/>
      <c r="BM912" s="141"/>
      <c r="BN912" s="141"/>
      <c r="BO912" s="141"/>
    </row>
    <row r="913" ht="13.5" customHeight="1">
      <c r="A913" s="138"/>
      <c r="B913" s="139"/>
      <c r="C913" s="138"/>
      <c r="D913" s="138"/>
      <c r="E913" s="140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  <c r="AL913" s="141"/>
      <c r="AM913" s="141"/>
      <c r="AN913" s="141"/>
      <c r="AO913" s="141"/>
      <c r="AP913" s="141"/>
      <c r="AQ913" s="141"/>
      <c r="AR913" s="141"/>
      <c r="AS913" s="141"/>
      <c r="AT913" s="141"/>
      <c r="AU913" s="141"/>
      <c r="AV913" s="141"/>
      <c r="AW913" s="141"/>
      <c r="AX913" s="141"/>
      <c r="AY913" s="141"/>
      <c r="AZ913" s="141"/>
      <c r="BA913" s="141"/>
      <c r="BB913" s="141"/>
      <c r="BC913" s="141"/>
      <c r="BD913" s="141"/>
      <c r="BE913" s="141"/>
      <c r="BF913" s="141"/>
      <c r="BG913" s="141"/>
      <c r="BH913" s="141"/>
      <c r="BI913" s="141"/>
      <c r="BJ913" s="141"/>
      <c r="BK913" s="141"/>
      <c r="BL913" s="141"/>
      <c r="BM913" s="141"/>
      <c r="BN913" s="141"/>
      <c r="BO913" s="141"/>
    </row>
    <row r="914" ht="13.5" customHeight="1">
      <c r="A914" s="138"/>
      <c r="B914" s="139"/>
      <c r="C914" s="138"/>
      <c r="D914" s="138"/>
      <c r="E914" s="140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  <c r="AL914" s="141"/>
      <c r="AM914" s="141"/>
      <c r="AN914" s="141"/>
      <c r="AO914" s="141"/>
      <c r="AP914" s="141"/>
      <c r="AQ914" s="141"/>
      <c r="AR914" s="141"/>
      <c r="AS914" s="141"/>
      <c r="AT914" s="141"/>
      <c r="AU914" s="141"/>
      <c r="AV914" s="141"/>
      <c r="AW914" s="141"/>
      <c r="AX914" s="141"/>
      <c r="AY914" s="141"/>
      <c r="AZ914" s="141"/>
      <c r="BA914" s="141"/>
      <c r="BB914" s="141"/>
      <c r="BC914" s="141"/>
      <c r="BD914" s="141"/>
      <c r="BE914" s="141"/>
      <c r="BF914" s="141"/>
      <c r="BG914" s="141"/>
      <c r="BH914" s="141"/>
      <c r="BI914" s="141"/>
      <c r="BJ914" s="141"/>
      <c r="BK914" s="141"/>
      <c r="BL914" s="141"/>
      <c r="BM914" s="141"/>
      <c r="BN914" s="141"/>
      <c r="BO914" s="141"/>
    </row>
    <row r="915" ht="13.5" customHeight="1">
      <c r="A915" s="138"/>
      <c r="B915" s="139"/>
      <c r="C915" s="138"/>
      <c r="D915" s="138"/>
      <c r="E915" s="140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  <c r="AL915" s="141"/>
      <c r="AM915" s="141"/>
      <c r="AN915" s="141"/>
      <c r="AO915" s="141"/>
      <c r="AP915" s="141"/>
      <c r="AQ915" s="141"/>
      <c r="AR915" s="141"/>
      <c r="AS915" s="141"/>
      <c r="AT915" s="141"/>
      <c r="AU915" s="141"/>
      <c r="AV915" s="141"/>
      <c r="AW915" s="141"/>
      <c r="AX915" s="141"/>
      <c r="AY915" s="141"/>
      <c r="AZ915" s="141"/>
      <c r="BA915" s="141"/>
      <c r="BB915" s="141"/>
      <c r="BC915" s="141"/>
      <c r="BD915" s="141"/>
      <c r="BE915" s="141"/>
      <c r="BF915" s="141"/>
      <c r="BG915" s="141"/>
      <c r="BH915" s="141"/>
      <c r="BI915" s="141"/>
      <c r="BJ915" s="141"/>
      <c r="BK915" s="141"/>
      <c r="BL915" s="141"/>
      <c r="BM915" s="141"/>
      <c r="BN915" s="141"/>
      <c r="BO915" s="141"/>
    </row>
    <row r="916" ht="13.5" customHeight="1">
      <c r="A916" s="138"/>
      <c r="B916" s="139"/>
      <c r="C916" s="138"/>
      <c r="D916" s="138"/>
      <c r="E916" s="140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  <c r="AL916" s="141"/>
      <c r="AM916" s="141"/>
      <c r="AN916" s="141"/>
      <c r="AO916" s="141"/>
      <c r="AP916" s="141"/>
      <c r="AQ916" s="141"/>
      <c r="AR916" s="141"/>
      <c r="AS916" s="141"/>
      <c r="AT916" s="141"/>
      <c r="AU916" s="141"/>
      <c r="AV916" s="141"/>
      <c r="AW916" s="141"/>
      <c r="AX916" s="141"/>
      <c r="AY916" s="141"/>
      <c r="AZ916" s="141"/>
      <c r="BA916" s="141"/>
      <c r="BB916" s="141"/>
      <c r="BC916" s="141"/>
      <c r="BD916" s="141"/>
      <c r="BE916" s="141"/>
      <c r="BF916" s="141"/>
      <c r="BG916" s="141"/>
      <c r="BH916" s="141"/>
      <c r="BI916" s="141"/>
      <c r="BJ916" s="141"/>
      <c r="BK916" s="141"/>
      <c r="BL916" s="141"/>
      <c r="BM916" s="141"/>
      <c r="BN916" s="141"/>
      <c r="BO916" s="141"/>
    </row>
    <row r="917" ht="13.5" customHeight="1">
      <c r="A917" s="138"/>
      <c r="B917" s="139"/>
      <c r="C917" s="138"/>
      <c r="D917" s="138"/>
      <c r="E917" s="140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  <c r="AL917" s="141"/>
      <c r="AM917" s="141"/>
      <c r="AN917" s="141"/>
      <c r="AO917" s="141"/>
      <c r="AP917" s="141"/>
      <c r="AQ917" s="141"/>
      <c r="AR917" s="141"/>
      <c r="AS917" s="141"/>
      <c r="AT917" s="141"/>
      <c r="AU917" s="141"/>
      <c r="AV917" s="141"/>
      <c r="AW917" s="141"/>
      <c r="AX917" s="141"/>
      <c r="AY917" s="141"/>
      <c r="AZ917" s="141"/>
      <c r="BA917" s="141"/>
      <c r="BB917" s="141"/>
      <c r="BC917" s="141"/>
      <c r="BD917" s="141"/>
      <c r="BE917" s="141"/>
      <c r="BF917" s="141"/>
      <c r="BG917" s="141"/>
      <c r="BH917" s="141"/>
      <c r="BI917" s="141"/>
      <c r="BJ917" s="141"/>
      <c r="BK917" s="141"/>
      <c r="BL917" s="141"/>
      <c r="BM917" s="141"/>
      <c r="BN917" s="141"/>
      <c r="BO917" s="141"/>
    </row>
    <row r="918" ht="13.5" customHeight="1">
      <c r="A918" s="138"/>
      <c r="B918" s="139"/>
      <c r="C918" s="138"/>
      <c r="D918" s="138"/>
      <c r="E918" s="140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  <c r="AL918" s="141"/>
      <c r="AM918" s="141"/>
      <c r="AN918" s="141"/>
      <c r="AO918" s="141"/>
      <c r="AP918" s="141"/>
      <c r="AQ918" s="141"/>
      <c r="AR918" s="141"/>
      <c r="AS918" s="141"/>
      <c r="AT918" s="141"/>
      <c r="AU918" s="141"/>
      <c r="AV918" s="141"/>
      <c r="AW918" s="141"/>
      <c r="AX918" s="141"/>
      <c r="AY918" s="141"/>
      <c r="AZ918" s="141"/>
      <c r="BA918" s="141"/>
      <c r="BB918" s="141"/>
      <c r="BC918" s="141"/>
      <c r="BD918" s="141"/>
      <c r="BE918" s="141"/>
      <c r="BF918" s="141"/>
      <c r="BG918" s="141"/>
      <c r="BH918" s="141"/>
      <c r="BI918" s="141"/>
      <c r="BJ918" s="141"/>
      <c r="BK918" s="141"/>
      <c r="BL918" s="141"/>
      <c r="BM918" s="141"/>
      <c r="BN918" s="141"/>
      <c r="BO918" s="141"/>
    </row>
    <row r="919" ht="13.5" customHeight="1">
      <c r="A919" s="138"/>
      <c r="B919" s="139"/>
      <c r="C919" s="138"/>
      <c r="D919" s="138"/>
      <c r="E919" s="140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  <c r="AL919" s="141"/>
      <c r="AM919" s="141"/>
      <c r="AN919" s="141"/>
      <c r="AO919" s="141"/>
      <c r="AP919" s="141"/>
      <c r="AQ919" s="141"/>
      <c r="AR919" s="141"/>
      <c r="AS919" s="141"/>
      <c r="AT919" s="141"/>
      <c r="AU919" s="141"/>
      <c r="AV919" s="141"/>
      <c r="AW919" s="141"/>
      <c r="AX919" s="141"/>
      <c r="AY919" s="141"/>
      <c r="AZ919" s="141"/>
      <c r="BA919" s="141"/>
      <c r="BB919" s="141"/>
      <c r="BC919" s="141"/>
      <c r="BD919" s="141"/>
      <c r="BE919" s="141"/>
      <c r="BF919" s="141"/>
      <c r="BG919" s="141"/>
      <c r="BH919" s="141"/>
      <c r="BI919" s="141"/>
      <c r="BJ919" s="141"/>
      <c r="BK919" s="141"/>
      <c r="BL919" s="141"/>
      <c r="BM919" s="141"/>
      <c r="BN919" s="141"/>
      <c r="BO919" s="141"/>
    </row>
    <row r="920" ht="13.5" customHeight="1">
      <c r="A920" s="138"/>
      <c r="B920" s="139"/>
      <c r="C920" s="138"/>
      <c r="D920" s="138"/>
      <c r="E920" s="140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  <c r="AL920" s="141"/>
      <c r="AM920" s="141"/>
      <c r="AN920" s="141"/>
      <c r="AO920" s="141"/>
      <c r="AP920" s="141"/>
      <c r="AQ920" s="141"/>
      <c r="AR920" s="141"/>
      <c r="AS920" s="141"/>
      <c r="AT920" s="141"/>
      <c r="AU920" s="141"/>
      <c r="AV920" s="141"/>
      <c r="AW920" s="141"/>
      <c r="AX920" s="141"/>
      <c r="AY920" s="141"/>
      <c r="AZ920" s="141"/>
      <c r="BA920" s="141"/>
      <c r="BB920" s="141"/>
      <c r="BC920" s="141"/>
      <c r="BD920" s="141"/>
      <c r="BE920" s="141"/>
      <c r="BF920" s="141"/>
      <c r="BG920" s="141"/>
      <c r="BH920" s="141"/>
      <c r="BI920" s="141"/>
      <c r="BJ920" s="141"/>
      <c r="BK920" s="141"/>
      <c r="BL920" s="141"/>
      <c r="BM920" s="141"/>
      <c r="BN920" s="141"/>
      <c r="BO920" s="141"/>
    </row>
    <row r="921" ht="13.5" customHeight="1">
      <c r="A921" s="138"/>
      <c r="B921" s="139"/>
      <c r="C921" s="138"/>
      <c r="D921" s="138"/>
      <c r="E921" s="140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  <c r="AL921" s="141"/>
      <c r="AM921" s="141"/>
      <c r="AN921" s="141"/>
      <c r="AO921" s="141"/>
      <c r="AP921" s="141"/>
      <c r="AQ921" s="141"/>
      <c r="AR921" s="141"/>
      <c r="AS921" s="141"/>
      <c r="AT921" s="141"/>
      <c r="AU921" s="141"/>
      <c r="AV921" s="141"/>
      <c r="AW921" s="141"/>
      <c r="AX921" s="141"/>
      <c r="AY921" s="141"/>
      <c r="AZ921" s="141"/>
      <c r="BA921" s="141"/>
      <c r="BB921" s="141"/>
      <c r="BC921" s="141"/>
      <c r="BD921" s="141"/>
      <c r="BE921" s="141"/>
      <c r="BF921" s="141"/>
      <c r="BG921" s="141"/>
      <c r="BH921" s="141"/>
      <c r="BI921" s="141"/>
      <c r="BJ921" s="141"/>
      <c r="BK921" s="141"/>
      <c r="BL921" s="141"/>
      <c r="BM921" s="141"/>
      <c r="BN921" s="141"/>
      <c r="BO921" s="141"/>
    </row>
    <row r="922" ht="13.5" customHeight="1">
      <c r="A922" s="138"/>
      <c r="B922" s="139"/>
      <c r="C922" s="138"/>
      <c r="D922" s="138"/>
      <c r="E922" s="140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  <c r="AL922" s="141"/>
      <c r="AM922" s="141"/>
      <c r="AN922" s="141"/>
      <c r="AO922" s="141"/>
      <c r="AP922" s="141"/>
      <c r="AQ922" s="141"/>
      <c r="AR922" s="141"/>
      <c r="AS922" s="141"/>
      <c r="AT922" s="141"/>
      <c r="AU922" s="141"/>
      <c r="AV922" s="141"/>
      <c r="AW922" s="141"/>
      <c r="AX922" s="141"/>
      <c r="AY922" s="141"/>
      <c r="AZ922" s="141"/>
      <c r="BA922" s="141"/>
      <c r="BB922" s="141"/>
      <c r="BC922" s="141"/>
      <c r="BD922" s="141"/>
      <c r="BE922" s="141"/>
      <c r="BF922" s="141"/>
      <c r="BG922" s="141"/>
      <c r="BH922" s="141"/>
      <c r="BI922" s="141"/>
      <c r="BJ922" s="141"/>
      <c r="BK922" s="141"/>
      <c r="BL922" s="141"/>
      <c r="BM922" s="141"/>
      <c r="BN922" s="141"/>
      <c r="BO922" s="141"/>
    </row>
    <row r="923" ht="13.5" customHeight="1">
      <c r="A923" s="138"/>
      <c r="B923" s="139"/>
      <c r="C923" s="138"/>
      <c r="D923" s="138"/>
      <c r="E923" s="140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  <c r="AL923" s="141"/>
      <c r="AM923" s="141"/>
      <c r="AN923" s="141"/>
      <c r="AO923" s="141"/>
      <c r="AP923" s="141"/>
      <c r="AQ923" s="141"/>
      <c r="AR923" s="141"/>
      <c r="AS923" s="141"/>
      <c r="AT923" s="141"/>
      <c r="AU923" s="141"/>
      <c r="AV923" s="141"/>
      <c r="AW923" s="141"/>
      <c r="AX923" s="141"/>
      <c r="AY923" s="141"/>
      <c r="AZ923" s="141"/>
      <c r="BA923" s="141"/>
      <c r="BB923" s="141"/>
      <c r="BC923" s="141"/>
      <c r="BD923" s="141"/>
      <c r="BE923" s="141"/>
      <c r="BF923" s="141"/>
      <c r="BG923" s="141"/>
      <c r="BH923" s="141"/>
      <c r="BI923" s="141"/>
      <c r="BJ923" s="141"/>
      <c r="BK923" s="141"/>
      <c r="BL923" s="141"/>
      <c r="BM923" s="141"/>
      <c r="BN923" s="141"/>
      <c r="BO923" s="141"/>
    </row>
    <row r="924" ht="13.5" customHeight="1">
      <c r="A924" s="138"/>
      <c r="B924" s="139"/>
      <c r="C924" s="138"/>
      <c r="D924" s="138"/>
      <c r="E924" s="140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  <c r="AL924" s="141"/>
      <c r="AM924" s="141"/>
      <c r="AN924" s="141"/>
      <c r="AO924" s="141"/>
      <c r="AP924" s="141"/>
      <c r="AQ924" s="141"/>
      <c r="AR924" s="141"/>
      <c r="AS924" s="141"/>
      <c r="AT924" s="141"/>
      <c r="AU924" s="141"/>
      <c r="AV924" s="141"/>
      <c r="AW924" s="141"/>
      <c r="AX924" s="141"/>
      <c r="AY924" s="141"/>
      <c r="AZ924" s="141"/>
      <c r="BA924" s="141"/>
      <c r="BB924" s="141"/>
      <c r="BC924" s="141"/>
      <c r="BD924" s="141"/>
      <c r="BE924" s="141"/>
      <c r="BF924" s="141"/>
      <c r="BG924" s="141"/>
      <c r="BH924" s="141"/>
      <c r="BI924" s="141"/>
      <c r="BJ924" s="141"/>
      <c r="BK924" s="141"/>
      <c r="BL924" s="141"/>
      <c r="BM924" s="141"/>
      <c r="BN924" s="141"/>
      <c r="BO924" s="141"/>
    </row>
    <row r="925" ht="13.5" customHeight="1">
      <c r="A925" s="138"/>
      <c r="B925" s="139"/>
      <c r="C925" s="138"/>
      <c r="D925" s="138"/>
      <c r="E925" s="140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  <c r="AL925" s="141"/>
      <c r="AM925" s="141"/>
      <c r="AN925" s="141"/>
      <c r="AO925" s="141"/>
      <c r="AP925" s="141"/>
      <c r="AQ925" s="141"/>
      <c r="AR925" s="141"/>
      <c r="AS925" s="141"/>
      <c r="AT925" s="141"/>
      <c r="AU925" s="141"/>
      <c r="AV925" s="141"/>
      <c r="AW925" s="141"/>
      <c r="AX925" s="141"/>
      <c r="AY925" s="141"/>
      <c r="AZ925" s="141"/>
      <c r="BA925" s="141"/>
      <c r="BB925" s="141"/>
      <c r="BC925" s="141"/>
      <c r="BD925" s="141"/>
      <c r="BE925" s="141"/>
      <c r="BF925" s="141"/>
      <c r="BG925" s="141"/>
      <c r="BH925" s="141"/>
      <c r="BI925" s="141"/>
      <c r="BJ925" s="141"/>
      <c r="BK925" s="141"/>
      <c r="BL925" s="141"/>
      <c r="BM925" s="141"/>
      <c r="BN925" s="141"/>
      <c r="BO925" s="141"/>
    </row>
    <row r="926" ht="13.5" customHeight="1">
      <c r="A926" s="138"/>
      <c r="B926" s="139"/>
      <c r="C926" s="138"/>
      <c r="D926" s="138"/>
      <c r="E926" s="140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  <c r="AL926" s="141"/>
      <c r="AM926" s="141"/>
      <c r="AN926" s="141"/>
      <c r="AO926" s="141"/>
      <c r="AP926" s="141"/>
      <c r="AQ926" s="141"/>
      <c r="AR926" s="141"/>
      <c r="AS926" s="141"/>
      <c r="AT926" s="141"/>
      <c r="AU926" s="141"/>
      <c r="AV926" s="141"/>
      <c r="AW926" s="141"/>
      <c r="AX926" s="141"/>
      <c r="AY926" s="141"/>
      <c r="AZ926" s="141"/>
      <c r="BA926" s="141"/>
      <c r="BB926" s="141"/>
      <c r="BC926" s="141"/>
      <c r="BD926" s="141"/>
      <c r="BE926" s="141"/>
      <c r="BF926" s="141"/>
      <c r="BG926" s="141"/>
      <c r="BH926" s="141"/>
      <c r="BI926" s="141"/>
      <c r="BJ926" s="141"/>
      <c r="BK926" s="141"/>
      <c r="BL926" s="141"/>
      <c r="BM926" s="141"/>
      <c r="BN926" s="141"/>
      <c r="BO926" s="141"/>
    </row>
    <row r="927" ht="13.5" customHeight="1">
      <c r="A927" s="138"/>
      <c r="B927" s="139"/>
      <c r="C927" s="138"/>
      <c r="D927" s="138"/>
      <c r="E927" s="140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  <c r="AL927" s="141"/>
      <c r="AM927" s="141"/>
      <c r="AN927" s="141"/>
      <c r="AO927" s="141"/>
      <c r="AP927" s="141"/>
      <c r="AQ927" s="141"/>
      <c r="AR927" s="141"/>
      <c r="AS927" s="141"/>
      <c r="AT927" s="141"/>
      <c r="AU927" s="141"/>
      <c r="AV927" s="141"/>
      <c r="AW927" s="141"/>
      <c r="AX927" s="141"/>
      <c r="AY927" s="141"/>
      <c r="AZ927" s="141"/>
      <c r="BA927" s="141"/>
      <c r="BB927" s="141"/>
      <c r="BC927" s="141"/>
      <c r="BD927" s="141"/>
      <c r="BE927" s="141"/>
      <c r="BF927" s="141"/>
      <c r="BG927" s="141"/>
      <c r="BH927" s="141"/>
      <c r="BI927" s="141"/>
      <c r="BJ927" s="141"/>
      <c r="BK927" s="141"/>
      <c r="BL927" s="141"/>
      <c r="BM927" s="141"/>
      <c r="BN927" s="141"/>
      <c r="BO927" s="141"/>
    </row>
    <row r="928" ht="13.5" customHeight="1">
      <c r="A928" s="138"/>
      <c r="B928" s="139"/>
      <c r="C928" s="138"/>
      <c r="D928" s="138"/>
      <c r="E928" s="140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  <c r="AL928" s="141"/>
      <c r="AM928" s="141"/>
      <c r="AN928" s="141"/>
      <c r="AO928" s="141"/>
      <c r="AP928" s="141"/>
      <c r="AQ928" s="141"/>
      <c r="AR928" s="141"/>
      <c r="AS928" s="141"/>
      <c r="AT928" s="141"/>
      <c r="AU928" s="141"/>
      <c r="AV928" s="141"/>
      <c r="AW928" s="141"/>
      <c r="AX928" s="141"/>
      <c r="AY928" s="141"/>
      <c r="AZ928" s="141"/>
      <c r="BA928" s="141"/>
      <c r="BB928" s="141"/>
      <c r="BC928" s="141"/>
      <c r="BD928" s="141"/>
      <c r="BE928" s="141"/>
      <c r="BF928" s="141"/>
      <c r="BG928" s="141"/>
      <c r="BH928" s="141"/>
      <c r="BI928" s="141"/>
      <c r="BJ928" s="141"/>
      <c r="BK928" s="141"/>
      <c r="BL928" s="141"/>
      <c r="BM928" s="141"/>
      <c r="BN928" s="141"/>
      <c r="BO928" s="141"/>
    </row>
    <row r="929" ht="13.5" customHeight="1">
      <c r="A929" s="138"/>
      <c r="B929" s="139"/>
      <c r="C929" s="138"/>
      <c r="D929" s="138"/>
      <c r="E929" s="140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  <c r="AL929" s="141"/>
      <c r="AM929" s="141"/>
      <c r="AN929" s="141"/>
      <c r="AO929" s="141"/>
      <c r="AP929" s="141"/>
      <c r="AQ929" s="141"/>
      <c r="AR929" s="141"/>
      <c r="AS929" s="141"/>
      <c r="AT929" s="141"/>
      <c r="AU929" s="141"/>
      <c r="AV929" s="141"/>
      <c r="AW929" s="141"/>
      <c r="AX929" s="141"/>
      <c r="AY929" s="141"/>
      <c r="AZ929" s="141"/>
      <c r="BA929" s="141"/>
      <c r="BB929" s="141"/>
      <c r="BC929" s="141"/>
      <c r="BD929" s="141"/>
      <c r="BE929" s="141"/>
      <c r="BF929" s="141"/>
      <c r="BG929" s="141"/>
      <c r="BH929" s="141"/>
      <c r="BI929" s="141"/>
      <c r="BJ929" s="141"/>
      <c r="BK929" s="141"/>
      <c r="BL929" s="141"/>
      <c r="BM929" s="141"/>
      <c r="BN929" s="141"/>
      <c r="BO929" s="141"/>
    </row>
    <row r="930" ht="13.5" customHeight="1">
      <c r="A930" s="138"/>
      <c r="B930" s="139"/>
      <c r="C930" s="138"/>
      <c r="D930" s="138"/>
      <c r="E930" s="140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  <c r="AL930" s="141"/>
      <c r="AM930" s="141"/>
      <c r="AN930" s="141"/>
      <c r="AO930" s="141"/>
      <c r="AP930" s="141"/>
      <c r="AQ930" s="141"/>
      <c r="AR930" s="141"/>
      <c r="AS930" s="141"/>
      <c r="AT930" s="141"/>
      <c r="AU930" s="141"/>
      <c r="AV930" s="141"/>
      <c r="AW930" s="141"/>
      <c r="AX930" s="141"/>
      <c r="AY930" s="141"/>
      <c r="AZ930" s="141"/>
      <c r="BA930" s="141"/>
      <c r="BB930" s="141"/>
      <c r="BC930" s="141"/>
      <c r="BD930" s="141"/>
      <c r="BE930" s="141"/>
      <c r="BF930" s="141"/>
      <c r="BG930" s="141"/>
      <c r="BH930" s="141"/>
      <c r="BI930" s="141"/>
      <c r="BJ930" s="141"/>
      <c r="BK930" s="141"/>
      <c r="BL930" s="141"/>
      <c r="BM930" s="141"/>
      <c r="BN930" s="141"/>
      <c r="BO930" s="141"/>
    </row>
    <row r="931" ht="13.5" customHeight="1">
      <c r="A931" s="138"/>
      <c r="B931" s="139"/>
      <c r="C931" s="138"/>
      <c r="D931" s="138"/>
      <c r="E931" s="140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  <c r="AL931" s="141"/>
      <c r="AM931" s="141"/>
      <c r="AN931" s="141"/>
      <c r="AO931" s="141"/>
      <c r="AP931" s="141"/>
      <c r="AQ931" s="141"/>
      <c r="AR931" s="141"/>
      <c r="AS931" s="141"/>
      <c r="AT931" s="141"/>
      <c r="AU931" s="141"/>
      <c r="AV931" s="141"/>
      <c r="AW931" s="141"/>
      <c r="AX931" s="141"/>
      <c r="AY931" s="141"/>
      <c r="AZ931" s="141"/>
      <c r="BA931" s="141"/>
      <c r="BB931" s="141"/>
      <c r="BC931" s="141"/>
      <c r="BD931" s="141"/>
      <c r="BE931" s="141"/>
      <c r="BF931" s="141"/>
      <c r="BG931" s="141"/>
      <c r="BH931" s="141"/>
      <c r="BI931" s="141"/>
      <c r="BJ931" s="141"/>
      <c r="BK931" s="141"/>
      <c r="BL931" s="141"/>
      <c r="BM931" s="141"/>
      <c r="BN931" s="141"/>
      <c r="BO931" s="141"/>
    </row>
    <row r="932" ht="13.5" customHeight="1">
      <c r="A932" s="138"/>
      <c r="B932" s="139"/>
      <c r="C932" s="138"/>
      <c r="D932" s="138"/>
      <c r="E932" s="140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  <c r="AL932" s="141"/>
      <c r="AM932" s="141"/>
      <c r="AN932" s="141"/>
      <c r="AO932" s="141"/>
      <c r="AP932" s="141"/>
      <c r="AQ932" s="141"/>
      <c r="AR932" s="141"/>
      <c r="AS932" s="141"/>
      <c r="AT932" s="141"/>
      <c r="AU932" s="141"/>
      <c r="AV932" s="141"/>
      <c r="AW932" s="141"/>
      <c r="AX932" s="141"/>
      <c r="AY932" s="141"/>
      <c r="AZ932" s="141"/>
      <c r="BA932" s="141"/>
      <c r="BB932" s="141"/>
      <c r="BC932" s="141"/>
      <c r="BD932" s="141"/>
      <c r="BE932" s="141"/>
      <c r="BF932" s="141"/>
      <c r="BG932" s="141"/>
      <c r="BH932" s="141"/>
      <c r="BI932" s="141"/>
      <c r="BJ932" s="141"/>
      <c r="BK932" s="141"/>
      <c r="BL932" s="141"/>
      <c r="BM932" s="141"/>
      <c r="BN932" s="141"/>
      <c r="BO932" s="141"/>
    </row>
    <row r="933" ht="13.5" customHeight="1">
      <c r="A933" s="138"/>
      <c r="B933" s="139"/>
      <c r="C933" s="138"/>
      <c r="D933" s="138"/>
      <c r="E933" s="140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  <c r="AL933" s="141"/>
      <c r="AM933" s="141"/>
      <c r="AN933" s="141"/>
      <c r="AO933" s="141"/>
      <c r="AP933" s="141"/>
      <c r="AQ933" s="141"/>
      <c r="AR933" s="141"/>
      <c r="AS933" s="141"/>
      <c r="AT933" s="141"/>
      <c r="AU933" s="141"/>
      <c r="AV933" s="141"/>
      <c r="AW933" s="141"/>
      <c r="AX933" s="141"/>
      <c r="AY933" s="141"/>
      <c r="AZ933" s="141"/>
      <c r="BA933" s="141"/>
      <c r="BB933" s="141"/>
      <c r="BC933" s="141"/>
      <c r="BD933" s="141"/>
      <c r="BE933" s="141"/>
      <c r="BF933" s="141"/>
      <c r="BG933" s="141"/>
      <c r="BH933" s="141"/>
      <c r="BI933" s="141"/>
      <c r="BJ933" s="141"/>
      <c r="BK933" s="141"/>
      <c r="BL933" s="141"/>
      <c r="BM933" s="141"/>
      <c r="BN933" s="141"/>
      <c r="BO933" s="141"/>
    </row>
    <row r="934" ht="13.5" customHeight="1">
      <c r="A934" s="138"/>
      <c r="B934" s="139"/>
      <c r="C934" s="138"/>
      <c r="D934" s="138"/>
      <c r="E934" s="140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  <c r="AL934" s="141"/>
      <c r="AM934" s="141"/>
      <c r="AN934" s="141"/>
      <c r="AO934" s="141"/>
      <c r="AP934" s="141"/>
      <c r="AQ934" s="141"/>
      <c r="AR934" s="141"/>
      <c r="AS934" s="141"/>
      <c r="AT934" s="141"/>
      <c r="AU934" s="141"/>
      <c r="AV934" s="141"/>
      <c r="AW934" s="141"/>
      <c r="AX934" s="141"/>
      <c r="AY934" s="141"/>
      <c r="AZ934" s="141"/>
      <c r="BA934" s="141"/>
      <c r="BB934" s="141"/>
      <c r="BC934" s="141"/>
      <c r="BD934" s="141"/>
      <c r="BE934" s="141"/>
      <c r="BF934" s="141"/>
      <c r="BG934" s="141"/>
      <c r="BH934" s="141"/>
      <c r="BI934" s="141"/>
      <c r="BJ934" s="141"/>
      <c r="BK934" s="141"/>
      <c r="BL934" s="141"/>
      <c r="BM934" s="141"/>
      <c r="BN934" s="141"/>
      <c r="BO934" s="141"/>
    </row>
    <row r="935" ht="13.5" customHeight="1">
      <c r="A935" s="138"/>
      <c r="B935" s="139"/>
      <c r="C935" s="138"/>
      <c r="D935" s="138"/>
      <c r="E935" s="140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  <c r="AL935" s="141"/>
      <c r="AM935" s="141"/>
      <c r="AN935" s="141"/>
      <c r="AO935" s="141"/>
      <c r="AP935" s="141"/>
      <c r="AQ935" s="141"/>
      <c r="AR935" s="141"/>
      <c r="AS935" s="141"/>
      <c r="AT935" s="141"/>
      <c r="AU935" s="141"/>
      <c r="AV935" s="141"/>
      <c r="AW935" s="141"/>
      <c r="AX935" s="141"/>
      <c r="AY935" s="141"/>
      <c r="AZ935" s="141"/>
      <c r="BA935" s="141"/>
      <c r="BB935" s="141"/>
      <c r="BC935" s="141"/>
      <c r="BD935" s="141"/>
      <c r="BE935" s="141"/>
      <c r="BF935" s="141"/>
      <c r="BG935" s="141"/>
      <c r="BH935" s="141"/>
      <c r="BI935" s="141"/>
      <c r="BJ935" s="141"/>
      <c r="BK935" s="141"/>
      <c r="BL935" s="141"/>
      <c r="BM935" s="141"/>
      <c r="BN935" s="141"/>
      <c r="BO935" s="141"/>
    </row>
    <row r="936" ht="13.5" customHeight="1">
      <c r="A936" s="138"/>
      <c r="B936" s="139"/>
      <c r="C936" s="138"/>
      <c r="D936" s="138"/>
      <c r="E936" s="140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  <c r="AL936" s="141"/>
      <c r="AM936" s="141"/>
      <c r="AN936" s="141"/>
      <c r="AO936" s="141"/>
      <c r="AP936" s="141"/>
      <c r="AQ936" s="141"/>
      <c r="AR936" s="141"/>
      <c r="AS936" s="141"/>
      <c r="AT936" s="141"/>
      <c r="AU936" s="141"/>
      <c r="AV936" s="141"/>
      <c r="AW936" s="141"/>
      <c r="AX936" s="141"/>
      <c r="AY936" s="141"/>
      <c r="AZ936" s="141"/>
      <c r="BA936" s="141"/>
      <c r="BB936" s="141"/>
      <c r="BC936" s="141"/>
      <c r="BD936" s="141"/>
      <c r="BE936" s="141"/>
      <c r="BF936" s="141"/>
      <c r="BG936" s="141"/>
      <c r="BH936" s="141"/>
      <c r="BI936" s="141"/>
      <c r="BJ936" s="141"/>
      <c r="BK936" s="141"/>
      <c r="BL936" s="141"/>
      <c r="BM936" s="141"/>
      <c r="BN936" s="141"/>
      <c r="BO936" s="141"/>
    </row>
    <row r="937" ht="13.5" customHeight="1">
      <c r="A937" s="138"/>
      <c r="B937" s="139"/>
      <c r="C937" s="138"/>
      <c r="D937" s="138"/>
      <c r="E937" s="140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  <c r="AL937" s="141"/>
      <c r="AM937" s="141"/>
      <c r="AN937" s="141"/>
      <c r="AO937" s="141"/>
      <c r="AP937" s="141"/>
      <c r="AQ937" s="141"/>
      <c r="AR937" s="141"/>
      <c r="AS937" s="141"/>
      <c r="AT937" s="141"/>
      <c r="AU937" s="141"/>
      <c r="AV937" s="141"/>
      <c r="AW937" s="141"/>
      <c r="AX937" s="141"/>
      <c r="AY937" s="141"/>
      <c r="AZ937" s="141"/>
      <c r="BA937" s="141"/>
      <c r="BB937" s="141"/>
      <c r="BC937" s="141"/>
      <c r="BD937" s="141"/>
      <c r="BE937" s="141"/>
      <c r="BF937" s="141"/>
      <c r="BG937" s="141"/>
      <c r="BH937" s="141"/>
      <c r="BI937" s="141"/>
      <c r="BJ937" s="141"/>
      <c r="BK937" s="141"/>
      <c r="BL937" s="141"/>
      <c r="BM937" s="141"/>
      <c r="BN937" s="141"/>
      <c r="BO937" s="141"/>
    </row>
    <row r="938" ht="13.5" customHeight="1">
      <c r="A938" s="138"/>
      <c r="B938" s="139"/>
      <c r="C938" s="138"/>
      <c r="D938" s="138"/>
      <c r="E938" s="140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  <c r="AL938" s="141"/>
      <c r="AM938" s="141"/>
      <c r="AN938" s="141"/>
      <c r="AO938" s="141"/>
      <c r="AP938" s="141"/>
      <c r="AQ938" s="141"/>
      <c r="AR938" s="141"/>
      <c r="AS938" s="141"/>
      <c r="AT938" s="141"/>
      <c r="AU938" s="141"/>
      <c r="AV938" s="141"/>
      <c r="AW938" s="141"/>
      <c r="AX938" s="141"/>
      <c r="AY938" s="141"/>
      <c r="AZ938" s="141"/>
      <c r="BA938" s="141"/>
      <c r="BB938" s="141"/>
      <c r="BC938" s="141"/>
      <c r="BD938" s="141"/>
      <c r="BE938" s="141"/>
      <c r="BF938" s="141"/>
      <c r="BG938" s="141"/>
      <c r="BH938" s="141"/>
      <c r="BI938" s="141"/>
      <c r="BJ938" s="141"/>
      <c r="BK938" s="141"/>
      <c r="BL938" s="141"/>
      <c r="BM938" s="141"/>
      <c r="BN938" s="141"/>
      <c r="BO938" s="141"/>
    </row>
    <row r="939" ht="13.5" customHeight="1">
      <c r="A939" s="138"/>
      <c r="B939" s="139"/>
      <c r="C939" s="138"/>
      <c r="D939" s="138"/>
      <c r="E939" s="140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  <c r="AL939" s="141"/>
      <c r="AM939" s="141"/>
      <c r="AN939" s="141"/>
      <c r="AO939" s="141"/>
      <c r="AP939" s="141"/>
      <c r="AQ939" s="141"/>
      <c r="AR939" s="141"/>
      <c r="AS939" s="141"/>
      <c r="AT939" s="141"/>
      <c r="AU939" s="141"/>
      <c r="AV939" s="141"/>
      <c r="AW939" s="141"/>
      <c r="AX939" s="141"/>
      <c r="AY939" s="141"/>
      <c r="AZ939" s="141"/>
      <c r="BA939" s="141"/>
      <c r="BB939" s="141"/>
      <c r="BC939" s="141"/>
      <c r="BD939" s="141"/>
      <c r="BE939" s="141"/>
      <c r="BF939" s="141"/>
      <c r="BG939" s="141"/>
      <c r="BH939" s="141"/>
      <c r="BI939" s="141"/>
      <c r="BJ939" s="141"/>
      <c r="BK939" s="141"/>
      <c r="BL939" s="141"/>
      <c r="BM939" s="141"/>
      <c r="BN939" s="141"/>
      <c r="BO939" s="141"/>
    </row>
    <row r="940" ht="13.5" customHeight="1">
      <c r="A940" s="138"/>
      <c r="B940" s="139"/>
      <c r="C940" s="138"/>
      <c r="D940" s="138"/>
      <c r="E940" s="140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  <c r="AL940" s="141"/>
      <c r="AM940" s="141"/>
      <c r="AN940" s="141"/>
      <c r="AO940" s="141"/>
      <c r="AP940" s="141"/>
      <c r="AQ940" s="141"/>
      <c r="AR940" s="141"/>
      <c r="AS940" s="141"/>
      <c r="AT940" s="141"/>
      <c r="AU940" s="141"/>
      <c r="AV940" s="141"/>
      <c r="AW940" s="141"/>
      <c r="AX940" s="141"/>
      <c r="AY940" s="141"/>
      <c r="AZ940" s="141"/>
      <c r="BA940" s="141"/>
      <c r="BB940" s="141"/>
      <c r="BC940" s="141"/>
      <c r="BD940" s="141"/>
      <c r="BE940" s="141"/>
      <c r="BF940" s="141"/>
      <c r="BG940" s="141"/>
      <c r="BH940" s="141"/>
      <c r="BI940" s="141"/>
      <c r="BJ940" s="141"/>
      <c r="BK940" s="141"/>
      <c r="BL940" s="141"/>
      <c r="BM940" s="141"/>
      <c r="BN940" s="141"/>
      <c r="BO940" s="141"/>
    </row>
    <row r="941" ht="13.5" customHeight="1">
      <c r="A941" s="138"/>
      <c r="B941" s="139"/>
      <c r="C941" s="138"/>
      <c r="D941" s="138"/>
      <c r="E941" s="140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  <c r="AL941" s="141"/>
      <c r="AM941" s="141"/>
      <c r="AN941" s="141"/>
      <c r="AO941" s="141"/>
      <c r="AP941" s="141"/>
      <c r="AQ941" s="141"/>
      <c r="AR941" s="141"/>
      <c r="AS941" s="141"/>
      <c r="AT941" s="141"/>
      <c r="AU941" s="141"/>
      <c r="AV941" s="141"/>
      <c r="AW941" s="141"/>
      <c r="AX941" s="141"/>
      <c r="AY941" s="141"/>
      <c r="AZ941" s="141"/>
      <c r="BA941" s="141"/>
      <c r="BB941" s="141"/>
      <c r="BC941" s="141"/>
      <c r="BD941" s="141"/>
      <c r="BE941" s="141"/>
      <c r="BF941" s="141"/>
      <c r="BG941" s="141"/>
      <c r="BH941" s="141"/>
      <c r="BI941" s="141"/>
      <c r="BJ941" s="141"/>
      <c r="BK941" s="141"/>
      <c r="BL941" s="141"/>
      <c r="BM941" s="141"/>
      <c r="BN941" s="141"/>
      <c r="BO941" s="141"/>
    </row>
    <row r="942" ht="13.5" customHeight="1">
      <c r="A942" s="138"/>
      <c r="B942" s="139"/>
      <c r="C942" s="138"/>
      <c r="D942" s="138"/>
      <c r="E942" s="140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  <c r="AL942" s="141"/>
      <c r="AM942" s="141"/>
      <c r="AN942" s="141"/>
      <c r="AO942" s="141"/>
      <c r="AP942" s="141"/>
      <c r="AQ942" s="141"/>
      <c r="AR942" s="141"/>
      <c r="AS942" s="141"/>
      <c r="AT942" s="141"/>
      <c r="AU942" s="141"/>
      <c r="AV942" s="141"/>
      <c r="AW942" s="141"/>
      <c r="AX942" s="141"/>
      <c r="AY942" s="141"/>
      <c r="AZ942" s="141"/>
      <c r="BA942" s="141"/>
      <c r="BB942" s="141"/>
      <c r="BC942" s="141"/>
      <c r="BD942" s="141"/>
      <c r="BE942" s="141"/>
      <c r="BF942" s="141"/>
      <c r="BG942" s="141"/>
      <c r="BH942" s="141"/>
      <c r="BI942" s="141"/>
      <c r="BJ942" s="141"/>
      <c r="BK942" s="141"/>
      <c r="BL942" s="141"/>
      <c r="BM942" s="141"/>
      <c r="BN942" s="141"/>
      <c r="BO942" s="141"/>
    </row>
    <row r="943" ht="13.5" customHeight="1">
      <c r="A943" s="138"/>
      <c r="B943" s="139"/>
      <c r="C943" s="138"/>
      <c r="D943" s="138"/>
      <c r="E943" s="140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  <c r="AL943" s="141"/>
      <c r="AM943" s="141"/>
      <c r="AN943" s="141"/>
      <c r="AO943" s="141"/>
      <c r="AP943" s="141"/>
      <c r="AQ943" s="141"/>
      <c r="AR943" s="141"/>
      <c r="AS943" s="141"/>
      <c r="AT943" s="141"/>
      <c r="AU943" s="141"/>
      <c r="AV943" s="141"/>
      <c r="AW943" s="141"/>
      <c r="AX943" s="141"/>
      <c r="AY943" s="141"/>
      <c r="AZ943" s="141"/>
      <c r="BA943" s="141"/>
      <c r="BB943" s="141"/>
      <c r="BC943" s="141"/>
      <c r="BD943" s="141"/>
      <c r="BE943" s="141"/>
      <c r="BF943" s="141"/>
      <c r="BG943" s="141"/>
      <c r="BH943" s="141"/>
      <c r="BI943" s="141"/>
      <c r="BJ943" s="141"/>
      <c r="BK943" s="141"/>
      <c r="BL943" s="141"/>
      <c r="BM943" s="141"/>
      <c r="BN943" s="141"/>
      <c r="BO943" s="141"/>
    </row>
    <row r="944" ht="13.5" customHeight="1">
      <c r="A944" s="138"/>
      <c r="B944" s="139"/>
      <c r="C944" s="138"/>
      <c r="D944" s="138"/>
      <c r="E944" s="140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  <c r="AL944" s="141"/>
      <c r="AM944" s="141"/>
      <c r="AN944" s="141"/>
      <c r="AO944" s="141"/>
      <c r="AP944" s="141"/>
      <c r="AQ944" s="141"/>
      <c r="AR944" s="141"/>
      <c r="AS944" s="141"/>
      <c r="AT944" s="141"/>
      <c r="AU944" s="141"/>
      <c r="AV944" s="141"/>
      <c r="AW944" s="141"/>
      <c r="AX944" s="141"/>
      <c r="AY944" s="141"/>
      <c r="AZ944" s="141"/>
      <c r="BA944" s="141"/>
      <c r="BB944" s="141"/>
      <c r="BC944" s="141"/>
      <c r="BD944" s="141"/>
      <c r="BE944" s="141"/>
      <c r="BF944" s="141"/>
      <c r="BG944" s="141"/>
      <c r="BH944" s="141"/>
      <c r="BI944" s="141"/>
      <c r="BJ944" s="141"/>
      <c r="BK944" s="141"/>
      <c r="BL944" s="141"/>
      <c r="BM944" s="141"/>
      <c r="BN944" s="141"/>
      <c r="BO944" s="141"/>
    </row>
    <row r="945" ht="13.5" customHeight="1">
      <c r="A945" s="138"/>
      <c r="B945" s="139"/>
      <c r="C945" s="138"/>
      <c r="D945" s="138"/>
      <c r="E945" s="140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  <c r="AL945" s="141"/>
      <c r="AM945" s="141"/>
      <c r="AN945" s="141"/>
      <c r="AO945" s="141"/>
      <c r="AP945" s="141"/>
      <c r="AQ945" s="141"/>
      <c r="AR945" s="141"/>
      <c r="AS945" s="141"/>
      <c r="AT945" s="141"/>
      <c r="AU945" s="141"/>
      <c r="AV945" s="141"/>
      <c r="AW945" s="141"/>
      <c r="AX945" s="141"/>
      <c r="AY945" s="141"/>
      <c r="AZ945" s="141"/>
      <c r="BA945" s="141"/>
      <c r="BB945" s="141"/>
      <c r="BC945" s="141"/>
      <c r="BD945" s="141"/>
      <c r="BE945" s="141"/>
      <c r="BF945" s="141"/>
      <c r="BG945" s="141"/>
      <c r="BH945" s="141"/>
      <c r="BI945" s="141"/>
      <c r="BJ945" s="141"/>
      <c r="BK945" s="141"/>
      <c r="BL945" s="141"/>
      <c r="BM945" s="141"/>
      <c r="BN945" s="141"/>
      <c r="BO945" s="141"/>
    </row>
    <row r="946" ht="13.5" customHeight="1">
      <c r="A946" s="138"/>
      <c r="B946" s="139"/>
      <c r="C946" s="138"/>
      <c r="D946" s="138"/>
      <c r="E946" s="140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  <c r="AL946" s="141"/>
      <c r="AM946" s="141"/>
      <c r="AN946" s="141"/>
      <c r="AO946" s="141"/>
      <c r="AP946" s="141"/>
      <c r="AQ946" s="141"/>
      <c r="AR946" s="141"/>
      <c r="AS946" s="141"/>
      <c r="AT946" s="141"/>
      <c r="AU946" s="141"/>
      <c r="AV946" s="141"/>
      <c r="AW946" s="141"/>
      <c r="AX946" s="141"/>
      <c r="AY946" s="141"/>
      <c r="AZ946" s="141"/>
      <c r="BA946" s="141"/>
      <c r="BB946" s="141"/>
      <c r="BC946" s="141"/>
      <c r="BD946" s="141"/>
      <c r="BE946" s="141"/>
      <c r="BF946" s="141"/>
      <c r="BG946" s="141"/>
      <c r="BH946" s="141"/>
      <c r="BI946" s="141"/>
      <c r="BJ946" s="141"/>
      <c r="BK946" s="141"/>
      <c r="BL946" s="141"/>
      <c r="BM946" s="141"/>
      <c r="BN946" s="141"/>
      <c r="BO946" s="141"/>
    </row>
    <row r="947" ht="13.5" customHeight="1">
      <c r="A947" s="138"/>
      <c r="B947" s="139"/>
      <c r="C947" s="138"/>
      <c r="D947" s="138"/>
      <c r="E947" s="140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  <c r="AL947" s="141"/>
      <c r="AM947" s="141"/>
      <c r="AN947" s="141"/>
      <c r="AO947" s="141"/>
      <c r="AP947" s="141"/>
      <c r="AQ947" s="141"/>
      <c r="AR947" s="141"/>
      <c r="AS947" s="141"/>
      <c r="AT947" s="141"/>
      <c r="AU947" s="141"/>
      <c r="AV947" s="141"/>
      <c r="AW947" s="141"/>
      <c r="AX947" s="141"/>
      <c r="AY947" s="141"/>
      <c r="AZ947" s="141"/>
      <c r="BA947" s="141"/>
      <c r="BB947" s="141"/>
      <c r="BC947" s="141"/>
      <c r="BD947" s="141"/>
      <c r="BE947" s="141"/>
      <c r="BF947" s="141"/>
      <c r="BG947" s="141"/>
      <c r="BH947" s="141"/>
      <c r="BI947" s="141"/>
      <c r="BJ947" s="141"/>
      <c r="BK947" s="141"/>
      <c r="BL947" s="141"/>
      <c r="BM947" s="141"/>
      <c r="BN947" s="141"/>
      <c r="BO947" s="141"/>
    </row>
    <row r="948" ht="13.5" customHeight="1">
      <c r="A948" s="138"/>
      <c r="B948" s="139"/>
      <c r="C948" s="138"/>
      <c r="D948" s="138"/>
      <c r="E948" s="140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  <c r="AL948" s="141"/>
      <c r="AM948" s="141"/>
      <c r="AN948" s="141"/>
      <c r="AO948" s="141"/>
      <c r="AP948" s="141"/>
      <c r="AQ948" s="141"/>
      <c r="AR948" s="141"/>
      <c r="AS948" s="141"/>
      <c r="AT948" s="141"/>
      <c r="AU948" s="141"/>
      <c r="AV948" s="141"/>
      <c r="AW948" s="141"/>
      <c r="AX948" s="141"/>
      <c r="AY948" s="141"/>
      <c r="AZ948" s="141"/>
      <c r="BA948" s="141"/>
      <c r="BB948" s="141"/>
      <c r="BC948" s="141"/>
      <c r="BD948" s="141"/>
      <c r="BE948" s="141"/>
      <c r="BF948" s="141"/>
      <c r="BG948" s="141"/>
      <c r="BH948" s="141"/>
      <c r="BI948" s="141"/>
      <c r="BJ948" s="141"/>
      <c r="BK948" s="141"/>
      <c r="BL948" s="141"/>
      <c r="BM948" s="141"/>
      <c r="BN948" s="141"/>
      <c r="BO948" s="141"/>
    </row>
    <row r="949" ht="13.5" customHeight="1">
      <c r="A949" s="138"/>
      <c r="B949" s="139"/>
      <c r="C949" s="138"/>
      <c r="D949" s="138"/>
      <c r="E949" s="140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  <c r="AL949" s="141"/>
      <c r="AM949" s="141"/>
      <c r="AN949" s="141"/>
      <c r="AO949" s="141"/>
      <c r="AP949" s="141"/>
      <c r="AQ949" s="141"/>
      <c r="AR949" s="141"/>
      <c r="AS949" s="141"/>
      <c r="AT949" s="141"/>
      <c r="AU949" s="141"/>
      <c r="AV949" s="141"/>
      <c r="AW949" s="141"/>
      <c r="AX949" s="141"/>
      <c r="AY949" s="141"/>
      <c r="AZ949" s="141"/>
      <c r="BA949" s="141"/>
      <c r="BB949" s="141"/>
      <c r="BC949" s="141"/>
      <c r="BD949" s="141"/>
      <c r="BE949" s="141"/>
      <c r="BF949" s="141"/>
      <c r="BG949" s="141"/>
      <c r="BH949" s="141"/>
      <c r="BI949" s="141"/>
      <c r="BJ949" s="141"/>
      <c r="BK949" s="141"/>
      <c r="BL949" s="141"/>
      <c r="BM949" s="141"/>
      <c r="BN949" s="141"/>
      <c r="BO949" s="141"/>
    </row>
    <row r="950" ht="13.5" customHeight="1">
      <c r="A950" s="138"/>
      <c r="B950" s="139"/>
      <c r="C950" s="138"/>
      <c r="D950" s="138"/>
      <c r="E950" s="140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  <c r="AL950" s="141"/>
      <c r="AM950" s="141"/>
      <c r="AN950" s="141"/>
      <c r="AO950" s="141"/>
      <c r="AP950" s="141"/>
      <c r="AQ950" s="141"/>
      <c r="AR950" s="141"/>
      <c r="AS950" s="141"/>
      <c r="AT950" s="141"/>
      <c r="AU950" s="141"/>
      <c r="AV950" s="141"/>
      <c r="AW950" s="141"/>
      <c r="AX950" s="141"/>
      <c r="AY950" s="141"/>
      <c r="AZ950" s="141"/>
      <c r="BA950" s="141"/>
      <c r="BB950" s="141"/>
      <c r="BC950" s="141"/>
      <c r="BD950" s="141"/>
      <c r="BE950" s="141"/>
      <c r="BF950" s="141"/>
      <c r="BG950" s="141"/>
      <c r="BH950" s="141"/>
      <c r="BI950" s="141"/>
      <c r="BJ950" s="141"/>
      <c r="BK950" s="141"/>
      <c r="BL950" s="141"/>
      <c r="BM950" s="141"/>
      <c r="BN950" s="141"/>
      <c r="BO950" s="141"/>
    </row>
    <row r="951" ht="13.5" customHeight="1">
      <c r="A951" s="138"/>
      <c r="B951" s="139"/>
      <c r="C951" s="138"/>
      <c r="D951" s="138"/>
      <c r="E951" s="140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  <c r="AL951" s="141"/>
      <c r="AM951" s="141"/>
      <c r="AN951" s="141"/>
      <c r="AO951" s="141"/>
      <c r="AP951" s="141"/>
      <c r="AQ951" s="141"/>
      <c r="AR951" s="141"/>
      <c r="AS951" s="141"/>
      <c r="AT951" s="141"/>
      <c r="AU951" s="141"/>
      <c r="AV951" s="141"/>
      <c r="AW951" s="141"/>
      <c r="AX951" s="141"/>
      <c r="AY951" s="141"/>
      <c r="AZ951" s="141"/>
      <c r="BA951" s="141"/>
      <c r="BB951" s="141"/>
      <c r="BC951" s="141"/>
      <c r="BD951" s="141"/>
      <c r="BE951" s="141"/>
      <c r="BF951" s="141"/>
      <c r="BG951" s="141"/>
      <c r="BH951" s="141"/>
      <c r="BI951" s="141"/>
      <c r="BJ951" s="141"/>
      <c r="BK951" s="141"/>
      <c r="BL951" s="141"/>
      <c r="BM951" s="141"/>
      <c r="BN951" s="141"/>
      <c r="BO951" s="141"/>
    </row>
    <row r="952" ht="13.5" customHeight="1">
      <c r="A952" s="138"/>
      <c r="B952" s="139"/>
      <c r="C952" s="138"/>
      <c r="D952" s="138"/>
      <c r="E952" s="140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  <c r="AL952" s="141"/>
      <c r="AM952" s="141"/>
      <c r="AN952" s="141"/>
      <c r="AO952" s="141"/>
      <c r="AP952" s="141"/>
      <c r="AQ952" s="141"/>
      <c r="AR952" s="141"/>
      <c r="AS952" s="141"/>
      <c r="AT952" s="141"/>
      <c r="AU952" s="141"/>
      <c r="AV952" s="141"/>
      <c r="AW952" s="141"/>
      <c r="AX952" s="141"/>
      <c r="AY952" s="141"/>
      <c r="AZ952" s="141"/>
      <c r="BA952" s="141"/>
      <c r="BB952" s="141"/>
      <c r="BC952" s="141"/>
      <c r="BD952" s="141"/>
      <c r="BE952" s="141"/>
      <c r="BF952" s="141"/>
      <c r="BG952" s="141"/>
      <c r="BH952" s="141"/>
      <c r="BI952" s="141"/>
      <c r="BJ952" s="141"/>
      <c r="BK952" s="141"/>
      <c r="BL952" s="141"/>
      <c r="BM952" s="141"/>
      <c r="BN952" s="141"/>
      <c r="BO952" s="141"/>
    </row>
    <row r="953" ht="13.5" customHeight="1">
      <c r="A953" s="138"/>
      <c r="B953" s="139"/>
      <c r="C953" s="138"/>
      <c r="D953" s="138"/>
      <c r="E953" s="140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  <c r="AL953" s="141"/>
      <c r="AM953" s="141"/>
      <c r="AN953" s="141"/>
      <c r="AO953" s="141"/>
      <c r="AP953" s="141"/>
      <c r="AQ953" s="141"/>
      <c r="AR953" s="141"/>
      <c r="AS953" s="141"/>
      <c r="AT953" s="141"/>
      <c r="AU953" s="141"/>
      <c r="AV953" s="141"/>
      <c r="AW953" s="141"/>
      <c r="AX953" s="141"/>
      <c r="AY953" s="141"/>
      <c r="AZ953" s="141"/>
      <c r="BA953" s="141"/>
      <c r="BB953" s="141"/>
      <c r="BC953" s="141"/>
      <c r="BD953" s="141"/>
      <c r="BE953" s="141"/>
      <c r="BF953" s="141"/>
      <c r="BG953" s="141"/>
      <c r="BH953" s="141"/>
      <c r="BI953" s="141"/>
      <c r="BJ953" s="141"/>
      <c r="BK953" s="141"/>
      <c r="BL953" s="141"/>
      <c r="BM953" s="141"/>
      <c r="BN953" s="141"/>
      <c r="BO953" s="141"/>
    </row>
    <row r="954" ht="13.5" customHeight="1">
      <c r="A954" s="138"/>
      <c r="B954" s="139"/>
      <c r="C954" s="138"/>
      <c r="D954" s="138"/>
      <c r="E954" s="140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  <c r="AL954" s="141"/>
      <c r="AM954" s="141"/>
      <c r="AN954" s="141"/>
      <c r="AO954" s="141"/>
      <c r="AP954" s="141"/>
      <c r="AQ954" s="141"/>
      <c r="AR954" s="141"/>
      <c r="AS954" s="141"/>
      <c r="AT954" s="141"/>
      <c r="AU954" s="141"/>
      <c r="AV954" s="141"/>
      <c r="AW954" s="141"/>
      <c r="AX954" s="141"/>
      <c r="AY954" s="141"/>
      <c r="AZ954" s="141"/>
      <c r="BA954" s="141"/>
      <c r="BB954" s="141"/>
      <c r="BC954" s="141"/>
      <c r="BD954" s="141"/>
      <c r="BE954" s="141"/>
      <c r="BF954" s="141"/>
      <c r="BG954" s="141"/>
      <c r="BH954" s="141"/>
      <c r="BI954" s="141"/>
      <c r="BJ954" s="141"/>
      <c r="BK954" s="141"/>
      <c r="BL954" s="141"/>
      <c r="BM954" s="141"/>
      <c r="BN954" s="141"/>
      <c r="BO954" s="141"/>
    </row>
    <row r="955" ht="13.5" customHeight="1">
      <c r="A955" s="138"/>
      <c r="B955" s="139"/>
      <c r="C955" s="138"/>
      <c r="D955" s="138"/>
      <c r="E955" s="140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  <c r="AL955" s="141"/>
      <c r="AM955" s="141"/>
      <c r="AN955" s="141"/>
      <c r="AO955" s="141"/>
      <c r="AP955" s="141"/>
      <c r="AQ955" s="141"/>
      <c r="AR955" s="141"/>
      <c r="AS955" s="141"/>
      <c r="AT955" s="141"/>
      <c r="AU955" s="141"/>
      <c r="AV955" s="141"/>
      <c r="AW955" s="141"/>
      <c r="AX955" s="141"/>
      <c r="AY955" s="141"/>
      <c r="AZ955" s="141"/>
      <c r="BA955" s="141"/>
      <c r="BB955" s="141"/>
      <c r="BC955" s="141"/>
      <c r="BD955" s="141"/>
      <c r="BE955" s="141"/>
      <c r="BF955" s="141"/>
      <c r="BG955" s="141"/>
      <c r="BH955" s="141"/>
      <c r="BI955" s="141"/>
      <c r="BJ955" s="141"/>
      <c r="BK955" s="141"/>
      <c r="BL955" s="141"/>
      <c r="BM955" s="141"/>
      <c r="BN955" s="141"/>
      <c r="BO955" s="141"/>
    </row>
    <row r="956" ht="13.5" customHeight="1">
      <c r="A956" s="138"/>
      <c r="B956" s="139"/>
      <c r="C956" s="138"/>
      <c r="D956" s="138"/>
      <c r="E956" s="140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  <c r="AL956" s="141"/>
      <c r="AM956" s="141"/>
      <c r="AN956" s="141"/>
      <c r="AO956" s="141"/>
      <c r="AP956" s="141"/>
      <c r="AQ956" s="141"/>
      <c r="AR956" s="141"/>
      <c r="AS956" s="141"/>
      <c r="AT956" s="141"/>
      <c r="AU956" s="141"/>
      <c r="AV956" s="141"/>
      <c r="AW956" s="141"/>
      <c r="AX956" s="141"/>
      <c r="AY956" s="141"/>
      <c r="AZ956" s="141"/>
      <c r="BA956" s="141"/>
      <c r="BB956" s="141"/>
      <c r="BC956" s="141"/>
      <c r="BD956" s="141"/>
      <c r="BE956" s="141"/>
      <c r="BF956" s="141"/>
      <c r="BG956" s="141"/>
      <c r="BH956" s="141"/>
      <c r="BI956" s="141"/>
      <c r="BJ956" s="141"/>
      <c r="BK956" s="141"/>
      <c r="BL956" s="141"/>
      <c r="BM956" s="141"/>
      <c r="BN956" s="141"/>
      <c r="BO956" s="141"/>
    </row>
    <row r="957" ht="13.5" customHeight="1">
      <c r="A957" s="138"/>
      <c r="B957" s="139"/>
      <c r="C957" s="138"/>
      <c r="D957" s="138"/>
      <c r="E957" s="140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  <c r="AL957" s="141"/>
      <c r="AM957" s="141"/>
      <c r="AN957" s="141"/>
      <c r="AO957" s="141"/>
      <c r="AP957" s="141"/>
      <c r="AQ957" s="141"/>
      <c r="AR957" s="141"/>
      <c r="AS957" s="141"/>
      <c r="AT957" s="141"/>
      <c r="AU957" s="141"/>
      <c r="AV957" s="141"/>
      <c r="AW957" s="141"/>
      <c r="AX957" s="141"/>
      <c r="AY957" s="141"/>
      <c r="AZ957" s="141"/>
      <c r="BA957" s="141"/>
      <c r="BB957" s="141"/>
      <c r="BC957" s="141"/>
      <c r="BD957" s="141"/>
      <c r="BE957" s="141"/>
      <c r="BF957" s="141"/>
      <c r="BG957" s="141"/>
      <c r="BH957" s="141"/>
      <c r="BI957" s="141"/>
      <c r="BJ957" s="141"/>
      <c r="BK957" s="141"/>
      <c r="BL957" s="141"/>
      <c r="BM957" s="141"/>
      <c r="BN957" s="141"/>
      <c r="BO957" s="141"/>
    </row>
    <row r="958" ht="13.5" customHeight="1">
      <c r="A958" s="138"/>
      <c r="B958" s="139"/>
      <c r="C958" s="138"/>
      <c r="D958" s="138"/>
      <c r="E958" s="140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  <c r="AL958" s="141"/>
      <c r="AM958" s="141"/>
      <c r="AN958" s="141"/>
      <c r="AO958" s="141"/>
      <c r="AP958" s="141"/>
      <c r="AQ958" s="141"/>
      <c r="AR958" s="141"/>
      <c r="AS958" s="141"/>
      <c r="AT958" s="141"/>
      <c r="AU958" s="141"/>
      <c r="AV958" s="141"/>
      <c r="AW958" s="141"/>
      <c r="AX958" s="141"/>
      <c r="AY958" s="141"/>
      <c r="AZ958" s="141"/>
      <c r="BA958" s="141"/>
      <c r="BB958" s="141"/>
      <c r="BC958" s="141"/>
      <c r="BD958" s="141"/>
      <c r="BE958" s="141"/>
      <c r="BF958" s="141"/>
      <c r="BG958" s="141"/>
      <c r="BH958" s="141"/>
      <c r="BI958" s="141"/>
      <c r="BJ958" s="141"/>
      <c r="BK958" s="141"/>
      <c r="BL958" s="141"/>
      <c r="BM958" s="141"/>
      <c r="BN958" s="141"/>
      <c r="BO958" s="141"/>
    </row>
    <row r="959" ht="13.5" customHeight="1">
      <c r="A959" s="138"/>
      <c r="B959" s="139"/>
      <c r="C959" s="138"/>
      <c r="D959" s="138"/>
      <c r="E959" s="140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  <c r="AL959" s="141"/>
      <c r="AM959" s="141"/>
      <c r="AN959" s="141"/>
      <c r="AO959" s="141"/>
      <c r="AP959" s="141"/>
      <c r="AQ959" s="141"/>
      <c r="AR959" s="141"/>
      <c r="AS959" s="141"/>
      <c r="AT959" s="141"/>
      <c r="AU959" s="141"/>
      <c r="AV959" s="141"/>
      <c r="AW959" s="141"/>
      <c r="AX959" s="141"/>
      <c r="AY959" s="141"/>
      <c r="AZ959" s="141"/>
      <c r="BA959" s="141"/>
      <c r="BB959" s="141"/>
      <c r="BC959" s="141"/>
      <c r="BD959" s="141"/>
      <c r="BE959" s="141"/>
      <c r="BF959" s="141"/>
      <c r="BG959" s="141"/>
      <c r="BH959" s="141"/>
      <c r="BI959" s="141"/>
      <c r="BJ959" s="141"/>
      <c r="BK959" s="141"/>
      <c r="BL959" s="141"/>
      <c r="BM959" s="141"/>
      <c r="BN959" s="141"/>
      <c r="BO959" s="141"/>
    </row>
    <row r="960" ht="13.5" customHeight="1">
      <c r="A960" s="138"/>
      <c r="B960" s="139"/>
      <c r="C960" s="138"/>
      <c r="D960" s="138"/>
      <c r="E960" s="140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  <c r="AL960" s="141"/>
      <c r="AM960" s="141"/>
      <c r="AN960" s="141"/>
      <c r="AO960" s="141"/>
      <c r="AP960" s="141"/>
      <c r="AQ960" s="141"/>
      <c r="AR960" s="141"/>
      <c r="AS960" s="141"/>
      <c r="AT960" s="141"/>
      <c r="AU960" s="141"/>
      <c r="AV960" s="141"/>
      <c r="AW960" s="141"/>
      <c r="AX960" s="141"/>
      <c r="AY960" s="141"/>
      <c r="AZ960" s="141"/>
      <c r="BA960" s="141"/>
      <c r="BB960" s="141"/>
      <c r="BC960" s="141"/>
      <c r="BD960" s="141"/>
      <c r="BE960" s="141"/>
      <c r="BF960" s="141"/>
      <c r="BG960" s="141"/>
      <c r="BH960" s="141"/>
      <c r="BI960" s="141"/>
      <c r="BJ960" s="141"/>
      <c r="BK960" s="141"/>
      <c r="BL960" s="141"/>
      <c r="BM960" s="141"/>
      <c r="BN960" s="141"/>
      <c r="BO960" s="141"/>
    </row>
    <row r="961" ht="13.5" customHeight="1">
      <c r="A961" s="138"/>
      <c r="B961" s="139"/>
      <c r="C961" s="138"/>
      <c r="D961" s="138"/>
      <c r="E961" s="140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  <c r="AL961" s="141"/>
      <c r="AM961" s="141"/>
      <c r="AN961" s="141"/>
      <c r="AO961" s="141"/>
      <c r="AP961" s="141"/>
      <c r="AQ961" s="141"/>
      <c r="AR961" s="141"/>
      <c r="AS961" s="141"/>
      <c r="AT961" s="141"/>
      <c r="AU961" s="141"/>
      <c r="AV961" s="141"/>
      <c r="AW961" s="141"/>
      <c r="AX961" s="141"/>
      <c r="AY961" s="141"/>
      <c r="AZ961" s="141"/>
      <c r="BA961" s="141"/>
      <c r="BB961" s="141"/>
      <c r="BC961" s="141"/>
      <c r="BD961" s="141"/>
      <c r="BE961" s="141"/>
      <c r="BF961" s="141"/>
      <c r="BG961" s="141"/>
      <c r="BH961" s="141"/>
      <c r="BI961" s="141"/>
      <c r="BJ961" s="141"/>
      <c r="BK961" s="141"/>
      <c r="BL961" s="141"/>
      <c r="BM961" s="141"/>
      <c r="BN961" s="141"/>
      <c r="BO961" s="141"/>
    </row>
    <row r="962" ht="13.5" customHeight="1">
      <c r="A962" s="138"/>
      <c r="B962" s="139"/>
      <c r="C962" s="138"/>
      <c r="D962" s="138"/>
      <c r="E962" s="140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  <c r="AL962" s="141"/>
      <c r="AM962" s="141"/>
      <c r="AN962" s="141"/>
      <c r="AO962" s="141"/>
      <c r="AP962" s="141"/>
      <c r="AQ962" s="141"/>
      <c r="AR962" s="141"/>
      <c r="AS962" s="141"/>
      <c r="AT962" s="141"/>
      <c r="AU962" s="141"/>
      <c r="AV962" s="141"/>
      <c r="AW962" s="141"/>
      <c r="AX962" s="141"/>
      <c r="AY962" s="141"/>
      <c r="AZ962" s="141"/>
      <c r="BA962" s="141"/>
      <c r="BB962" s="141"/>
      <c r="BC962" s="141"/>
      <c r="BD962" s="141"/>
      <c r="BE962" s="141"/>
      <c r="BF962" s="141"/>
      <c r="BG962" s="141"/>
      <c r="BH962" s="141"/>
      <c r="BI962" s="141"/>
      <c r="BJ962" s="141"/>
      <c r="BK962" s="141"/>
      <c r="BL962" s="141"/>
      <c r="BM962" s="141"/>
      <c r="BN962" s="141"/>
      <c r="BO962" s="141"/>
    </row>
    <row r="963" ht="13.5" customHeight="1">
      <c r="A963" s="138"/>
      <c r="B963" s="139"/>
      <c r="C963" s="138"/>
      <c r="D963" s="138"/>
      <c r="E963" s="140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  <c r="AL963" s="141"/>
      <c r="AM963" s="141"/>
      <c r="AN963" s="141"/>
      <c r="AO963" s="141"/>
      <c r="AP963" s="141"/>
      <c r="AQ963" s="141"/>
      <c r="AR963" s="141"/>
      <c r="AS963" s="141"/>
      <c r="AT963" s="141"/>
      <c r="AU963" s="141"/>
      <c r="AV963" s="141"/>
      <c r="AW963" s="141"/>
      <c r="AX963" s="141"/>
      <c r="AY963" s="141"/>
      <c r="AZ963" s="141"/>
      <c r="BA963" s="141"/>
      <c r="BB963" s="141"/>
      <c r="BC963" s="141"/>
      <c r="BD963" s="141"/>
      <c r="BE963" s="141"/>
      <c r="BF963" s="141"/>
      <c r="BG963" s="141"/>
      <c r="BH963" s="141"/>
      <c r="BI963" s="141"/>
      <c r="BJ963" s="141"/>
      <c r="BK963" s="141"/>
      <c r="BL963" s="141"/>
      <c r="BM963" s="141"/>
      <c r="BN963" s="141"/>
      <c r="BO963" s="141"/>
    </row>
    <row r="964" ht="13.5" customHeight="1">
      <c r="A964" s="138"/>
      <c r="B964" s="139"/>
      <c r="C964" s="138"/>
      <c r="D964" s="138"/>
      <c r="E964" s="140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  <c r="AL964" s="141"/>
      <c r="AM964" s="141"/>
      <c r="AN964" s="141"/>
      <c r="AO964" s="141"/>
      <c r="AP964" s="141"/>
      <c r="AQ964" s="141"/>
      <c r="AR964" s="141"/>
      <c r="AS964" s="141"/>
      <c r="AT964" s="141"/>
      <c r="AU964" s="141"/>
      <c r="AV964" s="141"/>
      <c r="AW964" s="141"/>
      <c r="AX964" s="141"/>
      <c r="AY964" s="141"/>
      <c r="AZ964" s="141"/>
      <c r="BA964" s="141"/>
      <c r="BB964" s="141"/>
      <c r="BC964" s="141"/>
      <c r="BD964" s="141"/>
      <c r="BE964" s="141"/>
      <c r="BF964" s="141"/>
      <c r="BG964" s="141"/>
      <c r="BH964" s="141"/>
      <c r="BI964" s="141"/>
      <c r="BJ964" s="141"/>
      <c r="BK964" s="141"/>
      <c r="BL964" s="141"/>
      <c r="BM964" s="141"/>
      <c r="BN964" s="141"/>
      <c r="BO964" s="141"/>
    </row>
    <row r="965" ht="13.5" customHeight="1">
      <c r="A965" s="138"/>
      <c r="B965" s="139"/>
      <c r="C965" s="138"/>
      <c r="D965" s="138"/>
      <c r="E965" s="140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  <c r="AL965" s="141"/>
      <c r="AM965" s="141"/>
      <c r="AN965" s="141"/>
      <c r="AO965" s="141"/>
      <c r="AP965" s="141"/>
      <c r="AQ965" s="141"/>
      <c r="AR965" s="141"/>
      <c r="AS965" s="141"/>
      <c r="AT965" s="141"/>
      <c r="AU965" s="141"/>
      <c r="AV965" s="141"/>
      <c r="AW965" s="141"/>
      <c r="AX965" s="141"/>
      <c r="AY965" s="141"/>
      <c r="AZ965" s="141"/>
      <c r="BA965" s="141"/>
      <c r="BB965" s="141"/>
      <c r="BC965" s="141"/>
      <c r="BD965" s="141"/>
      <c r="BE965" s="141"/>
      <c r="BF965" s="141"/>
      <c r="BG965" s="141"/>
      <c r="BH965" s="141"/>
      <c r="BI965" s="141"/>
      <c r="BJ965" s="141"/>
      <c r="BK965" s="141"/>
      <c r="BL965" s="141"/>
      <c r="BM965" s="141"/>
      <c r="BN965" s="141"/>
      <c r="BO965" s="141"/>
    </row>
    <row r="966" ht="13.5" customHeight="1">
      <c r="A966" s="138"/>
      <c r="B966" s="139"/>
      <c r="C966" s="138"/>
      <c r="D966" s="138"/>
      <c r="E966" s="140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  <c r="AL966" s="141"/>
      <c r="AM966" s="141"/>
      <c r="AN966" s="141"/>
      <c r="AO966" s="141"/>
      <c r="AP966" s="141"/>
      <c r="AQ966" s="141"/>
      <c r="AR966" s="141"/>
      <c r="AS966" s="141"/>
      <c r="AT966" s="141"/>
      <c r="AU966" s="141"/>
      <c r="AV966" s="141"/>
      <c r="AW966" s="141"/>
      <c r="AX966" s="141"/>
      <c r="AY966" s="141"/>
      <c r="AZ966" s="141"/>
      <c r="BA966" s="141"/>
      <c r="BB966" s="141"/>
      <c r="BC966" s="141"/>
      <c r="BD966" s="141"/>
      <c r="BE966" s="141"/>
      <c r="BF966" s="141"/>
      <c r="BG966" s="141"/>
      <c r="BH966" s="141"/>
      <c r="BI966" s="141"/>
      <c r="BJ966" s="141"/>
      <c r="BK966" s="141"/>
      <c r="BL966" s="141"/>
      <c r="BM966" s="141"/>
      <c r="BN966" s="141"/>
      <c r="BO966" s="141"/>
    </row>
    <row r="967" ht="13.5" customHeight="1">
      <c r="A967" s="138"/>
      <c r="B967" s="139"/>
      <c r="C967" s="138"/>
      <c r="D967" s="138"/>
      <c r="E967" s="140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  <c r="AL967" s="141"/>
      <c r="AM967" s="141"/>
      <c r="AN967" s="141"/>
      <c r="AO967" s="141"/>
      <c r="AP967" s="141"/>
      <c r="AQ967" s="141"/>
      <c r="AR967" s="141"/>
      <c r="AS967" s="141"/>
      <c r="AT967" s="141"/>
      <c r="AU967" s="141"/>
      <c r="AV967" s="141"/>
      <c r="AW967" s="141"/>
      <c r="AX967" s="141"/>
      <c r="AY967" s="141"/>
      <c r="AZ967" s="141"/>
      <c r="BA967" s="141"/>
      <c r="BB967" s="141"/>
      <c r="BC967" s="141"/>
      <c r="BD967" s="141"/>
      <c r="BE967" s="141"/>
      <c r="BF967" s="141"/>
      <c r="BG967" s="141"/>
      <c r="BH967" s="141"/>
      <c r="BI967" s="141"/>
      <c r="BJ967" s="141"/>
      <c r="BK967" s="141"/>
      <c r="BL967" s="141"/>
      <c r="BM967" s="141"/>
      <c r="BN967" s="141"/>
      <c r="BO967" s="141"/>
    </row>
    <row r="968" ht="13.5" customHeight="1">
      <c r="A968" s="138"/>
      <c r="B968" s="139"/>
      <c r="C968" s="138"/>
      <c r="D968" s="138"/>
      <c r="E968" s="140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  <c r="AL968" s="141"/>
      <c r="AM968" s="141"/>
      <c r="AN968" s="141"/>
      <c r="AO968" s="141"/>
      <c r="AP968" s="141"/>
      <c r="AQ968" s="141"/>
      <c r="AR968" s="141"/>
      <c r="AS968" s="141"/>
      <c r="AT968" s="141"/>
      <c r="AU968" s="141"/>
      <c r="AV968" s="141"/>
      <c r="AW968" s="141"/>
      <c r="AX968" s="141"/>
      <c r="AY968" s="141"/>
      <c r="AZ968" s="141"/>
      <c r="BA968" s="141"/>
      <c r="BB968" s="141"/>
      <c r="BC968" s="141"/>
      <c r="BD968" s="141"/>
      <c r="BE968" s="141"/>
      <c r="BF968" s="141"/>
      <c r="BG968" s="141"/>
      <c r="BH968" s="141"/>
      <c r="BI968" s="141"/>
      <c r="BJ968" s="141"/>
      <c r="BK968" s="141"/>
      <c r="BL968" s="141"/>
      <c r="BM968" s="141"/>
      <c r="BN968" s="141"/>
      <c r="BO968" s="141"/>
    </row>
    <row r="969" ht="13.5" customHeight="1">
      <c r="A969" s="138"/>
      <c r="B969" s="139"/>
      <c r="C969" s="138"/>
      <c r="D969" s="138"/>
      <c r="E969" s="140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  <c r="AL969" s="141"/>
      <c r="AM969" s="141"/>
      <c r="AN969" s="141"/>
      <c r="AO969" s="141"/>
      <c r="AP969" s="141"/>
      <c r="AQ969" s="141"/>
      <c r="AR969" s="141"/>
      <c r="AS969" s="141"/>
      <c r="AT969" s="141"/>
      <c r="AU969" s="141"/>
      <c r="AV969" s="141"/>
      <c r="AW969" s="141"/>
      <c r="AX969" s="141"/>
      <c r="AY969" s="141"/>
      <c r="AZ969" s="141"/>
      <c r="BA969" s="141"/>
      <c r="BB969" s="141"/>
      <c r="BC969" s="141"/>
      <c r="BD969" s="141"/>
      <c r="BE969" s="141"/>
      <c r="BF969" s="141"/>
      <c r="BG969" s="141"/>
      <c r="BH969" s="141"/>
      <c r="BI969" s="141"/>
      <c r="BJ969" s="141"/>
      <c r="BK969" s="141"/>
      <c r="BL969" s="141"/>
      <c r="BM969" s="141"/>
      <c r="BN969" s="141"/>
      <c r="BO969" s="141"/>
    </row>
    <row r="970" ht="13.5" customHeight="1">
      <c r="A970" s="138"/>
      <c r="B970" s="139"/>
      <c r="C970" s="138"/>
      <c r="D970" s="138"/>
      <c r="E970" s="140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  <c r="AL970" s="141"/>
      <c r="AM970" s="141"/>
      <c r="AN970" s="141"/>
      <c r="AO970" s="141"/>
      <c r="AP970" s="141"/>
      <c r="AQ970" s="141"/>
      <c r="AR970" s="141"/>
      <c r="AS970" s="141"/>
      <c r="AT970" s="141"/>
      <c r="AU970" s="141"/>
      <c r="AV970" s="141"/>
      <c r="AW970" s="141"/>
      <c r="AX970" s="141"/>
      <c r="AY970" s="141"/>
      <c r="AZ970" s="141"/>
      <c r="BA970" s="141"/>
      <c r="BB970" s="141"/>
      <c r="BC970" s="141"/>
      <c r="BD970" s="141"/>
      <c r="BE970" s="141"/>
      <c r="BF970" s="141"/>
      <c r="BG970" s="141"/>
      <c r="BH970" s="141"/>
      <c r="BI970" s="141"/>
      <c r="BJ970" s="141"/>
      <c r="BK970" s="141"/>
      <c r="BL970" s="141"/>
      <c r="BM970" s="141"/>
      <c r="BN970" s="141"/>
      <c r="BO970" s="141"/>
    </row>
    <row r="971" ht="13.5" customHeight="1">
      <c r="A971" s="138"/>
      <c r="B971" s="139"/>
      <c r="C971" s="138"/>
      <c r="D971" s="138"/>
      <c r="E971" s="140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  <c r="AL971" s="141"/>
      <c r="AM971" s="141"/>
      <c r="AN971" s="141"/>
      <c r="AO971" s="141"/>
      <c r="AP971" s="141"/>
      <c r="AQ971" s="141"/>
      <c r="AR971" s="141"/>
      <c r="AS971" s="141"/>
      <c r="AT971" s="141"/>
      <c r="AU971" s="141"/>
      <c r="AV971" s="141"/>
      <c r="AW971" s="141"/>
      <c r="AX971" s="141"/>
      <c r="AY971" s="141"/>
      <c r="AZ971" s="141"/>
      <c r="BA971" s="141"/>
      <c r="BB971" s="141"/>
      <c r="BC971" s="141"/>
      <c r="BD971" s="141"/>
      <c r="BE971" s="141"/>
      <c r="BF971" s="141"/>
      <c r="BG971" s="141"/>
      <c r="BH971" s="141"/>
      <c r="BI971" s="141"/>
      <c r="BJ971" s="141"/>
      <c r="BK971" s="141"/>
      <c r="BL971" s="141"/>
      <c r="BM971" s="141"/>
      <c r="BN971" s="141"/>
      <c r="BO971" s="141"/>
    </row>
    <row r="972" ht="13.5" customHeight="1">
      <c r="A972" s="138"/>
      <c r="B972" s="139"/>
      <c r="C972" s="138"/>
      <c r="D972" s="138"/>
      <c r="E972" s="140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  <c r="AL972" s="141"/>
      <c r="AM972" s="141"/>
      <c r="AN972" s="141"/>
      <c r="AO972" s="141"/>
      <c r="AP972" s="141"/>
      <c r="AQ972" s="141"/>
      <c r="AR972" s="141"/>
      <c r="AS972" s="141"/>
      <c r="AT972" s="141"/>
      <c r="AU972" s="141"/>
      <c r="AV972" s="141"/>
      <c r="AW972" s="141"/>
      <c r="AX972" s="141"/>
      <c r="AY972" s="141"/>
      <c r="AZ972" s="141"/>
      <c r="BA972" s="141"/>
      <c r="BB972" s="141"/>
      <c r="BC972" s="141"/>
      <c r="BD972" s="141"/>
      <c r="BE972" s="141"/>
      <c r="BF972" s="141"/>
      <c r="BG972" s="141"/>
      <c r="BH972" s="141"/>
      <c r="BI972" s="141"/>
      <c r="BJ972" s="141"/>
      <c r="BK972" s="141"/>
      <c r="BL972" s="141"/>
      <c r="BM972" s="141"/>
      <c r="BN972" s="141"/>
      <c r="BO972" s="141"/>
    </row>
    <row r="973" ht="13.5" customHeight="1">
      <c r="A973" s="138"/>
      <c r="B973" s="139"/>
      <c r="C973" s="138"/>
      <c r="D973" s="138"/>
      <c r="E973" s="140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  <c r="AL973" s="141"/>
      <c r="AM973" s="141"/>
      <c r="AN973" s="141"/>
      <c r="AO973" s="141"/>
      <c r="AP973" s="141"/>
      <c r="AQ973" s="141"/>
      <c r="AR973" s="141"/>
      <c r="AS973" s="141"/>
      <c r="AT973" s="141"/>
      <c r="AU973" s="141"/>
      <c r="AV973" s="141"/>
      <c r="AW973" s="141"/>
      <c r="AX973" s="141"/>
      <c r="AY973" s="141"/>
      <c r="AZ973" s="141"/>
      <c r="BA973" s="141"/>
      <c r="BB973" s="141"/>
      <c r="BC973" s="141"/>
      <c r="BD973" s="141"/>
      <c r="BE973" s="141"/>
      <c r="BF973" s="141"/>
      <c r="BG973" s="141"/>
      <c r="BH973" s="141"/>
      <c r="BI973" s="141"/>
      <c r="BJ973" s="141"/>
      <c r="BK973" s="141"/>
      <c r="BL973" s="141"/>
      <c r="BM973" s="141"/>
      <c r="BN973" s="141"/>
      <c r="BO973" s="141"/>
    </row>
    <row r="974" ht="13.5" customHeight="1">
      <c r="A974" s="138"/>
      <c r="B974" s="139"/>
      <c r="C974" s="138"/>
      <c r="D974" s="138"/>
      <c r="E974" s="140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  <c r="AL974" s="141"/>
      <c r="AM974" s="141"/>
      <c r="AN974" s="141"/>
      <c r="AO974" s="141"/>
      <c r="AP974" s="141"/>
      <c r="AQ974" s="141"/>
      <c r="AR974" s="141"/>
      <c r="AS974" s="141"/>
      <c r="AT974" s="141"/>
      <c r="AU974" s="141"/>
      <c r="AV974" s="141"/>
      <c r="AW974" s="141"/>
      <c r="AX974" s="141"/>
      <c r="AY974" s="141"/>
      <c r="AZ974" s="141"/>
      <c r="BA974" s="141"/>
      <c r="BB974" s="141"/>
      <c r="BC974" s="141"/>
      <c r="BD974" s="141"/>
      <c r="BE974" s="141"/>
      <c r="BF974" s="141"/>
      <c r="BG974" s="141"/>
      <c r="BH974" s="141"/>
      <c r="BI974" s="141"/>
      <c r="BJ974" s="141"/>
      <c r="BK974" s="141"/>
      <c r="BL974" s="141"/>
      <c r="BM974" s="141"/>
      <c r="BN974" s="141"/>
      <c r="BO974" s="141"/>
    </row>
    <row r="975" ht="13.5" customHeight="1">
      <c r="A975" s="138"/>
      <c r="B975" s="139"/>
      <c r="C975" s="138"/>
      <c r="D975" s="138"/>
      <c r="E975" s="140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  <c r="AL975" s="141"/>
      <c r="AM975" s="141"/>
      <c r="AN975" s="141"/>
      <c r="AO975" s="141"/>
      <c r="AP975" s="141"/>
      <c r="AQ975" s="141"/>
      <c r="AR975" s="141"/>
      <c r="AS975" s="141"/>
      <c r="AT975" s="141"/>
      <c r="AU975" s="141"/>
      <c r="AV975" s="141"/>
      <c r="AW975" s="141"/>
      <c r="AX975" s="141"/>
      <c r="AY975" s="141"/>
      <c r="AZ975" s="141"/>
      <c r="BA975" s="141"/>
      <c r="BB975" s="141"/>
      <c r="BC975" s="141"/>
      <c r="BD975" s="141"/>
      <c r="BE975" s="141"/>
      <c r="BF975" s="141"/>
      <c r="BG975" s="141"/>
      <c r="BH975" s="141"/>
      <c r="BI975" s="141"/>
      <c r="BJ975" s="141"/>
      <c r="BK975" s="141"/>
      <c r="BL975" s="141"/>
      <c r="BM975" s="141"/>
      <c r="BN975" s="141"/>
      <c r="BO975" s="141"/>
    </row>
    <row r="976" ht="13.5" customHeight="1">
      <c r="A976" s="138"/>
      <c r="B976" s="139"/>
      <c r="C976" s="138"/>
      <c r="D976" s="138"/>
      <c r="E976" s="140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  <c r="AL976" s="141"/>
      <c r="AM976" s="141"/>
      <c r="AN976" s="141"/>
      <c r="AO976" s="141"/>
      <c r="AP976" s="141"/>
      <c r="AQ976" s="141"/>
      <c r="AR976" s="141"/>
      <c r="AS976" s="141"/>
      <c r="AT976" s="141"/>
      <c r="AU976" s="141"/>
      <c r="AV976" s="141"/>
      <c r="AW976" s="141"/>
      <c r="AX976" s="141"/>
      <c r="AY976" s="141"/>
      <c r="AZ976" s="141"/>
      <c r="BA976" s="141"/>
      <c r="BB976" s="141"/>
      <c r="BC976" s="141"/>
      <c r="BD976" s="141"/>
      <c r="BE976" s="141"/>
      <c r="BF976" s="141"/>
      <c r="BG976" s="141"/>
      <c r="BH976" s="141"/>
      <c r="BI976" s="141"/>
      <c r="BJ976" s="141"/>
      <c r="BK976" s="141"/>
      <c r="BL976" s="141"/>
      <c r="BM976" s="141"/>
      <c r="BN976" s="141"/>
      <c r="BO976" s="141"/>
    </row>
    <row r="977" ht="13.5" customHeight="1">
      <c r="A977" s="138"/>
      <c r="B977" s="139"/>
      <c r="C977" s="138"/>
      <c r="D977" s="138"/>
      <c r="E977" s="140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  <c r="AL977" s="141"/>
      <c r="AM977" s="141"/>
      <c r="AN977" s="141"/>
      <c r="AO977" s="141"/>
      <c r="AP977" s="141"/>
      <c r="AQ977" s="141"/>
      <c r="AR977" s="141"/>
      <c r="AS977" s="141"/>
      <c r="AT977" s="141"/>
      <c r="AU977" s="141"/>
      <c r="AV977" s="141"/>
      <c r="AW977" s="141"/>
      <c r="AX977" s="141"/>
      <c r="AY977" s="141"/>
      <c r="AZ977" s="141"/>
      <c r="BA977" s="141"/>
      <c r="BB977" s="141"/>
      <c r="BC977" s="141"/>
      <c r="BD977" s="141"/>
      <c r="BE977" s="141"/>
      <c r="BF977" s="141"/>
      <c r="BG977" s="141"/>
      <c r="BH977" s="141"/>
      <c r="BI977" s="141"/>
      <c r="BJ977" s="141"/>
      <c r="BK977" s="141"/>
      <c r="BL977" s="141"/>
      <c r="BM977" s="141"/>
      <c r="BN977" s="141"/>
      <c r="BO977" s="141"/>
    </row>
    <row r="978" ht="13.5" customHeight="1">
      <c r="A978" s="138"/>
      <c r="B978" s="139"/>
      <c r="C978" s="138"/>
      <c r="D978" s="138"/>
      <c r="E978" s="140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  <c r="AL978" s="141"/>
      <c r="AM978" s="141"/>
      <c r="AN978" s="141"/>
      <c r="AO978" s="141"/>
      <c r="AP978" s="141"/>
      <c r="AQ978" s="141"/>
      <c r="AR978" s="141"/>
      <c r="AS978" s="141"/>
      <c r="AT978" s="141"/>
      <c r="AU978" s="141"/>
      <c r="AV978" s="141"/>
      <c r="AW978" s="141"/>
      <c r="AX978" s="141"/>
      <c r="AY978" s="141"/>
      <c r="AZ978" s="141"/>
      <c r="BA978" s="141"/>
      <c r="BB978" s="141"/>
      <c r="BC978" s="141"/>
      <c r="BD978" s="141"/>
      <c r="BE978" s="141"/>
      <c r="BF978" s="141"/>
      <c r="BG978" s="141"/>
      <c r="BH978" s="141"/>
      <c r="BI978" s="141"/>
      <c r="BJ978" s="141"/>
      <c r="BK978" s="141"/>
      <c r="BL978" s="141"/>
      <c r="BM978" s="141"/>
      <c r="BN978" s="141"/>
      <c r="BO978" s="141"/>
    </row>
    <row r="979" ht="13.5" customHeight="1">
      <c r="A979" s="138"/>
      <c r="B979" s="139"/>
      <c r="C979" s="138"/>
      <c r="D979" s="138"/>
      <c r="E979" s="140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  <c r="AL979" s="141"/>
      <c r="AM979" s="141"/>
      <c r="AN979" s="141"/>
      <c r="AO979" s="141"/>
      <c r="AP979" s="141"/>
      <c r="AQ979" s="141"/>
      <c r="AR979" s="141"/>
      <c r="AS979" s="141"/>
      <c r="AT979" s="141"/>
      <c r="AU979" s="141"/>
      <c r="AV979" s="141"/>
      <c r="AW979" s="141"/>
      <c r="AX979" s="141"/>
      <c r="AY979" s="141"/>
      <c r="AZ979" s="141"/>
      <c r="BA979" s="141"/>
      <c r="BB979" s="141"/>
      <c r="BC979" s="141"/>
      <c r="BD979" s="141"/>
      <c r="BE979" s="141"/>
      <c r="BF979" s="141"/>
      <c r="BG979" s="141"/>
      <c r="BH979" s="141"/>
      <c r="BI979" s="141"/>
      <c r="BJ979" s="141"/>
      <c r="BK979" s="141"/>
      <c r="BL979" s="141"/>
      <c r="BM979" s="141"/>
      <c r="BN979" s="141"/>
      <c r="BO979" s="141"/>
    </row>
    <row r="980" ht="13.5" customHeight="1">
      <c r="A980" s="138"/>
      <c r="B980" s="139"/>
      <c r="C980" s="138"/>
      <c r="D980" s="138"/>
      <c r="E980" s="140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  <c r="AL980" s="141"/>
      <c r="AM980" s="141"/>
      <c r="AN980" s="141"/>
      <c r="AO980" s="141"/>
      <c r="AP980" s="141"/>
      <c r="AQ980" s="141"/>
      <c r="AR980" s="141"/>
      <c r="AS980" s="141"/>
      <c r="AT980" s="141"/>
      <c r="AU980" s="141"/>
      <c r="AV980" s="141"/>
      <c r="AW980" s="141"/>
      <c r="AX980" s="141"/>
      <c r="AY980" s="141"/>
      <c r="AZ980" s="141"/>
      <c r="BA980" s="141"/>
      <c r="BB980" s="141"/>
      <c r="BC980" s="141"/>
      <c r="BD980" s="141"/>
      <c r="BE980" s="141"/>
      <c r="BF980" s="141"/>
      <c r="BG980" s="141"/>
      <c r="BH980" s="141"/>
      <c r="BI980" s="141"/>
      <c r="BJ980" s="141"/>
      <c r="BK980" s="141"/>
      <c r="BL980" s="141"/>
      <c r="BM980" s="141"/>
      <c r="BN980" s="141"/>
      <c r="BO980" s="141"/>
    </row>
    <row r="981" ht="13.5" customHeight="1">
      <c r="A981" s="138"/>
      <c r="B981" s="139"/>
      <c r="C981" s="138"/>
      <c r="D981" s="138"/>
      <c r="E981" s="140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  <c r="AL981" s="141"/>
      <c r="AM981" s="141"/>
      <c r="AN981" s="141"/>
      <c r="AO981" s="141"/>
      <c r="AP981" s="141"/>
      <c r="AQ981" s="141"/>
      <c r="AR981" s="141"/>
      <c r="AS981" s="141"/>
      <c r="AT981" s="141"/>
      <c r="AU981" s="141"/>
      <c r="AV981" s="141"/>
      <c r="AW981" s="141"/>
      <c r="AX981" s="141"/>
      <c r="AY981" s="141"/>
      <c r="AZ981" s="141"/>
      <c r="BA981" s="141"/>
      <c r="BB981" s="141"/>
      <c r="BC981" s="141"/>
      <c r="BD981" s="141"/>
      <c r="BE981" s="141"/>
      <c r="BF981" s="141"/>
      <c r="BG981" s="141"/>
      <c r="BH981" s="141"/>
      <c r="BI981" s="141"/>
      <c r="BJ981" s="141"/>
      <c r="BK981" s="141"/>
      <c r="BL981" s="141"/>
      <c r="BM981" s="141"/>
      <c r="BN981" s="141"/>
      <c r="BO981" s="141"/>
    </row>
    <row r="982" ht="13.5" customHeight="1">
      <c r="A982" s="138"/>
      <c r="B982" s="139"/>
      <c r="C982" s="138"/>
      <c r="D982" s="138"/>
      <c r="E982" s="140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  <c r="AL982" s="141"/>
      <c r="AM982" s="141"/>
      <c r="AN982" s="141"/>
      <c r="AO982" s="141"/>
      <c r="AP982" s="141"/>
      <c r="AQ982" s="141"/>
      <c r="AR982" s="141"/>
      <c r="AS982" s="141"/>
      <c r="AT982" s="141"/>
      <c r="AU982" s="141"/>
      <c r="AV982" s="141"/>
      <c r="AW982" s="141"/>
      <c r="AX982" s="141"/>
      <c r="AY982" s="141"/>
      <c r="AZ982" s="141"/>
      <c r="BA982" s="141"/>
      <c r="BB982" s="141"/>
      <c r="BC982" s="141"/>
      <c r="BD982" s="141"/>
      <c r="BE982" s="141"/>
      <c r="BF982" s="141"/>
      <c r="BG982" s="141"/>
      <c r="BH982" s="141"/>
      <c r="BI982" s="141"/>
      <c r="BJ982" s="141"/>
      <c r="BK982" s="141"/>
      <c r="BL982" s="141"/>
      <c r="BM982" s="141"/>
      <c r="BN982" s="141"/>
      <c r="BO982" s="141"/>
    </row>
    <row r="983" ht="13.5" customHeight="1">
      <c r="A983" s="138"/>
      <c r="B983" s="139"/>
      <c r="C983" s="138"/>
      <c r="D983" s="138"/>
      <c r="E983" s="140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  <c r="AL983" s="141"/>
      <c r="AM983" s="141"/>
      <c r="AN983" s="141"/>
      <c r="AO983" s="141"/>
      <c r="AP983" s="141"/>
      <c r="AQ983" s="141"/>
      <c r="AR983" s="141"/>
      <c r="AS983" s="141"/>
      <c r="AT983" s="141"/>
      <c r="AU983" s="141"/>
      <c r="AV983" s="141"/>
      <c r="AW983" s="141"/>
      <c r="AX983" s="141"/>
      <c r="AY983" s="141"/>
      <c r="AZ983" s="141"/>
      <c r="BA983" s="141"/>
      <c r="BB983" s="141"/>
      <c r="BC983" s="141"/>
      <c r="BD983" s="141"/>
      <c r="BE983" s="141"/>
      <c r="BF983" s="141"/>
      <c r="BG983" s="141"/>
      <c r="BH983" s="141"/>
      <c r="BI983" s="141"/>
      <c r="BJ983" s="141"/>
      <c r="BK983" s="141"/>
      <c r="BL983" s="141"/>
      <c r="BM983" s="141"/>
      <c r="BN983" s="141"/>
      <c r="BO983" s="141"/>
    </row>
    <row r="984" ht="13.5" customHeight="1">
      <c r="A984" s="138"/>
      <c r="B984" s="139"/>
      <c r="C984" s="138"/>
      <c r="D984" s="138"/>
      <c r="E984" s="140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  <c r="AL984" s="141"/>
      <c r="AM984" s="141"/>
      <c r="AN984" s="141"/>
      <c r="AO984" s="141"/>
      <c r="AP984" s="141"/>
      <c r="AQ984" s="141"/>
      <c r="AR984" s="141"/>
      <c r="AS984" s="141"/>
      <c r="AT984" s="141"/>
      <c r="AU984" s="141"/>
      <c r="AV984" s="141"/>
      <c r="AW984" s="141"/>
      <c r="AX984" s="141"/>
      <c r="AY984" s="141"/>
      <c r="AZ984" s="141"/>
      <c r="BA984" s="141"/>
      <c r="BB984" s="141"/>
      <c r="BC984" s="141"/>
      <c r="BD984" s="141"/>
      <c r="BE984" s="141"/>
      <c r="BF984" s="141"/>
      <c r="BG984" s="141"/>
      <c r="BH984" s="141"/>
      <c r="BI984" s="141"/>
      <c r="BJ984" s="141"/>
      <c r="BK984" s="141"/>
      <c r="BL984" s="141"/>
      <c r="BM984" s="141"/>
      <c r="BN984" s="141"/>
      <c r="BO984" s="141"/>
    </row>
    <row r="985" ht="13.5" customHeight="1">
      <c r="A985" s="138"/>
      <c r="B985" s="139"/>
      <c r="C985" s="138"/>
      <c r="D985" s="138"/>
      <c r="E985" s="140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  <c r="AL985" s="141"/>
      <c r="AM985" s="141"/>
      <c r="AN985" s="141"/>
      <c r="AO985" s="141"/>
      <c r="AP985" s="141"/>
      <c r="AQ985" s="141"/>
      <c r="AR985" s="141"/>
      <c r="AS985" s="141"/>
      <c r="AT985" s="141"/>
      <c r="AU985" s="141"/>
      <c r="AV985" s="141"/>
      <c r="AW985" s="141"/>
      <c r="AX985" s="141"/>
      <c r="AY985" s="141"/>
      <c r="AZ985" s="141"/>
      <c r="BA985" s="141"/>
      <c r="BB985" s="141"/>
      <c r="BC985" s="141"/>
      <c r="BD985" s="141"/>
      <c r="BE985" s="141"/>
      <c r="BF985" s="141"/>
      <c r="BG985" s="141"/>
      <c r="BH985" s="141"/>
      <c r="BI985" s="141"/>
      <c r="BJ985" s="141"/>
      <c r="BK985" s="141"/>
      <c r="BL985" s="141"/>
      <c r="BM985" s="141"/>
      <c r="BN985" s="141"/>
      <c r="BO985" s="141"/>
    </row>
    <row r="986" ht="13.5" customHeight="1">
      <c r="A986" s="138"/>
      <c r="B986" s="139"/>
      <c r="C986" s="138"/>
      <c r="D986" s="138"/>
      <c r="E986" s="140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  <c r="AL986" s="141"/>
      <c r="AM986" s="141"/>
      <c r="AN986" s="141"/>
      <c r="AO986" s="141"/>
      <c r="AP986" s="141"/>
      <c r="AQ986" s="141"/>
      <c r="AR986" s="141"/>
      <c r="AS986" s="141"/>
      <c r="AT986" s="141"/>
      <c r="AU986" s="141"/>
      <c r="AV986" s="141"/>
      <c r="AW986" s="141"/>
      <c r="AX986" s="141"/>
      <c r="AY986" s="141"/>
      <c r="AZ986" s="141"/>
      <c r="BA986" s="141"/>
      <c r="BB986" s="141"/>
      <c r="BC986" s="141"/>
      <c r="BD986" s="141"/>
      <c r="BE986" s="141"/>
      <c r="BF986" s="141"/>
      <c r="BG986" s="141"/>
      <c r="BH986" s="141"/>
      <c r="BI986" s="141"/>
      <c r="BJ986" s="141"/>
      <c r="BK986" s="141"/>
      <c r="BL986" s="141"/>
      <c r="BM986" s="141"/>
      <c r="BN986" s="141"/>
      <c r="BO986" s="141"/>
    </row>
    <row r="987" ht="13.5" customHeight="1">
      <c r="A987" s="138"/>
      <c r="B987" s="139"/>
      <c r="C987" s="138"/>
      <c r="D987" s="138"/>
      <c r="E987" s="140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  <c r="AH987" s="141"/>
      <c r="AI987" s="141"/>
      <c r="AJ987" s="141"/>
      <c r="AK987" s="141"/>
      <c r="AL987" s="141"/>
      <c r="AM987" s="141"/>
      <c r="AN987" s="141"/>
      <c r="AO987" s="141"/>
      <c r="AP987" s="141"/>
      <c r="AQ987" s="141"/>
      <c r="AR987" s="141"/>
      <c r="AS987" s="141"/>
      <c r="AT987" s="141"/>
      <c r="AU987" s="141"/>
      <c r="AV987" s="141"/>
      <c r="AW987" s="141"/>
      <c r="AX987" s="141"/>
      <c r="AY987" s="141"/>
      <c r="AZ987" s="141"/>
      <c r="BA987" s="141"/>
      <c r="BB987" s="141"/>
      <c r="BC987" s="141"/>
      <c r="BD987" s="141"/>
      <c r="BE987" s="141"/>
      <c r="BF987" s="141"/>
      <c r="BG987" s="141"/>
      <c r="BH987" s="141"/>
      <c r="BI987" s="141"/>
      <c r="BJ987" s="141"/>
      <c r="BK987" s="141"/>
      <c r="BL987" s="141"/>
      <c r="BM987" s="141"/>
      <c r="BN987" s="141"/>
      <c r="BO987" s="141"/>
    </row>
    <row r="988" ht="13.5" customHeight="1">
      <c r="A988" s="138"/>
      <c r="B988" s="139"/>
      <c r="C988" s="138"/>
      <c r="D988" s="138"/>
      <c r="E988" s="140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  <c r="AH988" s="141"/>
      <c r="AI988" s="141"/>
      <c r="AJ988" s="141"/>
      <c r="AK988" s="141"/>
      <c r="AL988" s="141"/>
      <c r="AM988" s="141"/>
      <c r="AN988" s="141"/>
      <c r="AO988" s="141"/>
      <c r="AP988" s="141"/>
      <c r="AQ988" s="141"/>
      <c r="AR988" s="141"/>
      <c r="AS988" s="141"/>
      <c r="AT988" s="141"/>
      <c r="AU988" s="141"/>
      <c r="AV988" s="141"/>
      <c r="AW988" s="141"/>
      <c r="AX988" s="141"/>
      <c r="AY988" s="141"/>
      <c r="AZ988" s="141"/>
      <c r="BA988" s="141"/>
      <c r="BB988" s="141"/>
      <c r="BC988" s="141"/>
      <c r="BD988" s="141"/>
      <c r="BE988" s="141"/>
      <c r="BF988" s="141"/>
      <c r="BG988" s="141"/>
      <c r="BH988" s="141"/>
      <c r="BI988" s="141"/>
      <c r="BJ988" s="141"/>
      <c r="BK988" s="141"/>
      <c r="BL988" s="141"/>
      <c r="BM988" s="141"/>
      <c r="BN988" s="141"/>
      <c r="BO988" s="141"/>
    </row>
    <row r="989" ht="13.5" customHeight="1">
      <c r="A989" s="138"/>
      <c r="B989" s="139"/>
      <c r="C989" s="138"/>
      <c r="D989" s="138"/>
      <c r="E989" s="140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  <c r="AH989" s="141"/>
      <c r="AI989" s="141"/>
      <c r="AJ989" s="141"/>
      <c r="AK989" s="141"/>
      <c r="AL989" s="141"/>
      <c r="AM989" s="141"/>
      <c r="AN989" s="141"/>
      <c r="AO989" s="141"/>
      <c r="AP989" s="141"/>
      <c r="AQ989" s="141"/>
      <c r="AR989" s="141"/>
      <c r="AS989" s="141"/>
      <c r="AT989" s="141"/>
      <c r="AU989" s="141"/>
      <c r="AV989" s="141"/>
      <c r="AW989" s="141"/>
      <c r="AX989" s="141"/>
      <c r="AY989" s="141"/>
      <c r="AZ989" s="141"/>
      <c r="BA989" s="141"/>
      <c r="BB989" s="141"/>
      <c r="BC989" s="141"/>
      <c r="BD989" s="141"/>
      <c r="BE989" s="141"/>
      <c r="BF989" s="141"/>
      <c r="BG989" s="141"/>
      <c r="BH989" s="141"/>
      <c r="BI989" s="141"/>
      <c r="BJ989" s="141"/>
      <c r="BK989" s="141"/>
      <c r="BL989" s="141"/>
      <c r="BM989" s="141"/>
      <c r="BN989" s="141"/>
      <c r="BO989" s="141"/>
    </row>
    <row r="990" ht="13.5" customHeight="1">
      <c r="A990" s="138"/>
      <c r="B990" s="139"/>
      <c r="C990" s="138"/>
      <c r="D990" s="138"/>
      <c r="E990" s="140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  <c r="AH990" s="141"/>
      <c r="AI990" s="141"/>
      <c r="AJ990" s="141"/>
      <c r="AK990" s="141"/>
      <c r="AL990" s="141"/>
      <c r="AM990" s="141"/>
      <c r="AN990" s="141"/>
      <c r="AO990" s="141"/>
      <c r="AP990" s="141"/>
      <c r="AQ990" s="141"/>
      <c r="AR990" s="141"/>
      <c r="AS990" s="141"/>
      <c r="AT990" s="141"/>
      <c r="AU990" s="141"/>
      <c r="AV990" s="141"/>
      <c r="AW990" s="141"/>
      <c r="AX990" s="141"/>
      <c r="AY990" s="141"/>
      <c r="AZ990" s="141"/>
      <c r="BA990" s="141"/>
      <c r="BB990" s="141"/>
      <c r="BC990" s="141"/>
      <c r="BD990" s="141"/>
      <c r="BE990" s="141"/>
      <c r="BF990" s="141"/>
      <c r="BG990" s="141"/>
      <c r="BH990" s="141"/>
      <c r="BI990" s="141"/>
      <c r="BJ990" s="141"/>
      <c r="BK990" s="141"/>
      <c r="BL990" s="141"/>
      <c r="BM990" s="141"/>
      <c r="BN990" s="141"/>
      <c r="BO990" s="141"/>
    </row>
    <row r="991" ht="13.5" customHeight="1">
      <c r="A991" s="138"/>
      <c r="B991" s="139"/>
      <c r="C991" s="138"/>
      <c r="D991" s="138"/>
      <c r="E991" s="140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  <c r="AH991" s="141"/>
      <c r="AI991" s="141"/>
      <c r="AJ991" s="141"/>
      <c r="AK991" s="141"/>
      <c r="AL991" s="141"/>
      <c r="AM991" s="141"/>
      <c r="AN991" s="141"/>
      <c r="AO991" s="141"/>
      <c r="AP991" s="141"/>
      <c r="AQ991" s="141"/>
      <c r="AR991" s="141"/>
      <c r="AS991" s="141"/>
      <c r="AT991" s="141"/>
      <c r="AU991" s="141"/>
      <c r="AV991" s="141"/>
      <c r="AW991" s="141"/>
      <c r="AX991" s="141"/>
      <c r="AY991" s="141"/>
      <c r="AZ991" s="141"/>
      <c r="BA991" s="141"/>
      <c r="BB991" s="141"/>
      <c r="BC991" s="141"/>
      <c r="BD991" s="141"/>
      <c r="BE991" s="141"/>
      <c r="BF991" s="141"/>
      <c r="BG991" s="141"/>
      <c r="BH991" s="141"/>
      <c r="BI991" s="141"/>
      <c r="BJ991" s="141"/>
      <c r="BK991" s="141"/>
      <c r="BL991" s="141"/>
      <c r="BM991" s="141"/>
      <c r="BN991" s="141"/>
      <c r="BO991" s="141"/>
    </row>
    <row r="992" ht="13.5" customHeight="1">
      <c r="A992" s="138"/>
      <c r="B992" s="139"/>
      <c r="C992" s="138"/>
      <c r="D992" s="138"/>
      <c r="E992" s="140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  <c r="AH992" s="141"/>
      <c r="AI992" s="141"/>
      <c r="AJ992" s="141"/>
      <c r="AK992" s="141"/>
      <c r="AL992" s="141"/>
      <c r="AM992" s="141"/>
      <c r="AN992" s="141"/>
      <c r="AO992" s="141"/>
      <c r="AP992" s="141"/>
      <c r="AQ992" s="141"/>
      <c r="AR992" s="141"/>
      <c r="AS992" s="141"/>
      <c r="AT992" s="141"/>
      <c r="AU992" s="141"/>
      <c r="AV992" s="141"/>
      <c r="AW992" s="141"/>
      <c r="AX992" s="141"/>
      <c r="AY992" s="141"/>
      <c r="AZ992" s="141"/>
      <c r="BA992" s="141"/>
      <c r="BB992" s="141"/>
      <c r="BC992" s="141"/>
      <c r="BD992" s="141"/>
      <c r="BE992" s="141"/>
      <c r="BF992" s="141"/>
      <c r="BG992" s="141"/>
      <c r="BH992" s="141"/>
      <c r="BI992" s="141"/>
      <c r="BJ992" s="141"/>
      <c r="BK992" s="141"/>
      <c r="BL992" s="141"/>
      <c r="BM992" s="141"/>
      <c r="BN992" s="141"/>
      <c r="BO992" s="141"/>
    </row>
    <row r="993" ht="13.5" customHeight="1">
      <c r="A993" s="138"/>
      <c r="B993" s="139"/>
      <c r="C993" s="138"/>
      <c r="D993" s="138"/>
      <c r="E993" s="140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  <c r="AE993" s="141"/>
      <c r="AF993" s="141"/>
      <c r="AG993" s="141"/>
      <c r="AH993" s="141"/>
      <c r="AI993" s="141"/>
      <c r="AJ993" s="141"/>
      <c r="AK993" s="141"/>
      <c r="AL993" s="141"/>
      <c r="AM993" s="141"/>
      <c r="AN993" s="141"/>
      <c r="AO993" s="141"/>
      <c r="AP993" s="141"/>
      <c r="AQ993" s="141"/>
      <c r="AR993" s="141"/>
      <c r="AS993" s="141"/>
      <c r="AT993" s="141"/>
      <c r="AU993" s="141"/>
      <c r="AV993" s="141"/>
      <c r="AW993" s="141"/>
      <c r="AX993" s="141"/>
      <c r="AY993" s="141"/>
      <c r="AZ993" s="141"/>
      <c r="BA993" s="141"/>
      <c r="BB993" s="141"/>
      <c r="BC993" s="141"/>
      <c r="BD993" s="141"/>
      <c r="BE993" s="141"/>
      <c r="BF993" s="141"/>
      <c r="BG993" s="141"/>
      <c r="BH993" s="141"/>
      <c r="BI993" s="141"/>
      <c r="BJ993" s="141"/>
      <c r="BK993" s="141"/>
      <c r="BL993" s="141"/>
      <c r="BM993" s="141"/>
      <c r="BN993" s="141"/>
      <c r="BO993" s="141"/>
    </row>
  </sheetData>
  <mergeCells count="6">
    <mergeCell ref="B132:F133"/>
    <mergeCell ref="G132:J132"/>
    <mergeCell ref="K132:L132"/>
    <mergeCell ref="M132:M133"/>
    <mergeCell ref="N132:N133"/>
    <mergeCell ref="O132:O1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3D64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3.71"/>
    <col customWidth="1" min="2" max="2" width="34.29"/>
    <col customWidth="1" min="4" max="8" width="18.29"/>
    <col customWidth="1" min="9" max="26" width="8.71"/>
  </cols>
  <sheetData>
    <row r="1" ht="12.0" customHeight="1">
      <c r="A1" s="52"/>
      <c r="B1" s="52"/>
      <c r="C1" s="13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2.0" customHeight="1">
      <c r="A2" s="55"/>
      <c r="B2" s="208" t="s">
        <v>218</v>
      </c>
      <c r="C2" s="209"/>
      <c r="D2" s="210"/>
      <c r="E2" s="210"/>
      <c r="F2" s="210"/>
      <c r="G2" s="210"/>
      <c r="H2" s="211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2.0" customHeight="1">
      <c r="A3" s="55"/>
      <c r="B3" s="212" t="s">
        <v>121</v>
      </c>
      <c r="C3" s="213"/>
      <c r="D3" s="214">
        <v>1.0</v>
      </c>
      <c r="E3" s="214">
        <f t="shared" ref="E3:H3" si="1">D3+1</f>
        <v>2</v>
      </c>
      <c r="F3" s="214">
        <f t="shared" si="1"/>
        <v>3</v>
      </c>
      <c r="G3" s="214">
        <f t="shared" si="1"/>
        <v>4</v>
      </c>
      <c r="H3" s="215">
        <f t="shared" si="1"/>
        <v>5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2.0" customHeight="1">
      <c r="A4" s="55"/>
      <c r="B4" s="212" t="s">
        <v>219</v>
      </c>
      <c r="C4" s="213"/>
      <c r="D4" s="216">
        <f>Model!G5</f>
        <v>46174</v>
      </c>
      <c r="E4" s="216">
        <f t="shared" ref="E4:H4" si="2">D5+1</f>
        <v>46539</v>
      </c>
      <c r="F4" s="216">
        <f t="shared" si="2"/>
        <v>46905</v>
      </c>
      <c r="G4" s="216">
        <f t="shared" si="2"/>
        <v>47270</v>
      </c>
      <c r="H4" s="217">
        <f t="shared" si="2"/>
        <v>47635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2.0" customHeight="1">
      <c r="A5" s="55"/>
      <c r="B5" s="212" t="s">
        <v>220</v>
      </c>
      <c r="C5" s="213"/>
      <c r="D5" s="216">
        <f t="shared" ref="D5:H5" si="3">EOMONTH(D4,11)</f>
        <v>46538</v>
      </c>
      <c r="E5" s="216">
        <f t="shared" si="3"/>
        <v>46904</v>
      </c>
      <c r="F5" s="216">
        <f t="shared" si="3"/>
        <v>47269</v>
      </c>
      <c r="G5" s="216">
        <f t="shared" si="3"/>
        <v>47634</v>
      </c>
      <c r="H5" s="217">
        <f t="shared" si="3"/>
        <v>47999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0" customHeight="1">
      <c r="A6" s="52"/>
      <c r="B6" s="218" t="s">
        <v>221</v>
      </c>
      <c r="C6" s="219"/>
      <c r="D6" s="220"/>
      <c r="E6" s="220"/>
      <c r="F6" s="220"/>
      <c r="G6" s="220"/>
      <c r="H6" s="221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2.0" customHeight="1">
      <c r="A7" s="6"/>
      <c r="B7" s="222" t="s">
        <v>153</v>
      </c>
      <c r="C7" s="13" t="s">
        <v>7</v>
      </c>
      <c r="D7" s="6">
        <f>SUMIFS(Model!$G109:$BN109,Model!$G$2:$BN$2,Summary!D$3)</f>
        <v>12315240000</v>
      </c>
      <c r="E7" s="6">
        <f>SUMIFS(Model!$G109:$BN109,Model!$G$2:$BN$2,Summary!E$3)</f>
        <v>13514445000</v>
      </c>
      <c r="F7" s="6">
        <f>SUMIFS(Model!$G109:$BN109,Model!$G$2:$BN$2,Summary!F$3)</f>
        <v>13458217500</v>
      </c>
      <c r="G7" s="6">
        <f>SUMIFS(Model!$G109:$BN109,Model!$G$2:$BN$2,Summary!G$3)</f>
        <v>13401990000</v>
      </c>
      <c r="H7" s="7">
        <f>SUMIFS(Model!$G109:$BN109,Model!$G$2:$BN$2,Summary!H$3)</f>
        <v>13415220000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52"/>
      <c r="B8" s="223" t="s">
        <v>222</v>
      </c>
      <c r="C8" s="13" t="s">
        <v>7</v>
      </c>
      <c r="D8" s="52">
        <f>SUMIFS(Model!$G110:$BN110,Model!$G$2:$BN$2,Summary!D$3)</f>
        <v>199389600</v>
      </c>
      <c r="E8" s="52">
        <f>SUMIFS(Model!$G110:$BN110,Model!$G$2:$BN$2,Summary!E$3)</f>
        <v>218805300</v>
      </c>
      <c r="F8" s="52">
        <f>SUMIFS(Model!$G110:$BN110,Model!$G$2:$BN$2,Summary!F$3)</f>
        <v>217894950</v>
      </c>
      <c r="G8" s="52">
        <f>SUMIFS(Model!$G110:$BN110,Model!$G$2:$BN$2,Summary!G$3)</f>
        <v>216984600</v>
      </c>
      <c r="H8" s="15">
        <f>SUMIFS(Model!$G110:$BN110,Model!$G$2:$BN$2,Summary!H$3)</f>
        <v>217198800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0" customHeight="1">
      <c r="A9" s="6"/>
      <c r="B9" s="222" t="s">
        <v>173</v>
      </c>
      <c r="C9" s="13" t="s">
        <v>7</v>
      </c>
      <c r="D9" s="6">
        <f t="shared" ref="D9:H9" si="4">D7-D8</f>
        <v>12115850400</v>
      </c>
      <c r="E9" s="6">
        <f t="shared" si="4"/>
        <v>13295639700</v>
      </c>
      <c r="F9" s="6">
        <f t="shared" si="4"/>
        <v>13240322550</v>
      </c>
      <c r="G9" s="6">
        <f t="shared" si="4"/>
        <v>13185005400</v>
      </c>
      <c r="H9" s="7">
        <f t="shared" si="4"/>
        <v>13198021200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224"/>
      <c r="B10" s="223" t="s">
        <v>98</v>
      </c>
      <c r="C10" s="13" t="s">
        <v>7</v>
      </c>
      <c r="D10" s="52">
        <f>SUMIFS(Model!$G112:$BN112,Model!$G$2:$BN$2,Summary!D$3)</f>
        <v>3366165600</v>
      </c>
      <c r="E10" s="52">
        <f>SUMIFS(Model!$G112:$BN112,Model!$G$2:$BN$2,Summary!E$3)</f>
        <v>3693948300</v>
      </c>
      <c r="F10" s="52">
        <f>SUMIFS(Model!$G112:$BN112,Model!$G$2:$BN$2,Summary!F$3)</f>
        <v>3678579450</v>
      </c>
      <c r="G10" s="52">
        <f>SUMIFS(Model!$G112:$BN112,Model!$G$2:$BN$2,Summary!G$3)</f>
        <v>3663210600</v>
      </c>
      <c r="H10" s="15">
        <f>SUMIFS(Model!$G112:$BN112,Model!$G$2:$BN$2,Summary!H$3)</f>
        <v>3666826800</v>
      </c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 ht="12.0" customHeight="1">
      <c r="A11" s="6"/>
      <c r="B11" s="225" t="s">
        <v>174</v>
      </c>
      <c r="C11" s="69" t="s">
        <v>7</v>
      </c>
      <c r="D11" s="25">
        <f t="shared" ref="D11:H11" si="5">D9-D10</f>
        <v>8749684800</v>
      </c>
      <c r="E11" s="25">
        <f t="shared" si="5"/>
        <v>9601691400</v>
      </c>
      <c r="F11" s="25">
        <f t="shared" si="5"/>
        <v>9561743100</v>
      </c>
      <c r="G11" s="25">
        <f t="shared" si="5"/>
        <v>9521794800</v>
      </c>
      <c r="H11" s="26">
        <f t="shared" si="5"/>
        <v>9531194400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52"/>
      <c r="B12" s="226" t="s">
        <v>175</v>
      </c>
      <c r="C12" s="85" t="s">
        <v>58</v>
      </c>
      <c r="D12" s="227">
        <f t="shared" ref="D12:H12" si="6">IFERROR(D11/D$7,0)</f>
        <v>0.7104761905</v>
      </c>
      <c r="E12" s="227">
        <f t="shared" si="6"/>
        <v>0.7104761905</v>
      </c>
      <c r="F12" s="227">
        <f t="shared" si="6"/>
        <v>0.7104761905</v>
      </c>
      <c r="G12" s="227">
        <f t="shared" si="6"/>
        <v>0.7104761905</v>
      </c>
      <c r="H12" s="228">
        <f t="shared" si="6"/>
        <v>0.7104761905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2.0" customHeight="1">
      <c r="A13" s="52"/>
      <c r="B13" s="229" t="s">
        <v>158</v>
      </c>
      <c r="C13" s="69" t="s">
        <v>7</v>
      </c>
      <c r="D13" s="71">
        <f>SUMIFS(Model!$G115:$BN115,Model!$G$2:$BN$2,Summary!D$3)</f>
        <v>3807850215</v>
      </c>
      <c r="E13" s="71">
        <f>SUMIFS(Model!$G115:$BN115,Model!$G$2:$BN$2,Summary!E$3)</f>
        <v>3807850215</v>
      </c>
      <c r="F13" s="71">
        <f>SUMIFS(Model!$G115:$BN115,Model!$G$2:$BN$2,Summary!F$3)</f>
        <v>3807850215</v>
      </c>
      <c r="G13" s="71">
        <f>SUMIFS(Model!$G115:$BN115,Model!$G$2:$BN$2,Summary!G$3)</f>
        <v>3807850215</v>
      </c>
      <c r="H13" s="72">
        <f>SUMIFS(Model!$G115:$BN115,Model!$G$2:$BN$2,Summary!H$3)</f>
        <v>3807850215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2.0" customHeight="1">
      <c r="A14" s="52"/>
      <c r="B14" s="223" t="s">
        <v>159</v>
      </c>
      <c r="C14" s="13" t="s">
        <v>7</v>
      </c>
      <c r="D14" s="52">
        <f>SUMIFS(Model!$G116:$BN116,Model!$G$2:$BN$2,Summary!D$3)</f>
        <v>900000000</v>
      </c>
      <c r="E14" s="52">
        <f>SUMIFS(Model!$G116:$BN116,Model!$G$2:$BN$2,Summary!E$3)</f>
        <v>900000000</v>
      </c>
      <c r="F14" s="52">
        <f>SUMIFS(Model!$G116:$BN116,Model!$G$2:$BN$2,Summary!F$3)</f>
        <v>972000000</v>
      </c>
      <c r="G14" s="52">
        <f>SUMIFS(Model!$G116:$BN116,Model!$G$2:$BN$2,Summary!G$3)</f>
        <v>972000000</v>
      </c>
      <c r="H14" s="15">
        <f>SUMIFS(Model!$G116:$BN116,Model!$G$2:$BN$2,Summary!H$3)</f>
        <v>1049760000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2.0" customHeight="1">
      <c r="A15" s="224"/>
      <c r="B15" s="223" t="s">
        <v>223</v>
      </c>
      <c r="C15" s="13" t="s">
        <v>7</v>
      </c>
      <c r="D15" s="52">
        <f>SUMIFS(Model!$G117:$BN117,Model!$G$2:$BN$2,Summary!D$3)</f>
        <v>900000000</v>
      </c>
      <c r="E15" s="52">
        <f>SUMIFS(Model!$G117:$BN117,Model!$G$2:$BN$2,Summary!E$3)</f>
        <v>936000000</v>
      </c>
      <c r="F15" s="52">
        <f>SUMIFS(Model!$G117:$BN117,Model!$G$2:$BN$2,Summary!F$3)</f>
        <v>973440000</v>
      </c>
      <c r="G15" s="52">
        <f>SUMIFS(Model!$G117:$BN117,Model!$G$2:$BN$2,Summary!G$3)</f>
        <v>1012377600</v>
      </c>
      <c r="H15" s="15">
        <f>SUMIFS(Model!$G117:$BN117,Model!$G$2:$BN$2,Summary!H$3)</f>
        <v>1052872704</v>
      </c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 ht="12.0" customHeight="1">
      <c r="A16" s="224"/>
      <c r="B16" s="223" t="s">
        <v>117</v>
      </c>
      <c r="C16" s="13" t="s">
        <v>7</v>
      </c>
      <c r="D16" s="52">
        <f>SUMIFS(Model!$G118:$BN118,Model!$G$2:$BN$2,Summary!D$3)</f>
        <v>586440000</v>
      </c>
      <c r="E16" s="52">
        <f>SUMIFS(Model!$G118:$BN118,Model!$G$2:$BN$2,Summary!E$3)</f>
        <v>643545000</v>
      </c>
      <c r="F16" s="52">
        <f>SUMIFS(Model!$G118:$BN118,Model!$G$2:$BN$2,Summary!F$3)</f>
        <v>640867500</v>
      </c>
      <c r="G16" s="52">
        <f>SUMIFS(Model!$G118:$BN118,Model!$G$2:$BN$2,Summary!G$3)</f>
        <v>638190000</v>
      </c>
      <c r="H16" s="15">
        <f>SUMIFS(Model!$G118:$BN118,Model!$G$2:$BN$2,Summary!H$3)</f>
        <v>638820000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 ht="12.0" customHeight="1">
      <c r="A17" s="224"/>
      <c r="B17" s="230" t="s">
        <v>118</v>
      </c>
      <c r="C17" s="85" t="s">
        <v>7</v>
      </c>
      <c r="D17" s="91">
        <f>SUMIFS(Model!$G119:$BN119,Model!$G$2:$BN$2,Summary!D$3)</f>
        <v>117288000</v>
      </c>
      <c r="E17" s="91">
        <f>SUMIFS(Model!$G119:$BN119,Model!$G$2:$BN$2,Summary!E$3)</f>
        <v>128709000</v>
      </c>
      <c r="F17" s="91">
        <f>SUMIFS(Model!$G119:$BN119,Model!$G$2:$BN$2,Summary!F$3)</f>
        <v>128173500</v>
      </c>
      <c r="G17" s="91">
        <f>SUMIFS(Model!$G119:$BN119,Model!$G$2:$BN$2,Summary!G$3)</f>
        <v>127638000</v>
      </c>
      <c r="H17" s="231">
        <f>SUMIFS(Model!$G119:$BN119,Model!$G$2:$BN$2,Summary!H$3)</f>
        <v>127764000</v>
      </c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 ht="12.0" customHeight="1">
      <c r="A18" s="6"/>
      <c r="B18" s="222" t="s">
        <v>177</v>
      </c>
      <c r="C18" s="13" t="s">
        <v>7</v>
      </c>
      <c r="D18" s="6">
        <f t="shared" ref="D18:H18" si="7">D11-SUM(D13:D17)</f>
        <v>2438106585</v>
      </c>
      <c r="E18" s="6">
        <f t="shared" si="7"/>
        <v>3185587185</v>
      </c>
      <c r="F18" s="6">
        <f t="shared" si="7"/>
        <v>3039411885</v>
      </c>
      <c r="G18" s="6">
        <f t="shared" si="7"/>
        <v>2963738985</v>
      </c>
      <c r="H18" s="7">
        <f t="shared" si="7"/>
        <v>2854127481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52"/>
      <c r="B19" s="232" t="s">
        <v>178</v>
      </c>
      <c r="C19" s="13" t="s">
        <v>58</v>
      </c>
      <c r="D19" s="233">
        <f t="shared" ref="D19:H19" si="8">IFERROR(D18/D$7,0)</f>
        <v>0.197974752</v>
      </c>
      <c r="E19" s="233">
        <f t="shared" si="8"/>
        <v>0.2357172037</v>
      </c>
      <c r="F19" s="233">
        <f t="shared" si="8"/>
        <v>0.2258405977</v>
      </c>
      <c r="G19" s="233">
        <f t="shared" si="8"/>
        <v>0.2211417099</v>
      </c>
      <c r="H19" s="234">
        <f t="shared" si="8"/>
        <v>0.2127529389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2.0" customHeight="1">
      <c r="A20" s="224"/>
      <c r="B20" s="223" t="s">
        <v>165</v>
      </c>
      <c r="C20" s="13" t="s">
        <v>7</v>
      </c>
      <c r="D20" s="52">
        <f>SUMIFS(Model!$G122:$BN122,Model!$G$2:$BN$2,Summary!D$3)</f>
        <v>812368340.5</v>
      </c>
      <c r="E20" s="52">
        <f>SUMIFS(Model!$G122:$BN122,Model!$G$2:$BN$2,Summary!E$3)</f>
        <v>812368340.5</v>
      </c>
      <c r="F20" s="52">
        <f>SUMIFS(Model!$G122:$BN122,Model!$G$2:$BN$2,Summary!F$3)</f>
        <v>812368340.5</v>
      </c>
      <c r="G20" s="52">
        <f>SUMIFS(Model!$G122:$BN122,Model!$G$2:$BN$2,Summary!G$3)</f>
        <v>812368340.5</v>
      </c>
      <c r="H20" s="15">
        <f>SUMIFS(Model!$G122:$BN122,Model!$G$2:$BN$2,Summary!H$3)</f>
        <v>812368340.5</v>
      </c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 ht="12.0" customHeight="1">
      <c r="A21" s="6"/>
      <c r="B21" s="225" t="s">
        <v>179</v>
      </c>
      <c r="C21" s="69" t="s">
        <v>7</v>
      </c>
      <c r="D21" s="25">
        <f t="shared" ref="D21:H21" si="9">D18-D20</f>
        <v>1625738244</v>
      </c>
      <c r="E21" s="25">
        <f t="shared" si="9"/>
        <v>2373218844</v>
      </c>
      <c r="F21" s="25">
        <f t="shared" si="9"/>
        <v>2227043544</v>
      </c>
      <c r="G21" s="25">
        <f t="shared" si="9"/>
        <v>2151370644</v>
      </c>
      <c r="H21" s="26">
        <f t="shared" si="9"/>
        <v>2041759140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52"/>
      <c r="B22" s="232" t="s">
        <v>180</v>
      </c>
      <c r="C22" s="13" t="s">
        <v>58</v>
      </c>
      <c r="D22" s="233">
        <f t="shared" ref="D22:H22" si="10">IFERROR(D21/D$7,0)</f>
        <v>0.132010277</v>
      </c>
      <c r="E22" s="233">
        <f t="shared" si="10"/>
        <v>0.1756060899</v>
      </c>
      <c r="F22" s="233">
        <f t="shared" si="10"/>
        <v>0.1654783439</v>
      </c>
      <c r="G22" s="233">
        <f t="shared" si="10"/>
        <v>0.1605262087</v>
      </c>
      <c r="H22" s="234">
        <f t="shared" si="10"/>
        <v>0.1521972163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2.0" customHeight="1">
      <c r="A23" s="224"/>
      <c r="B23" s="230" t="s">
        <v>61</v>
      </c>
      <c r="C23" s="85" t="s">
        <v>7</v>
      </c>
      <c r="D23" s="91">
        <f>SUMIFS(Model!$G125:$BN125,Model!$G$2:$BN$2,Summary!D$3)</f>
        <v>0</v>
      </c>
      <c r="E23" s="91">
        <f>SUMIFS(Model!$G125:$BN125,Model!$G$2:$BN$2,Summary!E$3)</f>
        <v>0</v>
      </c>
      <c r="F23" s="91">
        <f>SUMIFS(Model!$G125:$BN125,Model!$G$2:$BN$2,Summary!F$3)</f>
        <v>0</v>
      </c>
      <c r="G23" s="91">
        <f>SUMIFS(Model!$G125:$BN125,Model!$G$2:$BN$2,Summary!G$3)</f>
        <v>0</v>
      </c>
      <c r="H23" s="231">
        <f>SUMIFS(Model!$G125:$BN125,Model!$G$2:$BN$2,Summary!H$3)</f>
        <v>0</v>
      </c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 ht="12.0" customHeight="1">
      <c r="A24" s="6"/>
      <c r="B24" s="222" t="s">
        <v>181</v>
      </c>
      <c r="C24" s="13" t="s">
        <v>7</v>
      </c>
      <c r="D24" s="6">
        <f t="shared" ref="D24:H24" si="11">D21-D23</f>
        <v>1625738244</v>
      </c>
      <c r="E24" s="6">
        <f t="shared" si="11"/>
        <v>2373218844</v>
      </c>
      <c r="F24" s="6">
        <f t="shared" si="11"/>
        <v>2227043544</v>
      </c>
      <c r="G24" s="6">
        <f t="shared" si="11"/>
        <v>2151370644</v>
      </c>
      <c r="H24" s="7">
        <f t="shared" si="11"/>
        <v>2041759140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52"/>
      <c r="B25" s="232" t="s">
        <v>182</v>
      </c>
      <c r="C25" s="13" t="s">
        <v>58</v>
      </c>
      <c r="D25" s="233">
        <f t="shared" ref="D25:H25" si="12">IFERROR(D24/D$7,0)</f>
        <v>0.132010277</v>
      </c>
      <c r="E25" s="233">
        <f t="shared" si="12"/>
        <v>0.1756060899</v>
      </c>
      <c r="F25" s="233">
        <f t="shared" si="12"/>
        <v>0.1654783439</v>
      </c>
      <c r="G25" s="233">
        <f t="shared" si="12"/>
        <v>0.1605262087</v>
      </c>
      <c r="H25" s="234">
        <f t="shared" si="12"/>
        <v>0.1521972163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2.0" hidden="1" customHeight="1" outlineLevel="1">
      <c r="A26" s="52"/>
      <c r="B26" s="223" t="s">
        <v>224</v>
      </c>
      <c r="C26" s="13" t="s">
        <v>7</v>
      </c>
      <c r="D26" s="52">
        <f>D24</f>
        <v>1625738244</v>
      </c>
      <c r="E26" s="52">
        <f t="shared" ref="E26:H26" si="13">D26+E24</f>
        <v>3998957088</v>
      </c>
      <c r="F26" s="52">
        <f t="shared" si="13"/>
        <v>6226000632</v>
      </c>
      <c r="G26" s="52">
        <f t="shared" si="13"/>
        <v>8377371276</v>
      </c>
      <c r="H26" s="15">
        <f t="shared" si="13"/>
        <v>10419130417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2.0" customHeight="1" collapsed="1">
      <c r="A27" s="224"/>
      <c r="B27" s="223" t="s">
        <v>225</v>
      </c>
      <c r="C27" s="13" t="s">
        <v>7</v>
      </c>
      <c r="D27" s="52">
        <f t="shared" ref="D27:H27" si="14">IF(OR(D24&lt;0,D26&lt;0),0,MIN(D24,D26)*20%)</f>
        <v>325147648.8</v>
      </c>
      <c r="E27" s="52">
        <f t="shared" si="14"/>
        <v>474643768.8</v>
      </c>
      <c r="F27" s="52">
        <f t="shared" si="14"/>
        <v>445408708.8</v>
      </c>
      <c r="G27" s="52">
        <f t="shared" si="14"/>
        <v>430274128.8</v>
      </c>
      <c r="H27" s="15">
        <f t="shared" si="14"/>
        <v>408351828</v>
      </c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 ht="12.0" customHeight="1">
      <c r="A28" s="6"/>
      <c r="B28" s="225" t="s">
        <v>226</v>
      </c>
      <c r="C28" s="69" t="s">
        <v>7</v>
      </c>
      <c r="D28" s="25">
        <f t="shared" ref="D28:H28" si="15">D24-D27</f>
        <v>1300590595</v>
      </c>
      <c r="E28" s="25">
        <f t="shared" si="15"/>
        <v>1898575075</v>
      </c>
      <c r="F28" s="25">
        <f t="shared" si="15"/>
        <v>1781634835</v>
      </c>
      <c r="G28" s="25">
        <f t="shared" si="15"/>
        <v>1721096515</v>
      </c>
      <c r="H28" s="26">
        <f t="shared" si="15"/>
        <v>1633407312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52"/>
      <c r="B29" s="226" t="s">
        <v>227</v>
      </c>
      <c r="C29" s="85" t="s">
        <v>58</v>
      </c>
      <c r="D29" s="227">
        <f t="shared" ref="D29:H29" si="16">IFERROR(D28/D$7,0)</f>
        <v>0.1056082216</v>
      </c>
      <c r="E29" s="227">
        <f t="shared" si="16"/>
        <v>0.1404848719</v>
      </c>
      <c r="F29" s="227">
        <f t="shared" si="16"/>
        <v>0.1323826751</v>
      </c>
      <c r="G29" s="227">
        <f t="shared" si="16"/>
        <v>0.128420967</v>
      </c>
      <c r="H29" s="228">
        <f t="shared" si="16"/>
        <v>0.121757773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2.0" customHeight="1">
      <c r="A30" s="52"/>
      <c r="B30" s="52"/>
      <c r="C30" s="13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2.0" customHeight="1">
      <c r="A31" s="52"/>
      <c r="B31" s="52"/>
      <c r="C31" s="13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2.0" customHeight="1">
      <c r="A32" s="52"/>
      <c r="B32" s="218" t="s">
        <v>228</v>
      </c>
      <c r="C32" s="219"/>
      <c r="D32" s="220"/>
      <c r="E32" s="220"/>
      <c r="F32" s="220"/>
      <c r="G32" s="220"/>
      <c r="H32" s="221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2.0" customHeight="1">
      <c r="A33" s="52"/>
      <c r="B33" s="235" t="s">
        <v>229</v>
      </c>
      <c r="C33" s="13" t="s">
        <v>54</v>
      </c>
      <c r="D33" s="52">
        <f>SUMIFS(Model!G41:BN41,Model!G2:BN2,Summary!D3)/SUMIFS(Model!G17:BN17,Model!G2:BN2,Summary!D3)</f>
        <v>71.06575342</v>
      </c>
      <c r="E33" s="52">
        <f>SUMIFS(Model!H41:BP41,Model!H2:BP2,Summary!E3)/SUMIFS(Model!H17:BP17,Model!H2:BP2,Summary!E3)</f>
        <v>77.80327869</v>
      </c>
      <c r="F33" s="52">
        <f>SUMIFS(Model!I41:BQ41,Model!I2:BQ2,Summary!F3)/SUMIFS(Model!I17:BQ17,Model!I2:BQ2,Summary!F3)</f>
        <v>77.70958904</v>
      </c>
      <c r="G33" s="52">
        <f>SUMIFS(Model!J41:BR41,Model!J2:BR2,Summary!G3)/SUMIFS(Model!J17:BR17,Model!J2:BR2,Summary!G3)</f>
        <v>77.40273973</v>
      </c>
      <c r="H33" s="15">
        <f>SUMIFS(Model!K41:BS41,Model!K2:BS2,Summary!H3)/SUMIFS(Model!K17:BS17,Model!K2:BS2,Summary!H3)</f>
        <v>77.47945205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2.0" customHeight="1">
      <c r="A34" s="52"/>
      <c r="B34" s="235" t="s">
        <v>230</v>
      </c>
      <c r="C34" s="13" t="s">
        <v>58</v>
      </c>
      <c r="D34" s="77">
        <f>D33/Assumption!$G$20</f>
        <v>0.947543379</v>
      </c>
      <c r="E34" s="77">
        <f>E33/Assumption!$G$20</f>
        <v>1.037377049</v>
      </c>
      <c r="F34" s="77">
        <f>F33/Assumption!$G$20</f>
        <v>1.036127854</v>
      </c>
      <c r="G34" s="77">
        <f>G33/Assumption!$G$20</f>
        <v>1.03203653</v>
      </c>
      <c r="H34" s="236">
        <f>H33/Assumption!$G$20</f>
        <v>1.033059361</v>
      </c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2.0" customHeight="1">
      <c r="A35" s="52"/>
      <c r="B35" s="235" t="s">
        <v>231</v>
      </c>
      <c r="C35" s="13" t="s">
        <v>7</v>
      </c>
      <c r="D35" s="52">
        <f>D7/SUMIFS(Model!G41:BN41,Model!G2:BN2,Summary!D3)</f>
        <v>474776.9768</v>
      </c>
      <c r="E35" s="52">
        <f>E7/SUMIFS(Model!H41:BP41,Model!H2:BP2,Summary!E3)</f>
        <v>474590.708</v>
      </c>
      <c r="F35" s="52">
        <f>F7/SUMIFS(Model!I41:BQ41,Model!I2:BQ2,Summary!F3)</f>
        <v>474482.3544</v>
      </c>
      <c r="G35" s="52">
        <f>G7/SUMIFS(Model!J41:BR41,Model!J2:BR2,Summary!G3)</f>
        <v>474373.1417</v>
      </c>
      <c r="H35" s="15">
        <f>H7/SUMIFS(Model!K41:BS41,Model!K2:BS2,Summary!H3)</f>
        <v>474371.2871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2.0" customHeight="1">
      <c r="A36" s="52"/>
      <c r="B36" s="237" t="s">
        <v>232</v>
      </c>
      <c r="C36" s="85" t="s">
        <v>58</v>
      </c>
      <c r="D36" s="91"/>
      <c r="E36" s="238">
        <f t="shared" ref="E36:H36" si="17">E7/D7-1</f>
        <v>0.09737569061</v>
      </c>
      <c r="F36" s="238">
        <f t="shared" si="17"/>
        <v>-0.004160548213</v>
      </c>
      <c r="G36" s="238">
        <f t="shared" si="17"/>
        <v>-0.004177930696</v>
      </c>
      <c r="H36" s="239">
        <f t="shared" si="17"/>
        <v>0.0009871668312</v>
      </c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2.0" customHeight="1">
      <c r="A37" s="52"/>
      <c r="B37" s="12"/>
      <c r="C37" s="13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2.0" customHeight="1">
      <c r="A38" s="52"/>
      <c r="B38" s="12"/>
      <c r="C38" s="1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2.0" customHeight="1">
      <c r="A39" s="52"/>
      <c r="B39" s="12"/>
      <c r="C39" s="13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2.0" customHeight="1">
      <c r="A40" s="52"/>
      <c r="B40" s="12"/>
      <c r="C40" s="13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2.0" customHeight="1">
      <c r="A41" s="52"/>
      <c r="B41" s="12"/>
      <c r="C41" s="13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2.0" customHeight="1">
      <c r="A42" s="52"/>
      <c r="B42" s="12"/>
      <c r="C42" s="13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2.0" customHeight="1">
      <c r="A43" s="52"/>
      <c r="B43" s="12"/>
      <c r="C43" s="13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2.0" customHeight="1">
      <c r="A44" s="52"/>
      <c r="B44" s="12"/>
      <c r="C44" s="13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2.0" customHeight="1">
      <c r="A45" s="52"/>
      <c r="B45" s="12"/>
      <c r="C45" s="1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2.0" customHeight="1">
      <c r="A46" s="52"/>
      <c r="B46" s="12"/>
      <c r="C46" s="1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2.0" customHeight="1">
      <c r="A47" s="52"/>
      <c r="B47" s="12"/>
      <c r="C47" s="1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2.0" customHeight="1">
      <c r="A48" s="52"/>
      <c r="B48" s="12"/>
      <c r="C48" s="1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2.0" customHeight="1">
      <c r="A49" s="52"/>
      <c r="B49" s="12"/>
      <c r="C49" s="1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2.0" customHeight="1">
      <c r="A50" s="52"/>
      <c r="B50" s="12"/>
      <c r="C50" s="1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2.0" customHeight="1">
      <c r="A51" s="52"/>
      <c r="B51" s="12"/>
      <c r="C51" s="1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2.0" customHeight="1">
      <c r="A52" s="52"/>
      <c r="B52" s="12"/>
      <c r="C52" s="1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2.0" customHeight="1">
      <c r="A53" s="52"/>
      <c r="B53" s="12"/>
      <c r="C53" s="1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2.0" customHeight="1">
      <c r="A54" s="52"/>
      <c r="B54" s="12"/>
      <c r="C54" s="1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2.0" customHeight="1">
      <c r="A55" s="52"/>
      <c r="B55" s="12"/>
      <c r="C55" s="1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2.0" customHeight="1">
      <c r="A56" s="52"/>
      <c r="B56" s="12"/>
      <c r="C56" s="1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2.0" customHeight="1">
      <c r="A57" s="52"/>
      <c r="B57" s="12"/>
      <c r="C57" s="1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2.0" customHeight="1">
      <c r="A58" s="52"/>
      <c r="B58" s="12"/>
      <c r="C58" s="1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2.0" customHeight="1">
      <c r="A59" s="52"/>
      <c r="B59" s="12"/>
      <c r="C59" s="1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2.0" customHeight="1">
      <c r="A60" s="52"/>
      <c r="B60" s="12"/>
      <c r="C60" s="1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2.0" customHeight="1">
      <c r="A61" s="52"/>
      <c r="B61" s="12"/>
      <c r="C61" s="1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2.0" customHeight="1">
      <c r="A62" s="52"/>
      <c r="B62" s="12"/>
      <c r="C62" s="1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2.0" customHeight="1">
      <c r="A63" s="52"/>
      <c r="B63" s="12"/>
      <c r="C63" s="1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2.0" customHeight="1">
      <c r="A64" s="52"/>
      <c r="B64" s="12"/>
      <c r="C64" s="1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2.0" customHeight="1">
      <c r="A65" s="52"/>
      <c r="B65" s="12"/>
      <c r="C65" s="1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2.0" customHeight="1">
      <c r="A66" s="52"/>
      <c r="B66" s="12"/>
      <c r="C66" s="1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2.0" customHeight="1">
      <c r="A67" s="52"/>
      <c r="B67" s="12"/>
      <c r="C67" s="1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2.0" customHeight="1">
      <c r="A68" s="52"/>
      <c r="B68" s="12"/>
      <c r="C68" s="1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2.0" customHeight="1">
      <c r="A69" s="52"/>
      <c r="B69" s="12"/>
      <c r="C69" s="1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2.0" customHeight="1">
      <c r="A70" s="52"/>
      <c r="B70" s="12"/>
      <c r="C70" s="1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2.0" customHeight="1">
      <c r="A71" s="52"/>
      <c r="B71" s="12"/>
      <c r="C71" s="1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2.0" customHeight="1">
      <c r="A72" s="52"/>
      <c r="B72" s="12"/>
      <c r="C72" s="1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2.0" customHeight="1">
      <c r="A73" s="52"/>
      <c r="B73" s="12"/>
      <c r="C73" s="1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2.0" customHeight="1">
      <c r="A74" s="52"/>
      <c r="B74" s="12"/>
      <c r="C74" s="1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2.0" customHeight="1">
      <c r="A75" s="52"/>
      <c r="B75" s="12"/>
      <c r="C75" s="1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2.0" customHeight="1">
      <c r="A76" s="52"/>
      <c r="B76" s="12"/>
      <c r="C76" s="1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2.0" customHeight="1">
      <c r="A77" s="52"/>
      <c r="B77" s="12"/>
      <c r="C77" s="1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2.0" customHeight="1">
      <c r="A78" s="52"/>
      <c r="B78" s="12"/>
      <c r="C78" s="1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2.0" customHeight="1">
      <c r="A79" s="52"/>
      <c r="B79" s="12"/>
      <c r="C79" s="1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2.0" customHeight="1">
      <c r="A80" s="52"/>
      <c r="B80" s="12"/>
      <c r="C80" s="1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2.0" customHeight="1">
      <c r="A81" s="52"/>
      <c r="B81" s="12"/>
      <c r="C81" s="1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2.0" customHeight="1">
      <c r="A82" s="52"/>
      <c r="B82" s="12"/>
      <c r="C82" s="1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2.0" customHeight="1">
      <c r="A83" s="52"/>
      <c r="B83" s="12"/>
      <c r="C83" s="1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2.0" customHeight="1">
      <c r="A84" s="52"/>
      <c r="B84" s="12"/>
      <c r="C84" s="1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2.0" customHeight="1">
      <c r="A85" s="52"/>
      <c r="B85" s="12"/>
      <c r="C85" s="1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2.0" customHeight="1">
      <c r="A86" s="52"/>
      <c r="B86" s="12"/>
      <c r="C86" s="1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2.0" customHeight="1">
      <c r="A87" s="52"/>
      <c r="B87" s="12"/>
      <c r="C87" s="1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2.0" customHeight="1">
      <c r="A88" s="52"/>
      <c r="B88" s="12"/>
      <c r="C88" s="1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2.0" customHeight="1">
      <c r="A89" s="52"/>
      <c r="B89" s="12"/>
      <c r="C89" s="1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2.0" customHeight="1">
      <c r="A90" s="52"/>
      <c r="B90" s="12"/>
      <c r="C90" s="1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2.0" customHeight="1">
      <c r="A91" s="52"/>
      <c r="B91" s="12"/>
      <c r="C91" s="1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2.0" customHeight="1">
      <c r="A92" s="52"/>
      <c r="B92" s="12"/>
      <c r="C92" s="1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2.0" customHeight="1">
      <c r="A93" s="52"/>
      <c r="B93" s="12"/>
      <c r="C93" s="1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2.0" customHeight="1">
      <c r="A94" s="52"/>
      <c r="B94" s="12"/>
      <c r="C94" s="1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2.0" customHeight="1">
      <c r="A95" s="52"/>
      <c r="B95" s="12"/>
      <c r="C95" s="1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2.0" customHeight="1">
      <c r="A96" s="52"/>
      <c r="B96" s="12"/>
      <c r="C96" s="1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2.0" customHeight="1">
      <c r="A97" s="52"/>
      <c r="B97" s="12"/>
      <c r="C97" s="1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2.0" customHeight="1">
      <c r="A98" s="52"/>
      <c r="B98" s="12"/>
      <c r="C98" s="1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2.0" customHeight="1">
      <c r="A99" s="52"/>
      <c r="B99" s="12"/>
      <c r="C99" s="1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2.0" customHeight="1">
      <c r="A100" s="52"/>
      <c r="B100" s="12"/>
      <c r="C100" s="1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2.0" customHeight="1">
      <c r="A101" s="52"/>
      <c r="B101" s="12"/>
      <c r="C101" s="1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2.0" customHeight="1">
      <c r="A102" s="52"/>
      <c r="B102" s="12"/>
      <c r="C102" s="1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2.0" customHeight="1">
      <c r="A103" s="52"/>
      <c r="B103" s="12"/>
      <c r="C103" s="1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2.0" customHeight="1">
      <c r="A104" s="52"/>
      <c r="B104" s="12"/>
      <c r="C104" s="1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2.0" customHeight="1">
      <c r="A105" s="52"/>
      <c r="B105" s="12"/>
      <c r="C105" s="1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2.0" customHeight="1">
      <c r="A106" s="52"/>
      <c r="B106" s="12"/>
      <c r="C106" s="1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2.0" customHeight="1">
      <c r="A107" s="52"/>
      <c r="B107" s="12"/>
      <c r="C107" s="1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2.0" customHeight="1">
      <c r="A108" s="52"/>
      <c r="B108" s="12"/>
      <c r="C108" s="1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2.0" customHeight="1">
      <c r="A109" s="52"/>
      <c r="B109" s="12"/>
      <c r="C109" s="1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2.0" customHeight="1">
      <c r="A110" s="52"/>
      <c r="B110" s="12"/>
      <c r="C110" s="1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2.0" customHeight="1">
      <c r="A111" s="52"/>
      <c r="B111" s="12"/>
      <c r="C111" s="1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2.0" customHeight="1">
      <c r="A112" s="52"/>
      <c r="B112" s="12"/>
      <c r="C112" s="1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2.0" customHeight="1">
      <c r="A113" s="52"/>
      <c r="B113" s="12"/>
      <c r="C113" s="1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2.0" customHeight="1">
      <c r="A114" s="52"/>
      <c r="B114" s="12"/>
      <c r="C114" s="1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2.0" customHeight="1">
      <c r="A115" s="52"/>
      <c r="B115" s="12"/>
      <c r="C115" s="1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2.0" customHeight="1">
      <c r="A116" s="52"/>
      <c r="B116" s="12"/>
      <c r="C116" s="1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2.0" customHeight="1">
      <c r="A117" s="52"/>
      <c r="B117" s="12"/>
      <c r="C117" s="1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2.0" customHeight="1">
      <c r="A118" s="52"/>
      <c r="B118" s="12"/>
      <c r="C118" s="1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2.0" customHeight="1">
      <c r="A119" s="52"/>
      <c r="B119" s="12"/>
      <c r="C119" s="1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2.0" customHeight="1">
      <c r="A120" s="52"/>
      <c r="B120" s="12"/>
      <c r="C120" s="1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2.0" customHeight="1">
      <c r="A121" s="52"/>
      <c r="B121" s="12"/>
      <c r="C121" s="1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2.0" customHeight="1">
      <c r="A122" s="52"/>
      <c r="B122" s="12"/>
      <c r="C122" s="1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2.0" customHeight="1">
      <c r="A123" s="52"/>
      <c r="B123" s="12"/>
      <c r="C123" s="1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2.0" customHeight="1">
      <c r="A124" s="52"/>
      <c r="B124" s="12"/>
      <c r="C124" s="1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2.0" customHeight="1">
      <c r="A125" s="52"/>
      <c r="B125" s="12"/>
      <c r="C125" s="1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2.0" customHeight="1">
      <c r="A126" s="52"/>
      <c r="B126" s="12"/>
      <c r="C126" s="1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2.0" customHeight="1">
      <c r="A127" s="52"/>
      <c r="B127" s="12"/>
      <c r="C127" s="1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2.0" customHeight="1">
      <c r="A128" s="52"/>
      <c r="B128" s="12"/>
      <c r="C128" s="1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2.0" customHeight="1">
      <c r="A129" s="52"/>
      <c r="B129" s="12"/>
      <c r="C129" s="1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2.0" customHeight="1">
      <c r="A130" s="52"/>
      <c r="B130" s="12"/>
      <c r="C130" s="1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2.0" customHeight="1">
      <c r="A131" s="52"/>
      <c r="B131" s="12"/>
      <c r="C131" s="1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2.0" customHeight="1">
      <c r="A132" s="52"/>
      <c r="B132" s="12"/>
      <c r="C132" s="1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2.0" customHeight="1">
      <c r="A133" s="52"/>
      <c r="B133" s="12"/>
      <c r="C133" s="1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2.0" customHeight="1">
      <c r="A134" s="52"/>
      <c r="B134" s="12"/>
      <c r="C134" s="1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2.0" customHeight="1">
      <c r="A135" s="52"/>
      <c r="B135" s="12"/>
      <c r="C135" s="1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2.0" customHeight="1">
      <c r="A136" s="52"/>
      <c r="B136" s="12"/>
      <c r="C136" s="1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2.0" customHeight="1">
      <c r="A137" s="52"/>
      <c r="B137" s="12"/>
      <c r="C137" s="1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2.0" customHeight="1">
      <c r="A138" s="52"/>
      <c r="B138" s="12"/>
      <c r="C138" s="1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2.0" customHeight="1">
      <c r="A139" s="52"/>
      <c r="B139" s="12"/>
      <c r="C139" s="1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2.0" customHeight="1">
      <c r="A140" s="52"/>
      <c r="B140" s="12"/>
      <c r="C140" s="1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2.0" customHeight="1">
      <c r="A141" s="52"/>
      <c r="B141" s="12"/>
      <c r="C141" s="1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2.0" customHeight="1">
      <c r="A142" s="52"/>
      <c r="B142" s="12"/>
      <c r="C142" s="1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2.0" customHeight="1">
      <c r="A143" s="52"/>
      <c r="B143" s="12"/>
      <c r="C143" s="1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2.0" customHeight="1">
      <c r="A144" s="52"/>
      <c r="B144" s="12"/>
      <c r="C144" s="1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2.0" customHeight="1">
      <c r="A145" s="52"/>
      <c r="B145" s="12"/>
      <c r="C145" s="1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2.0" customHeight="1">
      <c r="A146" s="52"/>
      <c r="B146" s="12"/>
      <c r="C146" s="1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2.0" customHeight="1">
      <c r="A147" s="52"/>
      <c r="B147" s="12"/>
      <c r="C147" s="1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2.0" customHeight="1">
      <c r="A148" s="52"/>
      <c r="B148" s="12"/>
      <c r="C148" s="1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2.0" customHeight="1">
      <c r="A149" s="52"/>
      <c r="B149" s="12"/>
      <c r="C149" s="1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2.0" customHeight="1">
      <c r="A150" s="52"/>
      <c r="B150" s="12"/>
      <c r="C150" s="1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2.0" customHeight="1">
      <c r="A151" s="52"/>
      <c r="B151" s="12"/>
      <c r="C151" s="1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2.0" customHeight="1">
      <c r="A152" s="52"/>
      <c r="B152" s="12"/>
      <c r="C152" s="1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2.0" customHeight="1">
      <c r="A153" s="52"/>
      <c r="B153" s="12"/>
      <c r="C153" s="1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2.0" customHeight="1">
      <c r="A154" s="52"/>
      <c r="B154" s="12"/>
      <c r="C154" s="1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2.0" customHeight="1">
      <c r="A155" s="52"/>
      <c r="B155" s="12"/>
      <c r="C155" s="1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2.0" customHeight="1">
      <c r="A156" s="52"/>
      <c r="B156" s="12"/>
      <c r="C156" s="1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2.0" customHeight="1">
      <c r="A157" s="52"/>
      <c r="B157" s="12"/>
      <c r="C157" s="1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2.0" customHeight="1">
      <c r="A158" s="52"/>
      <c r="B158" s="12"/>
      <c r="C158" s="1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2.0" customHeight="1">
      <c r="A159" s="52"/>
      <c r="B159" s="12"/>
      <c r="C159" s="1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2.0" customHeight="1">
      <c r="A160" s="52"/>
      <c r="B160" s="12"/>
      <c r="C160" s="1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2.0" customHeight="1">
      <c r="A161" s="52"/>
      <c r="B161" s="12"/>
      <c r="C161" s="1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2.0" customHeight="1">
      <c r="A162" s="52"/>
      <c r="B162" s="12"/>
      <c r="C162" s="1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2.0" customHeight="1">
      <c r="A163" s="52"/>
      <c r="B163" s="12"/>
      <c r="C163" s="1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2.0" customHeight="1">
      <c r="A164" s="52"/>
      <c r="B164" s="12"/>
      <c r="C164" s="1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2.0" customHeight="1">
      <c r="A165" s="52"/>
      <c r="B165" s="12"/>
      <c r="C165" s="1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2.0" customHeight="1">
      <c r="A166" s="52"/>
      <c r="B166" s="12"/>
      <c r="C166" s="1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2.0" customHeight="1">
      <c r="A167" s="52"/>
      <c r="B167" s="12"/>
      <c r="C167" s="1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2.0" customHeight="1">
      <c r="A168" s="52"/>
      <c r="B168" s="12"/>
      <c r="C168" s="1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2.0" customHeight="1">
      <c r="A169" s="52"/>
      <c r="B169" s="12"/>
      <c r="C169" s="1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2.0" customHeight="1">
      <c r="A170" s="52"/>
      <c r="B170" s="12"/>
      <c r="C170" s="1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2.0" customHeight="1">
      <c r="A171" s="52"/>
      <c r="B171" s="12"/>
      <c r="C171" s="1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2.0" customHeight="1">
      <c r="A172" s="52"/>
      <c r="B172" s="12"/>
      <c r="C172" s="1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2.0" customHeight="1">
      <c r="A173" s="52"/>
      <c r="B173" s="12"/>
      <c r="C173" s="1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2.0" customHeight="1">
      <c r="A174" s="52"/>
      <c r="B174" s="12"/>
      <c r="C174" s="1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2.0" customHeight="1">
      <c r="A175" s="52"/>
      <c r="B175" s="12"/>
      <c r="C175" s="1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2.0" customHeight="1">
      <c r="A176" s="52"/>
      <c r="B176" s="12"/>
      <c r="C176" s="1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2.0" customHeight="1">
      <c r="A177" s="52"/>
      <c r="B177" s="12"/>
      <c r="C177" s="1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2.0" customHeight="1">
      <c r="A178" s="52"/>
      <c r="B178" s="12"/>
      <c r="C178" s="1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2.0" customHeight="1">
      <c r="A179" s="52"/>
      <c r="B179" s="12"/>
      <c r="C179" s="1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2.0" customHeight="1">
      <c r="A180" s="52"/>
      <c r="B180" s="12"/>
      <c r="C180" s="1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2.0" customHeight="1">
      <c r="A181" s="52"/>
      <c r="B181" s="12"/>
      <c r="C181" s="1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2.0" customHeight="1">
      <c r="A182" s="52"/>
      <c r="B182" s="12"/>
      <c r="C182" s="1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2.0" customHeight="1">
      <c r="A183" s="52"/>
      <c r="B183" s="12"/>
      <c r="C183" s="1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2.0" customHeight="1">
      <c r="A184" s="52"/>
      <c r="B184" s="12"/>
      <c r="C184" s="1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2.0" customHeight="1">
      <c r="A185" s="52"/>
      <c r="B185" s="12"/>
      <c r="C185" s="1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2.0" customHeight="1">
      <c r="A186" s="52"/>
      <c r="B186" s="12"/>
      <c r="C186" s="1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2.0" customHeight="1">
      <c r="A187" s="52"/>
      <c r="B187" s="12"/>
      <c r="C187" s="1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2.0" customHeight="1">
      <c r="A188" s="52"/>
      <c r="B188" s="12"/>
      <c r="C188" s="1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2.0" customHeight="1">
      <c r="A189" s="52"/>
      <c r="B189" s="12"/>
      <c r="C189" s="1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2.0" customHeight="1">
      <c r="A190" s="52"/>
      <c r="B190" s="12"/>
      <c r="C190" s="1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2.0" customHeight="1">
      <c r="A191" s="52"/>
      <c r="B191" s="12"/>
      <c r="C191" s="1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2.0" customHeight="1">
      <c r="A192" s="52"/>
      <c r="B192" s="12"/>
      <c r="C192" s="1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2.0" customHeight="1">
      <c r="A193" s="52"/>
      <c r="B193" s="12"/>
      <c r="C193" s="1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2.0" customHeight="1">
      <c r="A194" s="52"/>
      <c r="B194" s="12"/>
      <c r="C194" s="1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2.0" customHeight="1">
      <c r="A195" s="52"/>
      <c r="B195" s="12"/>
      <c r="C195" s="1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2.0" customHeight="1">
      <c r="A196" s="52"/>
      <c r="B196" s="12"/>
      <c r="C196" s="1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2.0" customHeight="1">
      <c r="A197" s="52"/>
      <c r="B197" s="12"/>
      <c r="C197" s="1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2.0" customHeight="1">
      <c r="A198" s="52"/>
      <c r="B198" s="12"/>
      <c r="C198" s="1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2.0" customHeight="1">
      <c r="A199" s="52"/>
      <c r="B199" s="12"/>
      <c r="C199" s="1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2.0" customHeight="1">
      <c r="A200" s="52"/>
      <c r="B200" s="12"/>
      <c r="C200" s="1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2.0" customHeight="1">
      <c r="A201" s="52"/>
      <c r="B201" s="12"/>
      <c r="C201" s="1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2.0" customHeight="1">
      <c r="A202" s="52"/>
      <c r="B202" s="12"/>
      <c r="C202" s="1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2.0" customHeight="1">
      <c r="A203" s="52"/>
      <c r="B203" s="12"/>
      <c r="C203" s="1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2.0" customHeight="1">
      <c r="A204" s="52"/>
      <c r="B204" s="12"/>
      <c r="C204" s="1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2.0" customHeight="1">
      <c r="A205" s="52"/>
      <c r="B205" s="12"/>
      <c r="C205" s="1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2.0" customHeight="1">
      <c r="A206" s="52"/>
      <c r="B206" s="12"/>
      <c r="C206" s="1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2.0" customHeight="1">
      <c r="A207" s="52"/>
      <c r="B207" s="12"/>
      <c r="C207" s="1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2.0" customHeight="1">
      <c r="A208" s="52"/>
      <c r="B208" s="12"/>
      <c r="C208" s="1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2.0" customHeight="1">
      <c r="A209" s="52"/>
      <c r="B209" s="12"/>
      <c r="C209" s="1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2.0" customHeight="1">
      <c r="A210" s="52"/>
      <c r="B210" s="12"/>
      <c r="C210" s="1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2.0" customHeight="1">
      <c r="A211" s="52"/>
      <c r="B211" s="12"/>
      <c r="C211" s="1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2.0" customHeight="1">
      <c r="A212" s="52"/>
      <c r="B212" s="12"/>
      <c r="C212" s="1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2.0" customHeight="1">
      <c r="A213" s="52"/>
      <c r="B213" s="12"/>
      <c r="C213" s="1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2.0" customHeight="1">
      <c r="A214" s="52"/>
      <c r="B214" s="12"/>
      <c r="C214" s="1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2.0" customHeight="1">
      <c r="A215" s="52"/>
      <c r="B215" s="12"/>
      <c r="C215" s="1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2.0" customHeight="1">
      <c r="A216" s="52"/>
      <c r="B216" s="12"/>
      <c r="C216" s="1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2.0" customHeight="1">
      <c r="A217" s="52"/>
      <c r="B217" s="12"/>
      <c r="C217" s="1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2.0" customHeight="1">
      <c r="A218" s="52"/>
      <c r="B218" s="12"/>
      <c r="C218" s="1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2.0" customHeight="1">
      <c r="A219" s="52"/>
      <c r="B219" s="12"/>
      <c r="C219" s="1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2.0" customHeight="1">
      <c r="A220" s="52"/>
      <c r="B220" s="12"/>
      <c r="C220" s="1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2.0" customHeight="1">
      <c r="A221" s="52"/>
      <c r="B221" s="12"/>
      <c r="C221" s="1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2.0" customHeight="1">
      <c r="A222" s="52"/>
      <c r="B222" s="12"/>
      <c r="C222" s="1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2.0" customHeight="1">
      <c r="A223" s="52"/>
      <c r="B223" s="12"/>
      <c r="C223" s="1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2.0" customHeight="1">
      <c r="A224" s="52"/>
      <c r="B224" s="12"/>
      <c r="C224" s="1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2.0" customHeight="1">
      <c r="A225" s="52"/>
      <c r="B225" s="12"/>
      <c r="C225" s="1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2.0" customHeight="1">
      <c r="A226" s="52"/>
      <c r="B226" s="12"/>
      <c r="C226" s="1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2.0" customHeight="1">
      <c r="A227" s="52"/>
      <c r="B227" s="12"/>
      <c r="C227" s="1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2.0" customHeight="1">
      <c r="A228" s="52"/>
      <c r="B228" s="12"/>
      <c r="C228" s="1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2.0" customHeight="1">
      <c r="A229" s="52"/>
      <c r="B229" s="12"/>
      <c r="C229" s="1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2.0" customHeight="1">
      <c r="A230" s="52"/>
      <c r="B230" s="12"/>
      <c r="C230" s="1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2.0" customHeight="1">
      <c r="A231" s="52"/>
      <c r="B231" s="12"/>
      <c r="C231" s="1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2.0" customHeight="1">
      <c r="A232" s="52"/>
      <c r="B232" s="12"/>
      <c r="C232" s="1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2.0" customHeight="1">
      <c r="A233" s="52"/>
      <c r="B233" s="12"/>
      <c r="C233" s="1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2.0" customHeight="1">
      <c r="A234" s="52"/>
      <c r="B234" s="12"/>
      <c r="C234" s="1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2.0" customHeight="1">
      <c r="A235" s="52"/>
      <c r="B235" s="12"/>
      <c r="C235" s="1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2.0" customHeight="1">
      <c r="A236" s="52"/>
      <c r="B236" s="12"/>
      <c r="C236" s="1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2.0" customHeight="1">
      <c r="A237" s="52"/>
      <c r="B237" s="12"/>
      <c r="C237" s="1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2.0" customHeight="1">
      <c r="A238" s="52"/>
      <c r="B238" s="12"/>
      <c r="C238" s="1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2.0" customHeight="1">
      <c r="A239" s="52"/>
      <c r="B239" s="12"/>
      <c r="C239" s="1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2.0" customHeight="1">
      <c r="A240" s="52"/>
      <c r="B240" s="12"/>
      <c r="C240" s="1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2.0" customHeight="1">
      <c r="A241" s="52"/>
      <c r="B241" s="12"/>
      <c r="C241" s="1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2.0" customHeight="1">
      <c r="A242" s="52"/>
      <c r="B242" s="12"/>
      <c r="C242" s="1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2.0" customHeight="1">
      <c r="A243" s="52"/>
      <c r="B243" s="12"/>
      <c r="C243" s="1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2.0" customHeight="1">
      <c r="A244" s="52"/>
      <c r="B244" s="12"/>
      <c r="C244" s="1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2.0" customHeight="1">
      <c r="A245" s="52"/>
      <c r="B245" s="12"/>
      <c r="C245" s="1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2.0" customHeight="1">
      <c r="A246" s="52"/>
      <c r="B246" s="12"/>
      <c r="C246" s="1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2.0" customHeight="1">
      <c r="A247" s="52"/>
      <c r="B247" s="12"/>
      <c r="C247" s="1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2.0" customHeight="1">
      <c r="A248" s="52"/>
      <c r="B248" s="12"/>
      <c r="C248" s="1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2.0" customHeight="1">
      <c r="A249" s="52"/>
      <c r="B249" s="12"/>
      <c r="C249" s="1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2.0" customHeight="1">
      <c r="A250" s="52"/>
      <c r="B250" s="12"/>
      <c r="C250" s="1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2.0" customHeight="1">
      <c r="A251" s="52"/>
      <c r="B251" s="12"/>
      <c r="C251" s="1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2.0" customHeight="1">
      <c r="A252" s="52"/>
      <c r="B252" s="12"/>
      <c r="C252" s="1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2.0" customHeight="1">
      <c r="A253" s="52"/>
      <c r="B253" s="12"/>
      <c r="C253" s="1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2.0" customHeight="1">
      <c r="A254" s="52"/>
      <c r="B254" s="12"/>
      <c r="C254" s="1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2.0" customHeight="1">
      <c r="A255" s="52"/>
      <c r="B255" s="12"/>
      <c r="C255" s="1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2.0" customHeight="1">
      <c r="A256" s="52"/>
      <c r="B256" s="12"/>
      <c r="C256" s="1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2.0" customHeight="1">
      <c r="A257" s="52"/>
      <c r="B257" s="12"/>
      <c r="C257" s="1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2.0" customHeight="1">
      <c r="A258" s="52"/>
      <c r="B258" s="12"/>
      <c r="C258" s="1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2.0" customHeight="1">
      <c r="A259" s="52"/>
      <c r="B259" s="12"/>
      <c r="C259" s="1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2.0" customHeight="1">
      <c r="A260" s="52"/>
      <c r="B260" s="12"/>
      <c r="C260" s="1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2.0" customHeight="1">
      <c r="A261" s="52"/>
      <c r="B261" s="12"/>
      <c r="C261" s="1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2.0" customHeight="1">
      <c r="A262" s="52"/>
      <c r="B262" s="12"/>
      <c r="C262" s="1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2.0" customHeight="1">
      <c r="A263" s="52"/>
      <c r="B263" s="12"/>
      <c r="C263" s="1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2.0" customHeight="1">
      <c r="A264" s="52"/>
      <c r="B264" s="12"/>
      <c r="C264" s="1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2.0" customHeight="1">
      <c r="A265" s="52"/>
      <c r="B265" s="12"/>
      <c r="C265" s="1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2.0" customHeight="1">
      <c r="A266" s="52"/>
      <c r="B266" s="12"/>
      <c r="C266" s="1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2.0" customHeight="1">
      <c r="A267" s="52"/>
      <c r="B267" s="12"/>
      <c r="C267" s="1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2.0" customHeight="1">
      <c r="A268" s="52"/>
      <c r="B268" s="12"/>
      <c r="C268" s="1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2.0" customHeight="1">
      <c r="A269" s="52"/>
      <c r="B269" s="12"/>
      <c r="C269" s="1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2.0" customHeight="1">
      <c r="A270" s="52"/>
      <c r="B270" s="12"/>
      <c r="C270" s="1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2.0" customHeight="1">
      <c r="A271" s="52"/>
      <c r="B271" s="12"/>
      <c r="C271" s="1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2.0" customHeight="1">
      <c r="A272" s="52"/>
      <c r="B272" s="12"/>
      <c r="C272" s="1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2.0" customHeight="1">
      <c r="A273" s="52"/>
      <c r="B273" s="12"/>
      <c r="C273" s="1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2.0" customHeight="1">
      <c r="A274" s="52"/>
      <c r="B274" s="12"/>
      <c r="C274" s="1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2.0" customHeight="1">
      <c r="A275" s="52"/>
      <c r="B275" s="12"/>
      <c r="C275" s="1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2.0" customHeight="1">
      <c r="A276" s="52"/>
      <c r="B276" s="12"/>
      <c r="C276" s="1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2.0" customHeight="1">
      <c r="A277" s="52"/>
      <c r="B277" s="12"/>
      <c r="C277" s="1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2.0" customHeight="1">
      <c r="A278" s="52"/>
      <c r="B278" s="12"/>
      <c r="C278" s="1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2.0" customHeight="1">
      <c r="A279" s="52"/>
      <c r="B279" s="12"/>
      <c r="C279" s="1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2.0" customHeight="1">
      <c r="A280" s="52"/>
      <c r="B280" s="12"/>
      <c r="C280" s="1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2.0" customHeight="1">
      <c r="A281" s="52"/>
      <c r="B281" s="12"/>
      <c r="C281" s="1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2.0" customHeight="1">
      <c r="A282" s="52"/>
      <c r="B282" s="12"/>
      <c r="C282" s="1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2.0" customHeight="1">
      <c r="A283" s="52"/>
      <c r="B283" s="12"/>
      <c r="C283" s="1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2.0" customHeight="1">
      <c r="A284" s="52"/>
      <c r="B284" s="12"/>
      <c r="C284" s="1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2.0" customHeight="1">
      <c r="A285" s="52"/>
      <c r="B285" s="12"/>
      <c r="C285" s="1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2.0" customHeight="1">
      <c r="A286" s="52"/>
      <c r="B286" s="12"/>
      <c r="C286" s="1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2.0" customHeight="1">
      <c r="A287" s="52"/>
      <c r="B287" s="12"/>
      <c r="C287" s="1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2.0" customHeight="1">
      <c r="A288" s="52"/>
      <c r="B288" s="12"/>
      <c r="C288" s="1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2.0" customHeight="1">
      <c r="A289" s="52"/>
      <c r="B289" s="12"/>
      <c r="C289" s="1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2.0" customHeight="1">
      <c r="A290" s="52"/>
      <c r="B290" s="12"/>
      <c r="C290" s="1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2.0" customHeight="1">
      <c r="A291" s="52"/>
      <c r="B291" s="12"/>
      <c r="C291" s="1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2.0" customHeight="1">
      <c r="A292" s="52"/>
      <c r="B292" s="12"/>
      <c r="C292" s="1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2.0" customHeight="1">
      <c r="A293" s="52"/>
      <c r="B293" s="12"/>
      <c r="C293" s="1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2.0" customHeight="1">
      <c r="A294" s="52"/>
      <c r="B294" s="12"/>
      <c r="C294" s="1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2.0" customHeight="1">
      <c r="A295" s="52"/>
      <c r="B295" s="12"/>
      <c r="C295" s="1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2.0" customHeight="1">
      <c r="A296" s="52"/>
      <c r="B296" s="12"/>
      <c r="C296" s="1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2.0" customHeight="1">
      <c r="A297" s="52"/>
      <c r="B297" s="12"/>
      <c r="C297" s="1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2.0" customHeight="1">
      <c r="A298" s="52"/>
      <c r="B298" s="12"/>
      <c r="C298" s="1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2.0" customHeight="1">
      <c r="A299" s="52"/>
      <c r="B299" s="12"/>
      <c r="C299" s="1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2.0" customHeight="1">
      <c r="A300" s="52"/>
      <c r="B300" s="12"/>
      <c r="C300" s="1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2.0" customHeight="1">
      <c r="A301" s="52"/>
      <c r="B301" s="12"/>
      <c r="C301" s="1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2.0" customHeight="1">
      <c r="A302" s="52"/>
      <c r="B302" s="12"/>
      <c r="C302" s="1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2.0" customHeight="1">
      <c r="A303" s="52"/>
      <c r="B303" s="12"/>
      <c r="C303" s="1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2.0" customHeight="1">
      <c r="A304" s="52"/>
      <c r="B304" s="12"/>
      <c r="C304" s="1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2.0" customHeight="1">
      <c r="A305" s="52"/>
      <c r="B305" s="12"/>
      <c r="C305" s="1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2.0" customHeight="1">
      <c r="A306" s="52"/>
      <c r="B306" s="12"/>
      <c r="C306" s="1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2.0" customHeight="1">
      <c r="A307" s="52"/>
      <c r="B307" s="12"/>
      <c r="C307" s="1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2.0" customHeight="1">
      <c r="A308" s="52"/>
      <c r="B308" s="12"/>
      <c r="C308" s="1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2.0" customHeight="1">
      <c r="A309" s="52"/>
      <c r="B309" s="12"/>
      <c r="C309" s="1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2.0" customHeight="1">
      <c r="A310" s="52"/>
      <c r="B310" s="12"/>
      <c r="C310" s="1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2.0" customHeight="1">
      <c r="A311" s="52"/>
      <c r="B311" s="12"/>
      <c r="C311" s="1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2.0" customHeight="1">
      <c r="A312" s="52"/>
      <c r="B312" s="12"/>
      <c r="C312" s="1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2.0" customHeight="1">
      <c r="A313" s="52"/>
      <c r="B313" s="12"/>
      <c r="C313" s="1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2.0" customHeight="1">
      <c r="A314" s="52"/>
      <c r="B314" s="12"/>
      <c r="C314" s="1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2.0" customHeight="1">
      <c r="A315" s="52"/>
      <c r="B315" s="12"/>
      <c r="C315" s="1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2.0" customHeight="1">
      <c r="A316" s="52"/>
      <c r="B316" s="12"/>
      <c r="C316" s="1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2.0" customHeight="1">
      <c r="A317" s="52"/>
      <c r="B317" s="12"/>
      <c r="C317" s="1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2.0" customHeight="1">
      <c r="A318" s="52"/>
      <c r="B318" s="12"/>
      <c r="C318" s="1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2.0" customHeight="1">
      <c r="A319" s="52"/>
      <c r="B319" s="12"/>
      <c r="C319" s="1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2.0" customHeight="1">
      <c r="A320" s="52"/>
      <c r="B320" s="12"/>
      <c r="C320" s="1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2.0" customHeight="1">
      <c r="A321" s="52"/>
      <c r="B321" s="12"/>
      <c r="C321" s="1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2.0" customHeight="1">
      <c r="A322" s="52"/>
      <c r="B322" s="12"/>
      <c r="C322" s="1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2.0" customHeight="1">
      <c r="A323" s="52"/>
      <c r="B323" s="12"/>
      <c r="C323" s="1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2.0" customHeight="1">
      <c r="A324" s="52"/>
      <c r="B324" s="12"/>
      <c r="C324" s="1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2.0" customHeight="1">
      <c r="A325" s="52"/>
      <c r="B325" s="12"/>
      <c r="C325" s="1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2.0" customHeight="1">
      <c r="A326" s="52"/>
      <c r="B326" s="12"/>
      <c r="C326" s="1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2.0" customHeight="1">
      <c r="A327" s="52"/>
      <c r="B327" s="12"/>
      <c r="C327" s="1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2.0" customHeight="1">
      <c r="A328" s="52"/>
      <c r="B328" s="12"/>
      <c r="C328" s="1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2.0" customHeight="1">
      <c r="A329" s="52"/>
      <c r="B329" s="12"/>
      <c r="C329" s="1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2.0" customHeight="1">
      <c r="A330" s="52"/>
      <c r="B330" s="12"/>
      <c r="C330" s="1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2.0" customHeight="1">
      <c r="A331" s="52"/>
      <c r="B331" s="12"/>
      <c r="C331" s="1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2.0" customHeight="1">
      <c r="A332" s="52"/>
      <c r="B332" s="12"/>
      <c r="C332" s="1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2.0" customHeight="1">
      <c r="A333" s="52"/>
      <c r="B333" s="12"/>
      <c r="C333" s="1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2.0" customHeight="1">
      <c r="A334" s="52"/>
      <c r="B334" s="12"/>
      <c r="C334" s="1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2.0" customHeight="1">
      <c r="A335" s="52"/>
      <c r="B335" s="12"/>
      <c r="C335" s="1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2.0" customHeight="1">
      <c r="A336" s="52"/>
      <c r="B336" s="12"/>
      <c r="C336" s="1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2.0" customHeight="1">
      <c r="A337" s="52"/>
      <c r="B337" s="12"/>
      <c r="C337" s="1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2.0" customHeight="1">
      <c r="A338" s="52"/>
      <c r="B338" s="12"/>
      <c r="C338" s="1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2.0" customHeight="1">
      <c r="A339" s="52"/>
      <c r="B339" s="12"/>
      <c r="C339" s="1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2.0" customHeight="1">
      <c r="A340" s="52"/>
      <c r="B340" s="12"/>
      <c r="C340" s="1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2.0" customHeight="1">
      <c r="A341" s="52"/>
      <c r="B341" s="12"/>
      <c r="C341" s="1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2.0" customHeight="1">
      <c r="A342" s="52"/>
      <c r="B342" s="12"/>
      <c r="C342" s="1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2.0" customHeight="1">
      <c r="A343" s="52"/>
      <c r="B343" s="12"/>
      <c r="C343" s="1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2.0" customHeight="1">
      <c r="A344" s="52"/>
      <c r="B344" s="12"/>
      <c r="C344" s="1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2.0" customHeight="1">
      <c r="A345" s="52"/>
      <c r="B345" s="12"/>
      <c r="C345" s="1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2.0" customHeight="1">
      <c r="A346" s="52"/>
      <c r="B346" s="12"/>
      <c r="C346" s="1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2.0" customHeight="1">
      <c r="A347" s="52"/>
      <c r="B347" s="12"/>
      <c r="C347" s="1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2.0" customHeight="1">
      <c r="A348" s="52"/>
      <c r="B348" s="12"/>
      <c r="C348" s="1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2.0" customHeight="1">
      <c r="A349" s="52"/>
      <c r="B349" s="12"/>
      <c r="C349" s="1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2.0" customHeight="1">
      <c r="A350" s="52"/>
      <c r="B350" s="12"/>
      <c r="C350" s="1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2.0" customHeight="1">
      <c r="A351" s="52"/>
      <c r="B351" s="12"/>
      <c r="C351" s="1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2.0" customHeight="1">
      <c r="A352" s="52"/>
      <c r="B352" s="12"/>
      <c r="C352" s="1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2.0" customHeight="1">
      <c r="A353" s="52"/>
      <c r="B353" s="12"/>
      <c r="C353" s="1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2.0" customHeight="1">
      <c r="A354" s="52"/>
      <c r="B354" s="12"/>
      <c r="C354" s="1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2.0" customHeight="1">
      <c r="A355" s="52"/>
      <c r="B355" s="12"/>
      <c r="C355" s="1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2.0" customHeight="1">
      <c r="A356" s="52"/>
      <c r="B356" s="12"/>
      <c r="C356" s="1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2.0" customHeight="1">
      <c r="A357" s="52"/>
      <c r="B357" s="12"/>
      <c r="C357" s="1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2.0" customHeight="1">
      <c r="A358" s="52"/>
      <c r="B358" s="12"/>
      <c r="C358" s="1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2.0" customHeight="1">
      <c r="A359" s="52"/>
      <c r="B359" s="12"/>
      <c r="C359" s="1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2.0" customHeight="1">
      <c r="A360" s="52"/>
      <c r="B360" s="12"/>
      <c r="C360" s="1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2.0" customHeight="1">
      <c r="A361" s="52"/>
      <c r="B361" s="12"/>
      <c r="C361" s="1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2.0" customHeight="1">
      <c r="A362" s="52"/>
      <c r="B362" s="12"/>
      <c r="C362" s="1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2.0" customHeight="1">
      <c r="A363" s="52"/>
      <c r="B363" s="12"/>
      <c r="C363" s="1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2.0" customHeight="1">
      <c r="A364" s="52"/>
      <c r="B364" s="12"/>
      <c r="C364" s="1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2.0" customHeight="1">
      <c r="A365" s="52"/>
      <c r="B365" s="12"/>
      <c r="C365" s="1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2.0" customHeight="1">
      <c r="A366" s="52"/>
      <c r="B366" s="12"/>
      <c r="C366" s="1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2.0" customHeight="1">
      <c r="A367" s="52"/>
      <c r="B367" s="12"/>
      <c r="C367" s="1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2.0" customHeight="1">
      <c r="A368" s="52"/>
      <c r="B368" s="12"/>
      <c r="C368" s="1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2.0" customHeight="1">
      <c r="A369" s="52"/>
      <c r="B369" s="12"/>
      <c r="C369" s="1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2.0" customHeight="1">
      <c r="A370" s="52"/>
      <c r="B370" s="12"/>
      <c r="C370" s="1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2.0" customHeight="1">
      <c r="A371" s="52"/>
      <c r="B371" s="12"/>
      <c r="C371" s="1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2.0" customHeight="1">
      <c r="A372" s="52"/>
      <c r="B372" s="12"/>
      <c r="C372" s="1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2.0" customHeight="1">
      <c r="A373" s="52"/>
      <c r="B373" s="12"/>
      <c r="C373" s="1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2.0" customHeight="1">
      <c r="A374" s="52"/>
      <c r="B374" s="12"/>
      <c r="C374" s="1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2.0" customHeight="1">
      <c r="A375" s="52"/>
      <c r="B375" s="12"/>
      <c r="C375" s="1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2.0" customHeight="1">
      <c r="A376" s="52"/>
      <c r="B376" s="12"/>
      <c r="C376" s="1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2.0" customHeight="1">
      <c r="A377" s="52"/>
      <c r="B377" s="12"/>
      <c r="C377" s="1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2.0" customHeight="1">
      <c r="A378" s="52"/>
      <c r="B378" s="12"/>
      <c r="C378" s="1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2.0" customHeight="1">
      <c r="A379" s="52"/>
      <c r="B379" s="12"/>
      <c r="C379" s="1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2.0" customHeight="1">
      <c r="A380" s="52"/>
      <c r="B380" s="12"/>
      <c r="C380" s="1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2.0" customHeight="1">
      <c r="A381" s="52"/>
      <c r="B381" s="12"/>
      <c r="C381" s="1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2.0" customHeight="1">
      <c r="A382" s="52"/>
      <c r="B382" s="12"/>
      <c r="C382" s="1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2.0" customHeight="1">
      <c r="A383" s="52"/>
      <c r="B383" s="12"/>
      <c r="C383" s="1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2.0" customHeight="1">
      <c r="A384" s="52"/>
      <c r="B384" s="12"/>
      <c r="C384" s="1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2.0" customHeight="1">
      <c r="A385" s="52"/>
      <c r="B385" s="12"/>
      <c r="C385" s="1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2.0" customHeight="1">
      <c r="A386" s="52"/>
      <c r="B386" s="12"/>
      <c r="C386" s="1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2.0" customHeight="1">
      <c r="A387" s="52"/>
      <c r="B387" s="12"/>
      <c r="C387" s="1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2.0" customHeight="1">
      <c r="A388" s="52"/>
      <c r="B388" s="12"/>
      <c r="C388" s="1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2.0" customHeight="1">
      <c r="A389" s="52"/>
      <c r="B389" s="12"/>
      <c r="C389" s="1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2.0" customHeight="1">
      <c r="A390" s="52"/>
      <c r="B390" s="12"/>
      <c r="C390" s="1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2.0" customHeight="1">
      <c r="A391" s="52"/>
      <c r="B391" s="12"/>
      <c r="C391" s="1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2.0" customHeight="1">
      <c r="A392" s="52"/>
      <c r="B392" s="12"/>
      <c r="C392" s="1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2.0" customHeight="1">
      <c r="A393" s="52"/>
      <c r="B393" s="12"/>
      <c r="C393" s="1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2.0" customHeight="1">
      <c r="A394" s="52"/>
      <c r="B394" s="12"/>
      <c r="C394" s="1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2.0" customHeight="1">
      <c r="A395" s="52"/>
      <c r="B395" s="12"/>
      <c r="C395" s="1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2.0" customHeight="1">
      <c r="A396" s="52"/>
      <c r="B396" s="12"/>
      <c r="C396" s="1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2.0" customHeight="1">
      <c r="A397" s="52"/>
      <c r="B397" s="12"/>
      <c r="C397" s="1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2.0" customHeight="1">
      <c r="A398" s="52"/>
      <c r="B398" s="12"/>
      <c r="C398" s="1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2.0" customHeight="1">
      <c r="A399" s="52"/>
      <c r="B399" s="12"/>
      <c r="C399" s="1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2.0" customHeight="1">
      <c r="A400" s="52"/>
      <c r="B400" s="12"/>
      <c r="C400" s="1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2.0" customHeight="1">
      <c r="A401" s="52"/>
      <c r="B401" s="12"/>
      <c r="C401" s="1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2.0" customHeight="1">
      <c r="A402" s="52"/>
      <c r="B402" s="12"/>
      <c r="C402" s="1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2.0" customHeight="1">
      <c r="A403" s="52"/>
      <c r="B403" s="12"/>
      <c r="C403" s="1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2.0" customHeight="1">
      <c r="A404" s="52"/>
      <c r="B404" s="12"/>
      <c r="C404" s="1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2.0" customHeight="1">
      <c r="A405" s="52"/>
      <c r="B405" s="12"/>
      <c r="C405" s="1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2.0" customHeight="1">
      <c r="A406" s="52"/>
      <c r="B406" s="12"/>
      <c r="C406" s="1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2.0" customHeight="1">
      <c r="A407" s="52"/>
      <c r="B407" s="12"/>
      <c r="C407" s="1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2.0" customHeight="1">
      <c r="A408" s="52"/>
      <c r="B408" s="12"/>
      <c r="C408" s="1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2.0" customHeight="1">
      <c r="A409" s="52"/>
      <c r="B409" s="12"/>
      <c r="C409" s="1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2.0" customHeight="1">
      <c r="A410" s="52"/>
      <c r="B410" s="12"/>
      <c r="C410" s="1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2.0" customHeight="1">
      <c r="A411" s="52"/>
      <c r="B411" s="12"/>
      <c r="C411" s="1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2.0" customHeight="1">
      <c r="A412" s="52"/>
      <c r="B412" s="12"/>
      <c r="C412" s="1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2.0" customHeight="1">
      <c r="A413" s="52"/>
      <c r="B413" s="12"/>
      <c r="C413" s="1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2.0" customHeight="1">
      <c r="A414" s="52"/>
      <c r="B414" s="12"/>
      <c r="C414" s="1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2.0" customHeight="1">
      <c r="A415" s="52"/>
      <c r="B415" s="12"/>
      <c r="C415" s="1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2.0" customHeight="1">
      <c r="A416" s="52"/>
      <c r="B416" s="12"/>
      <c r="C416" s="1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2.0" customHeight="1">
      <c r="A417" s="52"/>
      <c r="B417" s="12"/>
      <c r="C417" s="1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2.0" customHeight="1">
      <c r="A418" s="52"/>
      <c r="B418" s="12"/>
      <c r="C418" s="1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2.0" customHeight="1">
      <c r="A419" s="52"/>
      <c r="B419" s="12"/>
      <c r="C419" s="1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2.0" customHeight="1">
      <c r="A420" s="52"/>
      <c r="B420" s="12"/>
      <c r="C420" s="1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2.0" customHeight="1">
      <c r="A421" s="52"/>
      <c r="B421" s="12"/>
      <c r="C421" s="1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2.0" customHeight="1">
      <c r="A422" s="52"/>
      <c r="B422" s="12"/>
      <c r="C422" s="1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2.0" customHeight="1">
      <c r="A423" s="52"/>
      <c r="B423" s="12"/>
      <c r="C423" s="1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2.0" customHeight="1">
      <c r="A424" s="52"/>
      <c r="B424" s="12"/>
      <c r="C424" s="1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2.0" customHeight="1">
      <c r="A425" s="52"/>
      <c r="B425" s="12"/>
      <c r="C425" s="1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2.0" customHeight="1">
      <c r="A426" s="52"/>
      <c r="B426" s="12"/>
      <c r="C426" s="1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2.0" customHeight="1">
      <c r="A427" s="52"/>
      <c r="B427" s="12"/>
      <c r="C427" s="1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2.0" customHeight="1">
      <c r="A428" s="52"/>
      <c r="B428" s="12"/>
      <c r="C428" s="1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2.0" customHeight="1">
      <c r="A429" s="52"/>
      <c r="B429" s="12"/>
      <c r="C429" s="1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2.0" customHeight="1">
      <c r="A430" s="52"/>
      <c r="B430" s="12"/>
      <c r="C430" s="1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2.0" customHeight="1">
      <c r="A431" s="52"/>
      <c r="B431" s="12"/>
      <c r="C431" s="1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2.0" customHeight="1">
      <c r="A432" s="52"/>
      <c r="B432" s="12"/>
      <c r="C432" s="1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2.0" customHeight="1">
      <c r="A433" s="52"/>
      <c r="B433" s="12"/>
      <c r="C433" s="1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2.0" customHeight="1">
      <c r="A434" s="52"/>
      <c r="B434" s="12"/>
      <c r="C434" s="1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2.0" customHeight="1">
      <c r="A435" s="52"/>
      <c r="B435" s="12"/>
      <c r="C435" s="1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2.0" customHeight="1">
      <c r="A436" s="52"/>
      <c r="B436" s="12"/>
      <c r="C436" s="1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2.0" customHeight="1">
      <c r="A437" s="52"/>
      <c r="B437" s="12"/>
      <c r="C437" s="1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2.0" customHeight="1">
      <c r="A438" s="52"/>
      <c r="B438" s="12"/>
      <c r="C438" s="1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2.0" customHeight="1">
      <c r="A439" s="52"/>
      <c r="B439" s="12"/>
      <c r="C439" s="1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2.0" customHeight="1">
      <c r="A440" s="52"/>
      <c r="B440" s="12"/>
      <c r="C440" s="1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2.0" customHeight="1">
      <c r="A441" s="52"/>
      <c r="B441" s="12"/>
      <c r="C441" s="1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2.0" customHeight="1">
      <c r="A442" s="52"/>
      <c r="B442" s="12"/>
      <c r="C442" s="1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2.0" customHeight="1">
      <c r="A443" s="52"/>
      <c r="B443" s="12"/>
      <c r="C443" s="1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2.0" customHeight="1">
      <c r="A444" s="52"/>
      <c r="B444" s="12"/>
      <c r="C444" s="1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2.0" customHeight="1">
      <c r="A445" s="52"/>
      <c r="B445" s="12"/>
      <c r="C445" s="1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2.0" customHeight="1">
      <c r="A446" s="52"/>
      <c r="B446" s="12"/>
      <c r="C446" s="1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2.0" customHeight="1">
      <c r="A447" s="52"/>
      <c r="B447" s="12"/>
      <c r="C447" s="1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2.0" customHeight="1">
      <c r="A448" s="52"/>
      <c r="B448" s="12"/>
      <c r="C448" s="1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2.0" customHeight="1">
      <c r="A449" s="52"/>
      <c r="B449" s="12"/>
      <c r="C449" s="1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2.0" customHeight="1">
      <c r="A450" s="52"/>
      <c r="B450" s="12"/>
      <c r="C450" s="1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2.0" customHeight="1">
      <c r="A451" s="52"/>
      <c r="B451" s="12"/>
      <c r="C451" s="1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2.0" customHeight="1">
      <c r="A452" s="52"/>
      <c r="B452" s="12"/>
      <c r="C452" s="1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2.0" customHeight="1">
      <c r="A453" s="52"/>
      <c r="B453" s="12"/>
      <c r="C453" s="1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2.0" customHeight="1">
      <c r="A454" s="52"/>
      <c r="B454" s="12"/>
      <c r="C454" s="1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2.0" customHeight="1">
      <c r="A455" s="52"/>
      <c r="B455" s="12"/>
      <c r="C455" s="1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2.0" customHeight="1">
      <c r="A456" s="52"/>
      <c r="B456" s="12"/>
      <c r="C456" s="1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2.0" customHeight="1">
      <c r="A457" s="52"/>
      <c r="B457" s="12"/>
      <c r="C457" s="1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2.0" customHeight="1">
      <c r="A458" s="52"/>
      <c r="B458" s="12"/>
      <c r="C458" s="1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2.0" customHeight="1">
      <c r="A459" s="52"/>
      <c r="B459" s="12"/>
      <c r="C459" s="1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2.0" customHeight="1">
      <c r="A460" s="52"/>
      <c r="B460" s="12"/>
      <c r="C460" s="1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2.0" customHeight="1">
      <c r="A461" s="52"/>
      <c r="B461" s="12"/>
      <c r="C461" s="1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2.0" customHeight="1">
      <c r="A462" s="52"/>
      <c r="B462" s="12"/>
      <c r="C462" s="1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2.0" customHeight="1">
      <c r="A463" s="52"/>
      <c r="B463" s="12"/>
      <c r="C463" s="1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2.0" customHeight="1">
      <c r="A464" s="52"/>
      <c r="B464" s="12"/>
      <c r="C464" s="1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2.0" customHeight="1">
      <c r="A465" s="52"/>
      <c r="B465" s="12"/>
      <c r="C465" s="1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2.0" customHeight="1">
      <c r="A466" s="52"/>
      <c r="B466" s="12"/>
      <c r="C466" s="1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2.0" customHeight="1">
      <c r="A467" s="52"/>
      <c r="B467" s="12"/>
      <c r="C467" s="1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2.0" customHeight="1">
      <c r="A468" s="52"/>
      <c r="B468" s="12"/>
      <c r="C468" s="1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2.0" customHeight="1">
      <c r="A469" s="52"/>
      <c r="B469" s="12"/>
      <c r="C469" s="1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2.0" customHeight="1">
      <c r="A470" s="52"/>
      <c r="B470" s="12"/>
      <c r="C470" s="1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2.0" customHeight="1">
      <c r="A471" s="52"/>
      <c r="B471" s="12"/>
      <c r="C471" s="1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2.0" customHeight="1">
      <c r="A472" s="52"/>
      <c r="B472" s="12"/>
      <c r="C472" s="1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2.0" customHeight="1">
      <c r="A473" s="52"/>
      <c r="B473" s="12"/>
      <c r="C473" s="1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2.0" customHeight="1">
      <c r="A474" s="52"/>
      <c r="B474" s="12"/>
      <c r="C474" s="1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2.0" customHeight="1">
      <c r="A475" s="52"/>
      <c r="B475" s="12"/>
      <c r="C475" s="1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2.0" customHeight="1">
      <c r="A476" s="52"/>
      <c r="B476" s="12"/>
      <c r="C476" s="1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2.0" customHeight="1">
      <c r="A477" s="52"/>
      <c r="B477" s="12"/>
      <c r="C477" s="1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2.0" customHeight="1">
      <c r="A478" s="52"/>
      <c r="B478" s="12"/>
      <c r="C478" s="1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2.0" customHeight="1">
      <c r="A479" s="52"/>
      <c r="B479" s="12"/>
      <c r="C479" s="1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2.0" customHeight="1">
      <c r="A480" s="52"/>
      <c r="B480" s="12"/>
      <c r="C480" s="1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2.0" customHeight="1">
      <c r="A481" s="52"/>
      <c r="B481" s="12"/>
      <c r="C481" s="1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2.0" customHeight="1">
      <c r="A482" s="52"/>
      <c r="B482" s="12"/>
      <c r="C482" s="1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2.0" customHeight="1">
      <c r="A483" s="52"/>
      <c r="B483" s="12"/>
      <c r="C483" s="1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2.0" customHeight="1">
      <c r="A484" s="52"/>
      <c r="B484" s="12"/>
      <c r="C484" s="1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2.0" customHeight="1">
      <c r="A485" s="52"/>
      <c r="B485" s="12"/>
      <c r="C485" s="1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2.0" customHeight="1">
      <c r="A486" s="52"/>
      <c r="B486" s="12"/>
      <c r="C486" s="1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2.0" customHeight="1">
      <c r="A487" s="52"/>
      <c r="B487" s="12"/>
      <c r="C487" s="1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2.0" customHeight="1">
      <c r="A488" s="52"/>
      <c r="B488" s="12"/>
      <c r="C488" s="1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2.0" customHeight="1">
      <c r="A489" s="52"/>
      <c r="B489" s="12"/>
      <c r="C489" s="1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2.0" customHeight="1">
      <c r="A490" s="52"/>
      <c r="B490" s="12"/>
      <c r="C490" s="1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2.0" customHeight="1">
      <c r="A491" s="52"/>
      <c r="B491" s="12"/>
      <c r="C491" s="1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2.0" customHeight="1">
      <c r="A492" s="52"/>
      <c r="B492" s="12"/>
      <c r="C492" s="1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2.0" customHeight="1">
      <c r="A493" s="52"/>
      <c r="B493" s="12"/>
      <c r="C493" s="1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2.0" customHeight="1">
      <c r="A494" s="52"/>
      <c r="B494" s="12"/>
      <c r="C494" s="1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2.0" customHeight="1">
      <c r="A495" s="52"/>
      <c r="B495" s="12"/>
      <c r="C495" s="1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2.0" customHeight="1">
      <c r="A496" s="52"/>
      <c r="B496" s="12"/>
      <c r="C496" s="1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2.0" customHeight="1">
      <c r="A497" s="52"/>
      <c r="B497" s="12"/>
      <c r="C497" s="1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2.0" customHeight="1">
      <c r="A498" s="52"/>
      <c r="B498" s="12"/>
      <c r="C498" s="1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2.0" customHeight="1">
      <c r="A499" s="52"/>
      <c r="B499" s="12"/>
      <c r="C499" s="1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2.0" customHeight="1">
      <c r="A500" s="52"/>
      <c r="B500" s="12"/>
      <c r="C500" s="1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2.0" customHeight="1">
      <c r="A501" s="52"/>
      <c r="B501" s="12"/>
      <c r="C501" s="1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2.0" customHeight="1">
      <c r="A502" s="52"/>
      <c r="B502" s="12"/>
      <c r="C502" s="1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2.0" customHeight="1">
      <c r="A503" s="52"/>
      <c r="B503" s="12"/>
      <c r="C503" s="1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2.0" customHeight="1">
      <c r="A504" s="52"/>
      <c r="B504" s="12"/>
      <c r="C504" s="1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2.0" customHeight="1">
      <c r="A505" s="52"/>
      <c r="B505" s="12"/>
      <c r="C505" s="1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2.0" customHeight="1">
      <c r="A506" s="52"/>
      <c r="B506" s="12"/>
      <c r="C506" s="1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2.0" customHeight="1">
      <c r="A507" s="52"/>
      <c r="B507" s="12"/>
      <c r="C507" s="1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2.0" customHeight="1">
      <c r="A508" s="52"/>
      <c r="B508" s="12"/>
      <c r="C508" s="1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2.0" customHeight="1">
      <c r="A509" s="52"/>
      <c r="B509" s="12"/>
      <c r="C509" s="1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2.0" customHeight="1">
      <c r="A510" s="52"/>
      <c r="B510" s="12"/>
      <c r="C510" s="1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2.0" customHeight="1">
      <c r="A511" s="52"/>
      <c r="B511" s="12"/>
      <c r="C511" s="1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2.0" customHeight="1">
      <c r="A512" s="52"/>
      <c r="B512" s="12"/>
      <c r="C512" s="1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2.0" customHeight="1">
      <c r="A513" s="52"/>
      <c r="B513" s="12"/>
      <c r="C513" s="1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2.0" customHeight="1">
      <c r="A514" s="52"/>
      <c r="B514" s="12"/>
      <c r="C514" s="1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2.0" customHeight="1">
      <c r="A515" s="52"/>
      <c r="B515" s="12"/>
      <c r="C515" s="1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2.0" customHeight="1">
      <c r="A516" s="52"/>
      <c r="B516" s="12"/>
      <c r="C516" s="1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2.0" customHeight="1">
      <c r="A517" s="52"/>
      <c r="B517" s="12"/>
      <c r="C517" s="1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2.0" customHeight="1">
      <c r="A518" s="52"/>
      <c r="B518" s="12"/>
      <c r="C518" s="1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2.0" customHeight="1">
      <c r="A519" s="52"/>
      <c r="B519" s="12"/>
      <c r="C519" s="1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2.0" customHeight="1">
      <c r="A520" s="52"/>
      <c r="B520" s="12"/>
      <c r="C520" s="1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2.0" customHeight="1">
      <c r="A521" s="52"/>
      <c r="B521" s="12"/>
      <c r="C521" s="1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2.0" customHeight="1">
      <c r="A522" s="52"/>
      <c r="B522" s="12"/>
      <c r="C522" s="1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2.0" customHeight="1">
      <c r="A523" s="52"/>
      <c r="B523" s="12"/>
      <c r="C523" s="1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2.0" customHeight="1">
      <c r="A524" s="52"/>
      <c r="B524" s="12"/>
      <c r="C524" s="1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2.0" customHeight="1">
      <c r="A525" s="52"/>
      <c r="B525" s="12"/>
      <c r="C525" s="1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2.0" customHeight="1">
      <c r="A526" s="52"/>
      <c r="B526" s="12"/>
      <c r="C526" s="1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2.0" customHeight="1">
      <c r="A527" s="52"/>
      <c r="B527" s="12"/>
      <c r="C527" s="1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2.0" customHeight="1">
      <c r="A528" s="52"/>
      <c r="B528" s="12"/>
      <c r="C528" s="1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2.0" customHeight="1">
      <c r="A529" s="52"/>
      <c r="B529" s="12"/>
      <c r="C529" s="1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2.0" customHeight="1">
      <c r="A530" s="52"/>
      <c r="B530" s="12"/>
      <c r="C530" s="1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2.0" customHeight="1">
      <c r="A531" s="52"/>
      <c r="B531" s="12"/>
      <c r="C531" s="1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2.0" customHeight="1">
      <c r="A532" s="52"/>
      <c r="B532" s="12"/>
      <c r="C532" s="1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2.0" customHeight="1">
      <c r="A533" s="52"/>
      <c r="B533" s="12"/>
      <c r="C533" s="1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2.0" customHeight="1">
      <c r="A534" s="52"/>
      <c r="B534" s="12"/>
      <c r="C534" s="1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2.0" customHeight="1">
      <c r="A535" s="52"/>
      <c r="B535" s="12"/>
      <c r="C535" s="1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2.0" customHeight="1">
      <c r="A536" s="52"/>
      <c r="B536" s="12"/>
      <c r="C536" s="1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2.0" customHeight="1">
      <c r="A537" s="52"/>
      <c r="B537" s="12"/>
      <c r="C537" s="1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2.0" customHeight="1">
      <c r="A538" s="52"/>
      <c r="B538" s="12"/>
      <c r="C538" s="1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2.0" customHeight="1">
      <c r="A539" s="52"/>
      <c r="B539" s="12"/>
      <c r="C539" s="1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2.0" customHeight="1">
      <c r="A540" s="52"/>
      <c r="B540" s="12"/>
      <c r="C540" s="1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2.0" customHeight="1">
      <c r="A541" s="52"/>
      <c r="B541" s="12"/>
      <c r="C541" s="1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2.0" customHeight="1">
      <c r="A542" s="52"/>
      <c r="B542" s="12"/>
      <c r="C542" s="1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2.0" customHeight="1">
      <c r="A543" s="52"/>
      <c r="B543" s="12"/>
      <c r="C543" s="1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2.0" customHeight="1">
      <c r="A544" s="52"/>
      <c r="B544" s="12"/>
      <c r="C544" s="1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2.0" customHeight="1">
      <c r="A545" s="52"/>
      <c r="B545" s="12"/>
      <c r="C545" s="1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2.0" customHeight="1">
      <c r="A546" s="52"/>
      <c r="B546" s="12"/>
      <c r="C546" s="1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2.0" customHeight="1">
      <c r="A547" s="52"/>
      <c r="B547" s="12"/>
      <c r="C547" s="1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2.0" customHeight="1">
      <c r="A548" s="52"/>
      <c r="B548" s="12"/>
      <c r="C548" s="1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2.0" customHeight="1">
      <c r="A549" s="52"/>
      <c r="B549" s="12"/>
      <c r="C549" s="1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2.0" customHeight="1">
      <c r="A550" s="52"/>
      <c r="B550" s="12"/>
      <c r="C550" s="1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2.0" customHeight="1">
      <c r="A551" s="52"/>
      <c r="B551" s="12"/>
      <c r="C551" s="1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2.0" customHeight="1">
      <c r="A552" s="52"/>
      <c r="B552" s="12"/>
      <c r="C552" s="1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2.0" customHeight="1">
      <c r="A553" s="52"/>
      <c r="B553" s="12"/>
      <c r="C553" s="1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2.0" customHeight="1">
      <c r="A554" s="52"/>
      <c r="B554" s="12"/>
      <c r="C554" s="1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2.0" customHeight="1">
      <c r="A555" s="52"/>
      <c r="B555" s="12"/>
      <c r="C555" s="1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2.0" customHeight="1">
      <c r="A556" s="52"/>
      <c r="B556" s="12"/>
      <c r="C556" s="1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2.0" customHeight="1">
      <c r="A557" s="52"/>
      <c r="B557" s="12"/>
      <c r="C557" s="1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2.0" customHeight="1">
      <c r="A558" s="52"/>
      <c r="B558" s="12"/>
      <c r="C558" s="1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2.0" customHeight="1">
      <c r="A559" s="52"/>
      <c r="B559" s="12"/>
      <c r="C559" s="1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2.0" customHeight="1">
      <c r="A560" s="52"/>
      <c r="B560" s="12"/>
      <c r="C560" s="1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2.0" customHeight="1">
      <c r="A561" s="52"/>
      <c r="B561" s="12"/>
      <c r="C561" s="1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2.0" customHeight="1">
      <c r="A562" s="52"/>
      <c r="B562" s="12"/>
      <c r="C562" s="1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2.0" customHeight="1">
      <c r="A563" s="52"/>
      <c r="B563" s="12"/>
      <c r="C563" s="1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2.0" customHeight="1">
      <c r="A564" s="52"/>
      <c r="B564" s="12"/>
      <c r="C564" s="1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2.0" customHeight="1">
      <c r="A565" s="52"/>
      <c r="B565" s="12"/>
      <c r="C565" s="1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2.0" customHeight="1">
      <c r="A566" s="52"/>
      <c r="B566" s="12"/>
      <c r="C566" s="1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2.0" customHeight="1">
      <c r="A567" s="52"/>
      <c r="B567" s="12"/>
      <c r="C567" s="1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2.0" customHeight="1">
      <c r="A568" s="52"/>
      <c r="B568" s="12"/>
      <c r="C568" s="1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2.0" customHeight="1">
      <c r="A569" s="52"/>
      <c r="B569" s="12"/>
      <c r="C569" s="1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2.0" customHeight="1">
      <c r="A570" s="52"/>
      <c r="B570" s="12"/>
      <c r="C570" s="1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2.0" customHeight="1">
      <c r="A571" s="52"/>
      <c r="B571" s="12"/>
      <c r="C571" s="1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2.0" customHeight="1">
      <c r="A572" s="52"/>
      <c r="B572" s="12"/>
      <c r="C572" s="1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2.0" customHeight="1">
      <c r="A573" s="52"/>
      <c r="B573" s="12"/>
      <c r="C573" s="1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2.0" customHeight="1">
      <c r="A574" s="52"/>
      <c r="B574" s="12"/>
      <c r="C574" s="1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2.0" customHeight="1">
      <c r="A575" s="52"/>
      <c r="B575" s="12"/>
      <c r="C575" s="1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2.0" customHeight="1">
      <c r="A576" s="52"/>
      <c r="B576" s="12"/>
      <c r="C576" s="1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2.0" customHeight="1">
      <c r="A577" s="52"/>
      <c r="B577" s="12"/>
      <c r="C577" s="1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2.0" customHeight="1">
      <c r="A578" s="52"/>
      <c r="B578" s="12"/>
      <c r="C578" s="1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2.0" customHeight="1">
      <c r="A579" s="52"/>
      <c r="B579" s="12"/>
      <c r="C579" s="1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2.0" customHeight="1">
      <c r="A580" s="52"/>
      <c r="B580" s="12"/>
      <c r="C580" s="1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2.0" customHeight="1">
      <c r="A581" s="52"/>
      <c r="B581" s="12"/>
      <c r="C581" s="1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2.0" customHeight="1">
      <c r="A582" s="52"/>
      <c r="B582" s="12"/>
      <c r="C582" s="1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2.0" customHeight="1">
      <c r="A583" s="52"/>
      <c r="B583" s="12"/>
      <c r="C583" s="1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2.0" customHeight="1">
      <c r="A584" s="52"/>
      <c r="B584" s="12"/>
      <c r="C584" s="1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2.0" customHeight="1">
      <c r="A585" s="52"/>
      <c r="B585" s="12"/>
      <c r="C585" s="1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2.0" customHeight="1">
      <c r="A586" s="52"/>
      <c r="B586" s="12"/>
      <c r="C586" s="1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2.0" customHeight="1">
      <c r="A587" s="52"/>
      <c r="B587" s="12"/>
      <c r="C587" s="1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2.0" customHeight="1">
      <c r="A588" s="52"/>
      <c r="B588" s="12"/>
      <c r="C588" s="1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2.0" customHeight="1">
      <c r="A589" s="52"/>
      <c r="B589" s="12"/>
      <c r="C589" s="1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2.0" customHeight="1">
      <c r="A590" s="52"/>
      <c r="B590" s="12"/>
      <c r="C590" s="1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2.0" customHeight="1">
      <c r="A591" s="52"/>
      <c r="B591" s="12"/>
      <c r="C591" s="1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2.0" customHeight="1">
      <c r="A592" s="52"/>
      <c r="B592" s="12"/>
      <c r="C592" s="1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2.0" customHeight="1">
      <c r="A593" s="52"/>
      <c r="B593" s="12"/>
      <c r="C593" s="1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2.0" customHeight="1">
      <c r="A594" s="52"/>
      <c r="B594" s="12"/>
      <c r="C594" s="1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2.0" customHeight="1">
      <c r="A595" s="52"/>
      <c r="B595" s="12"/>
      <c r="C595" s="1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2.0" customHeight="1">
      <c r="A596" s="52"/>
      <c r="B596" s="12"/>
      <c r="C596" s="1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2.0" customHeight="1">
      <c r="A597" s="52"/>
      <c r="B597" s="12"/>
      <c r="C597" s="1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2.0" customHeight="1">
      <c r="A598" s="52"/>
      <c r="B598" s="12"/>
      <c r="C598" s="1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2.0" customHeight="1">
      <c r="A599" s="52"/>
      <c r="B599" s="12"/>
      <c r="C599" s="1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2.0" customHeight="1">
      <c r="A600" s="52"/>
      <c r="B600" s="12"/>
      <c r="C600" s="1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2.0" customHeight="1">
      <c r="A601" s="52"/>
      <c r="B601" s="12"/>
      <c r="C601" s="1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2.0" customHeight="1">
      <c r="A602" s="52"/>
      <c r="B602" s="12"/>
      <c r="C602" s="1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2.0" customHeight="1">
      <c r="A603" s="52"/>
      <c r="B603" s="12"/>
      <c r="C603" s="1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2.0" customHeight="1">
      <c r="A604" s="52"/>
      <c r="B604" s="12"/>
      <c r="C604" s="1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2.0" customHeight="1">
      <c r="A605" s="52"/>
      <c r="B605" s="12"/>
      <c r="C605" s="1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2.0" customHeight="1">
      <c r="A606" s="52"/>
      <c r="B606" s="12"/>
      <c r="C606" s="1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2.0" customHeight="1">
      <c r="A607" s="52"/>
      <c r="B607" s="12"/>
      <c r="C607" s="1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2.0" customHeight="1">
      <c r="A608" s="52"/>
      <c r="B608" s="12"/>
      <c r="C608" s="1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2.0" customHeight="1">
      <c r="A609" s="52"/>
      <c r="B609" s="12"/>
      <c r="C609" s="1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2.0" customHeight="1">
      <c r="A610" s="52"/>
      <c r="B610" s="12"/>
      <c r="C610" s="1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2.0" customHeight="1">
      <c r="A611" s="52"/>
      <c r="B611" s="12"/>
      <c r="C611" s="1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2.0" customHeight="1">
      <c r="A612" s="52"/>
      <c r="B612" s="12"/>
      <c r="C612" s="1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2.0" customHeight="1">
      <c r="A613" s="52"/>
      <c r="B613" s="12"/>
      <c r="C613" s="1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2.0" customHeight="1">
      <c r="A614" s="52"/>
      <c r="B614" s="12"/>
      <c r="C614" s="1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2.0" customHeight="1">
      <c r="A615" s="52"/>
      <c r="B615" s="12"/>
      <c r="C615" s="1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2.0" customHeight="1">
      <c r="A616" s="52"/>
      <c r="B616" s="12"/>
      <c r="C616" s="1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2.0" customHeight="1">
      <c r="A617" s="52"/>
      <c r="B617" s="12"/>
      <c r="C617" s="1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2.0" customHeight="1">
      <c r="A618" s="52"/>
      <c r="B618" s="12"/>
      <c r="C618" s="1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2.0" customHeight="1">
      <c r="A619" s="52"/>
      <c r="B619" s="12"/>
      <c r="C619" s="1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2.0" customHeight="1">
      <c r="A620" s="52"/>
      <c r="B620" s="12"/>
      <c r="C620" s="1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2.0" customHeight="1">
      <c r="A621" s="52"/>
      <c r="B621" s="12"/>
      <c r="C621" s="1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2.0" customHeight="1">
      <c r="A622" s="52"/>
      <c r="B622" s="12"/>
      <c r="C622" s="1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2.0" customHeight="1">
      <c r="A623" s="52"/>
      <c r="B623" s="12"/>
      <c r="C623" s="1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2.0" customHeight="1">
      <c r="A624" s="52"/>
      <c r="B624" s="12"/>
      <c r="C624" s="1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2.0" customHeight="1">
      <c r="A625" s="52"/>
      <c r="B625" s="12"/>
      <c r="C625" s="1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2.0" customHeight="1">
      <c r="A626" s="52"/>
      <c r="B626" s="12"/>
      <c r="C626" s="1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2.0" customHeight="1">
      <c r="A627" s="52"/>
      <c r="B627" s="12"/>
      <c r="C627" s="1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2.0" customHeight="1">
      <c r="A628" s="52"/>
      <c r="B628" s="12"/>
      <c r="C628" s="1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2.0" customHeight="1">
      <c r="A629" s="52"/>
      <c r="B629" s="12"/>
      <c r="C629" s="1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2.0" customHeight="1">
      <c r="A630" s="52"/>
      <c r="B630" s="12"/>
      <c r="C630" s="1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2.0" customHeight="1">
      <c r="A631" s="52"/>
      <c r="B631" s="12"/>
      <c r="C631" s="1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2.0" customHeight="1">
      <c r="A632" s="52"/>
      <c r="B632" s="12"/>
      <c r="C632" s="1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2.0" customHeight="1">
      <c r="A633" s="52"/>
      <c r="B633" s="12"/>
      <c r="C633" s="1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2.0" customHeight="1">
      <c r="A634" s="52"/>
      <c r="B634" s="12"/>
      <c r="C634" s="1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2.0" customHeight="1">
      <c r="A635" s="52"/>
      <c r="B635" s="12"/>
      <c r="C635" s="1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2.0" customHeight="1">
      <c r="A636" s="52"/>
      <c r="B636" s="12"/>
      <c r="C636" s="1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2.0" customHeight="1">
      <c r="A637" s="52"/>
      <c r="B637" s="12"/>
      <c r="C637" s="1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2.0" customHeight="1">
      <c r="A638" s="52"/>
      <c r="B638" s="12"/>
      <c r="C638" s="1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2.0" customHeight="1">
      <c r="A639" s="52"/>
      <c r="B639" s="12"/>
      <c r="C639" s="1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2.0" customHeight="1">
      <c r="A640" s="52"/>
      <c r="B640" s="12"/>
      <c r="C640" s="1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2.0" customHeight="1">
      <c r="A641" s="52"/>
      <c r="B641" s="12"/>
      <c r="C641" s="1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2.0" customHeight="1">
      <c r="A642" s="52"/>
      <c r="B642" s="12"/>
      <c r="C642" s="1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2.0" customHeight="1">
      <c r="A643" s="52"/>
      <c r="B643" s="12"/>
      <c r="C643" s="1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2.0" customHeight="1">
      <c r="A644" s="52"/>
      <c r="B644" s="12"/>
      <c r="C644" s="1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2.0" customHeight="1">
      <c r="A645" s="52"/>
      <c r="B645" s="12"/>
      <c r="C645" s="1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2.0" customHeight="1">
      <c r="A646" s="52"/>
      <c r="B646" s="12"/>
      <c r="C646" s="1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2.0" customHeight="1">
      <c r="A647" s="52"/>
      <c r="B647" s="12"/>
      <c r="C647" s="1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2.0" customHeight="1">
      <c r="A648" s="52"/>
      <c r="B648" s="12"/>
      <c r="C648" s="1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2.0" customHeight="1">
      <c r="A649" s="52"/>
      <c r="B649" s="12"/>
      <c r="C649" s="1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2.0" customHeight="1">
      <c r="A650" s="52"/>
      <c r="B650" s="12"/>
      <c r="C650" s="1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2.0" customHeight="1">
      <c r="A651" s="52"/>
      <c r="B651" s="12"/>
      <c r="C651" s="1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2.0" customHeight="1">
      <c r="A652" s="52"/>
      <c r="B652" s="12"/>
      <c r="C652" s="1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2.0" customHeight="1">
      <c r="A653" s="52"/>
      <c r="B653" s="12"/>
      <c r="C653" s="1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2.0" customHeight="1">
      <c r="A654" s="52"/>
      <c r="B654" s="12"/>
      <c r="C654" s="1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2.0" customHeight="1">
      <c r="A655" s="52"/>
      <c r="B655" s="12"/>
      <c r="C655" s="1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2.0" customHeight="1">
      <c r="A656" s="52"/>
      <c r="B656" s="12"/>
      <c r="C656" s="1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2.0" customHeight="1">
      <c r="A657" s="52"/>
      <c r="B657" s="12"/>
      <c r="C657" s="1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2.0" customHeight="1">
      <c r="A658" s="52"/>
      <c r="B658" s="12"/>
      <c r="C658" s="1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2.0" customHeight="1">
      <c r="A659" s="52"/>
      <c r="B659" s="12"/>
      <c r="C659" s="1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2.0" customHeight="1">
      <c r="A660" s="52"/>
      <c r="B660" s="12"/>
      <c r="C660" s="1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2.0" customHeight="1">
      <c r="A661" s="52"/>
      <c r="B661" s="12"/>
      <c r="C661" s="1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2.0" customHeight="1">
      <c r="A662" s="52"/>
      <c r="B662" s="12"/>
      <c r="C662" s="1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2.0" customHeight="1">
      <c r="A663" s="52"/>
      <c r="B663" s="12"/>
      <c r="C663" s="1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2.0" customHeight="1">
      <c r="A664" s="52"/>
      <c r="B664" s="12"/>
      <c r="C664" s="1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2.0" customHeight="1">
      <c r="A665" s="52"/>
      <c r="B665" s="12"/>
      <c r="C665" s="1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2.0" customHeight="1">
      <c r="A666" s="52"/>
      <c r="B666" s="12"/>
      <c r="C666" s="1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2.0" customHeight="1">
      <c r="A667" s="52"/>
      <c r="B667" s="12"/>
      <c r="C667" s="1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2.0" customHeight="1">
      <c r="A668" s="52"/>
      <c r="B668" s="12"/>
      <c r="C668" s="1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2.0" customHeight="1">
      <c r="A669" s="52"/>
      <c r="B669" s="12"/>
      <c r="C669" s="1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2.0" customHeight="1">
      <c r="A670" s="52"/>
      <c r="B670" s="12"/>
      <c r="C670" s="1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2.0" customHeight="1">
      <c r="A671" s="52"/>
      <c r="B671" s="12"/>
      <c r="C671" s="1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2.0" customHeight="1">
      <c r="A672" s="52"/>
      <c r="B672" s="12"/>
      <c r="C672" s="1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2.0" customHeight="1">
      <c r="A673" s="52"/>
      <c r="B673" s="12"/>
      <c r="C673" s="1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2.0" customHeight="1">
      <c r="A674" s="52"/>
      <c r="B674" s="12"/>
      <c r="C674" s="1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2.0" customHeight="1">
      <c r="A675" s="52"/>
      <c r="B675" s="12"/>
      <c r="C675" s="1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2.0" customHeight="1">
      <c r="A676" s="52"/>
      <c r="B676" s="12"/>
      <c r="C676" s="1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2.0" customHeight="1">
      <c r="A677" s="52"/>
      <c r="B677" s="12"/>
      <c r="C677" s="1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2.0" customHeight="1">
      <c r="A678" s="52"/>
      <c r="B678" s="12"/>
      <c r="C678" s="1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2.0" customHeight="1">
      <c r="A679" s="52"/>
      <c r="B679" s="12"/>
      <c r="C679" s="1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2.0" customHeight="1">
      <c r="A680" s="52"/>
      <c r="B680" s="12"/>
      <c r="C680" s="1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2.0" customHeight="1">
      <c r="A681" s="52"/>
      <c r="B681" s="12"/>
      <c r="C681" s="1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2.0" customHeight="1">
      <c r="A682" s="52"/>
      <c r="B682" s="12"/>
      <c r="C682" s="1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2.0" customHeight="1">
      <c r="A683" s="52"/>
      <c r="B683" s="12"/>
      <c r="C683" s="1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2.0" customHeight="1">
      <c r="A684" s="52"/>
      <c r="B684" s="12"/>
      <c r="C684" s="1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2.0" customHeight="1">
      <c r="A685" s="52"/>
      <c r="B685" s="12"/>
      <c r="C685" s="1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2.0" customHeight="1">
      <c r="A686" s="52"/>
      <c r="B686" s="12"/>
      <c r="C686" s="1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2.0" customHeight="1">
      <c r="A687" s="52"/>
      <c r="B687" s="12"/>
      <c r="C687" s="1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2.0" customHeight="1">
      <c r="A688" s="52"/>
      <c r="B688" s="12"/>
      <c r="C688" s="1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2.0" customHeight="1">
      <c r="A689" s="52"/>
      <c r="B689" s="12"/>
      <c r="C689" s="1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2.0" customHeight="1">
      <c r="A690" s="52"/>
      <c r="B690" s="12"/>
      <c r="C690" s="1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2.0" customHeight="1">
      <c r="A691" s="52"/>
      <c r="B691" s="12"/>
      <c r="C691" s="1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2.0" customHeight="1">
      <c r="A692" s="52"/>
      <c r="B692" s="12"/>
      <c r="C692" s="1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2.0" customHeight="1">
      <c r="A693" s="52"/>
      <c r="B693" s="12"/>
      <c r="C693" s="1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2.0" customHeight="1">
      <c r="A694" s="52"/>
      <c r="B694" s="12"/>
      <c r="C694" s="1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2.0" customHeight="1">
      <c r="A695" s="52"/>
      <c r="B695" s="12"/>
      <c r="C695" s="1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2.0" customHeight="1">
      <c r="A696" s="52"/>
      <c r="B696" s="12"/>
      <c r="C696" s="1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2.0" customHeight="1">
      <c r="A697" s="52"/>
      <c r="B697" s="12"/>
      <c r="C697" s="1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2.0" customHeight="1">
      <c r="A698" s="52"/>
      <c r="B698" s="12"/>
      <c r="C698" s="1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2.0" customHeight="1">
      <c r="A699" s="52"/>
      <c r="B699" s="12"/>
      <c r="C699" s="1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2.0" customHeight="1">
      <c r="A700" s="52"/>
      <c r="B700" s="12"/>
      <c r="C700" s="1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2.0" customHeight="1">
      <c r="A701" s="52"/>
      <c r="B701" s="12"/>
      <c r="C701" s="1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2.0" customHeight="1">
      <c r="A702" s="52"/>
      <c r="B702" s="12"/>
      <c r="C702" s="1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2.0" customHeight="1">
      <c r="A703" s="52"/>
      <c r="B703" s="12"/>
      <c r="C703" s="1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2.0" customHeight="1">
      <c r="A704" s="52"/>
      <c r="B704" s="12"/>
      <c r="C704" s="1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2.0" customHeight="1">
      <c r="A705" s="52"/>
      <c r="B705" s="12"/>
      <c r="C705" s="1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2.0" customHeight="1">
      <c r="A706" s="52"/>
      <c r="B706" s="12"/>
      <c r="C706" s="1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2.0" customHeight="1">
      <c r="A707" s="52"/>
      <c r="B707" s="12"/>
      <c r="C707" s="1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2.0" customHeight="1">
      <c r="A708" s="52"/>
      <c r="B708" s="12"/>
      <c r="C708" s="1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2.0" customHeight="1">
      <c r="A709" s="52"/>
      <c r="B709" s="12"/>
      <c r="C709" s="1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2.0" customHeight="1">
      <c r="A710" s="52"/>
      <c r="B710" s="12"/>
      <c r="C710" s="1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2.0" customHeight="1">
      <c r="A711" s="52"/>
      <c r="B711" s="12"/>
      <c r="C711" s="1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2.0" customHeight="1">
      <c r="A712" s="52"/>
      <c r="B712" s="12"/>
      <c r="C712" s="1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2.0" customHeight="1">
      <c r="A713" s="52"/>
      <c r="B713" s="12"/>
      <c r="C713" s="1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2.0" customHeight="1">
      <c r="A714" s="52"/>
      <c r="B714" s="12"/>
      <c r="C714" s="1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2.0" customHeight="1">
      <c r="A715" s="52"/>
      <c r="B715" s="12"/>
      <c r="C715" s="1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2.0" customHeight="1">
      <c r="A716" s="52"/>
      <c r="B716" s="12"/>
      <c r="C716" s="1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2.0" customHeight="1">
      <c r="A717" s="52"/>
      <c r="B717" s="12"/>
      <c r="C717" s="1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2.0" customHeight="1">
      <c r="A718" s="52"/>
      <c r="B718" s="12"/>
      <c r="C718" s="1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2.0" customHeight="1">
      <c r="A719" s="52"/>
      <c r="B719" s="12"/>
      <c r="C719" s="1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2.0" customHeight="1">
      <c r="A720" s="52"/>
      <c r="B720" s="12"/>
      <c r="C720" s="1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2.0" customHeight="1">
      <c r="A721" s="52"/>
      <c r="B721" s="12"/>
      <c r="C721" s="1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2.0" customHeight="1">
      <c r="A722" s="52"/>
      <c r="B722" s="12"/>
      <c r="C722" s="1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2.0" customHeight="1">
      <c r="A723" s="52"/>
      <c r="B723" s="12"/>
      <c r="C723" s="1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2.0" customHeight="1">
      <c r="A724" s="52"/>
      <c r="B724" s="12"/>
      <c r="C724" s="1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2.0" customHeight="1">
      <c r="A725" s="52"/>
      <c r="B725" s="12"/>
      <c r="C725" s="1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2.0" customHeight="1">
      <c r="A726" s="52"/>
      <c r="B726" s="12"/>
      <c r="C726" s="1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2.0" customHeight="1">
      <c r="A727" s="52"/>
      <c r="B727" s="12"/>
      <c r="C727" s="1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2.0" customHeight="1">
      <c r="A728" s="52"/>
      <c r="B728" s="12"/>
      <c r="C728" s="1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2.0" customHeight="1">
      <c r="A729" s="52"/>
      <c r="B729" s="12"/>
      <c r="C729" s="1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2.0" customHeight="1">
      <c r="A730" s="52"/>
      <c r="B730" s="12"/>
      <c r="C730" s="1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2.0" customHeight="1">
      <c r="A731" s="52"/>
      <c r="B731" s="12"/>
      <c r="C731" s="1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2.0" customHeight="1">
      <c r="A732" s="52"/>
      <c r="B732" s="12"/>
      <c r="C732" s="1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2.0" customHeight="1">
      <c r="A733" s="52"/>
      <c r="B733" s="12"/>
      <c r="C733" s="1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2.0" customHeight="1">
      <c r="A734" s="52"/>
      <c r="B734" s="12"/>
      <c r="C734" s="1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2.0" customHeight="1">
      <c r="A735" s="52"/>
      <c r="B735" s="12"/>
      <c r="C735" s="1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2.0" customHeight="1">
      <c r="A736" s="52"/>
      <c r="B736" s="12"/>
      <c r="C736" s="1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2.0" customHeight="1">
      <c r="A737" s="52"/>
      <c r="B737" s="12"/>
      <c r="C737" s="1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2.0" customHeight="1">
      <c r="A738" s="52"/>
      <c r="B738" s="12"/>
      <c r="C738" s="1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2.0" customHeight="1">
      <c r="A739" s="52"/>
      <c r="B739" s="12"/>
      <c r="C739" s="1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2.0" customHeight="1">
      <c r="A740" s="52"/>
      <c r="B740" s="12"/>
      <c r="C740" s="1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2.0" customHeight="1">
      <c r="A741" s="52"/>
      <c r="B741" s="12"/>
      <c r="C741" s="1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2.0" customHeight="1">
      <c r="A742" s="52"/>
      <c r="B742" s="12"/>
      <c r="C742" s="1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2.0" customHeight="1">
      <c r="A743" s="52"/>
      <c r="B743" s="12"/>
      <c r="C743" s="1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2.0" customHeight="1">
      <c r="A744" s="52"/>
      <c r="B744" s="12"/>
      <c r="C744" s="1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2.0" customHeight="1">
      <c r="A745" s="52"/>
      <c r="B745" s="12"/>
      <c r="C745" s="1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2.0" customHeight="1">
      <c r="A746" s="52"/>
      <c r="B746" s="12"/>
      <c r="C746" s="1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2.0" customHeight="1">
      <c r="A747" s="52"/>
      <c r="B747" s="12"/>
      <c r="C747" s="1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2.0" customHeight="1">
      <c r="A748" s="52"/>
      <c r="B748" s="12"/>
      <c r="C748" s="1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2.0" customHeight="1">
      <c r="A749" s="52"/>
      <c r="B749" s="12"/>
      <c r="C749" s="1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2.0" customHeight="1">
      <c r="A750" s="52"/>
      <c r="B750" s="12"/>
      <c r="C750" s="1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2.0" customHeight="1">
      <c r="A751" s="52"/>
      <c r="B751" s="12"/>
      <c r="C751" s="1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2.0" customHeight="1">
      <c r="A752" s="52"/>
      <c r="B752" s="12"/>
      <c r="C752" s="1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2.0" customHeight="1">
      <c r="A753" s="52"/>
      <c r="B753" s="12"/>
      <c r="C753" s="1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2.0" customHeight="1">
      <c r="A754" s="52"/>
      <c r="B754" s="12"/>
      <c r="C754" s="1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2.0" customHeight="1">
      <c r="A755" s="52"/>
      <c r="B755" s="12"/>
      <c r="C755" s="1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2.0" customHeight="1">
      <c r="A756" s="52"/>
      <c r="B756" s="12"/>
      <c r="C756" s="1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2.0" customHeight="1">
      <c r="A757" s="52"/>
      <c r="B757" s="12"/>
      <c r="C757" s="1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2.0" customHeight="1">
      <c r="A758" s="52"/>
      <c r="B758" s="12"/>
      <c r="C758" s="1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2.0" customHeight="1">
      <c r="A759" s="52"/>
      <c r="B759" s="12"/>
      <c r="C759" s="1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2.0" customHeight="1">
      <c r="A760" s="52"/>
      <c r="B760" s="12"/>
      <c r="C760" s="1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2.0" customHeight="1">
      <c r="A761" s="52"/>
      <c r="B761" s="12"/>
      <c r="C761" s="1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2.0" customHeight="1">
      <c r="A762" s="52"/>
      <c r="B762" s="12"/>
      <c r="C762" s="1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2.0" customHeight="1">
      <c r="A763" s="52"/>
      <c r="B763" s="12"/>
      <c r="C763" s="1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2.0" customHeight="1">
      <c r="A764" s="52"/>
      <c r="B764" s="12"/>
      <c r="C764" s="1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2.0" customHeight="1">
      <c r="A765" s="52"/>
      <c r="B765" s="12"/>
      <c r="C765" s="1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2.0" customHeight="1">
      <c r="A766" s="52"/>
      <c r="B766" s="12"/>
      <c r="C766" s="1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2.0" customHeight="1">
      <c r="A767" s="52"/>
      <c r="B767" s="12"/>
      <c r="C767" s="1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2.0" customHeight="1">
      <c r="A768" s="52"/>
      <c r="B768" s="12"/>
      <c r="C768" s="1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2.0" customHeight="1">
      <c r="A769" s="52"/>
      <c r="B769" s="12"/>
      <c r="C769" s="1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2.0" customHeight="1">
      <c r="A770" s="52"/>
      <c r="B770" s="12"/>
      <c r="C770" s="1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2.0" customHeight="1">
      <c r="A771" s="52"/>
      <c r="B771" s="12"/>
      <c r="C771" s="1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2.0" customHeight="1">
      <c r="A772" s="52"/>
      <c r="B772" s="12"/>
      <c r="C772" s="1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2.0" customHeight="1">
      <c r="A773" s="52"/>
      <c r="B773" s="12"/>
      <c r="C773" s="1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2.0" customHeight="1">
      <c r="A774" s="52"/>
      <c r="B774" s="12"/>
      <c r="C774" s="1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2.0" customHeight="1">
      <c r="A775" s="52"/>
      <c r="B775" s="12"/>
      <c r="C775" s="1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2.0" customHeight="1">
      <c r="A776" s="52"/>
      <c r="B776" s="12"/>
      <c r="C776" s="1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2.0" customHeight="1">
      <c r="A777" s="52"/>
      <c r="B777" s="12"/>
      <c r="C777" s="1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2.0" customHeight="1">
      <c r="A778" s="52"/>
      <c r="B778" s="12"/>
      <c r="C778" s="1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2.0" customHeight="1">
      <c r="A779" s="52"/>
      <c r="B779" s="12"/>
      <c r="C779" s="1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2.0" customHeight="1">
      <c r="A780" s="52"/>
      <c r="B780" s="12"/>
      <c r="C780" s="1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2.0" customHeight="1">
      <c r="A781" s="52"/>
      <c r="B781" s="12"/>
      <c r="C781" s="1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2.0" customHeight="1">
      <c r="A782" s="52"/>
      <c r="B782" s="12"/>
      <c r="C782" s="1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2.0" customHeight="1">
      <c r="A783" s="52"/>
      <c r="B783" s="12"/>
      <c r="C783" s="1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2.0" customHeight="1">
      <c r="A784" s="52"/>
      <c r="B784" s="12"/>
      <c r="C784" s="1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2.0" customHeight="1">
      <c r="A785" s="52"/>
      <c r="B785" s="12"/>
      <c r="C785" s="1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2.0" customHeight="1">
      <c r="A786" s="52"/>
      <c r="B786" s="12"/>
      <c r="C786" s="1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2.0" customHeight="1">
      <c r="A787" s="52"/>
      <c r="B787" s="12"/>
      <c r="C787" s="1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2.0" customHeight="1">
      <c r="A788" s="52"/>
      <c r="B788" s="12"/>
      <c r="C788" s="1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2.0" customHeight="1">
      <c r="A789" s="52"/>
      <c r="B789" s="12"/>
      <c r="C789" s="1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2.0" customHeight="1">
      <c r="A790" s="52"/>
      <c r="B790" s="12"/>
      <c r="C790" s="1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2.0" customHeight="1">
      <c r="A791" s="52"/>
      <c r="B791" s="12"/>
      <c r="C791" s="1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2.0" customHeight="1">
      <c r="A792" s="52"/>
      <c r="B792" s="12"/>
      <c r="C792" s="1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2.0" customHeight="1">
      <c r="A793" s="52"/>
      <c r="B793" s="12"/>
      <c r="C793" s="1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2.0" customHeight="1">
      <c r="A794" s="52"/>
      <c r="B794" s="12"/>
      <c r="C794" s="1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2.0" customHeight="1">
      <c r="A795" s="52"/>
      <c r="B795" s="12"/>
      <c r="C795" s="1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2.0" customHeight="1">
      <c r="A796" s="52"/>
      <c r="B796" s="12"/>
      <c r="C796" s="1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2.0" customHeight="1">
      <c r="A797" s="52"/>
      <c r="B797" s="12"/>
      <c r="C797" s="1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2.0" customHeight="1">
      <c r="A798" s="52"/>
      <c r="B798" s="12"/>
      <c r="C798" s="1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2.0" customHeight="1">
      <c r="A799" s="52"/>
      <c r="B799" s="12"/>
      <c r="C799" s="1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2.0" customHeight="1">
      <c r="A800" s="52"/>
      <c r="B800" s="12"/>
      <c r="C800" s="1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2.0" customHeight="1">
      <c r="A801" s="52"/>
      <c r="B801" s="12"/>
      <c r="C801" s="1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2.0" customHeight="1">
      <c r="A802" s="52"/>
      <c r="B802" s="12"/>
      <c r="C802" s="1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2.0" customHeight="1">
      <c r="A803" s="52"/>
      <c r="B803" s="12"/>
      <c r="C803" s="1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2.0" customHeight="1">
      <c r="A804" s="52"/>
      <c r="B804" s="12"/>
      <c r="C804" s="1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2.0" customHeight="1">
      <c r="A805" s="52"/>
      <c r="B805" s="12"/>
      <c r="C805" s="1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2.0" customHeight="1">
      <c r="A806" s="52"/>
      <c r="B806" s="12"/>
      <c r="C806" s="1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2.0" customHeight="1">
      <c r="A807" s="52"/>
      <c r="B807" s="12"/>
      <c r="C807" s="1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2.0" customHeight="1">
      <c r="A808" s="52"/>
      <c r="B808" s="12"/>
      <c r="C808" s="1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2.0" customHeight="1">
      <c r="A809" s="52"/>
      <c r="B809" s="12"/>
      <c r="C809" s="1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2.0" customHeight="1">
      <c r="A810" s="52"/>
      <c r="B810" s="12"/>
      <c r="C810" s="1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2.0" customHeight="1">
      <c r="A811" s="52"/>
      <c r="B811" s="12"/>
      <c r="C811" s="1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2.0" customHeight="1">
      <c r="A812" s="52"/>
      <c r="B812" s="12"/>
      <c r="C812" s="1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2.0" customHeight="1">
      <c r="A813" s="52"/>
      <c r="B813" s="12"/>
      <c r="C813" s="1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2.0" customHeight="1">
      <c r="A814" s="52"/>
      <c r="B814" s="12"/>
      <c r="C814" s="1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2.0" customHeight="1">
      <c r="A815" s="52"/>
      <c r="B815" s="12"/>
      <c r="C815" s="1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2.0" customHeight="1">
      <c r="A816" s="52"/>
      <c r="B816" s="12"/>
      <c r="C816" s="1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2.0" customHeight="1">
      <c r="A817" s="52"/>
      <c r="B817" s="12"/>
      <c r="C817" s="1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2.0" customHeight="1">
      <c r="A818" s="52"/>
      <c r="B818" s="12"/>
      <c r="C818" s="1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2.0" customHeight="1">
      <c r="A819" s="52"/>
      <c r="B819" s="12"/>
      <c r="C819" s="1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2.0" customHeight="1">
      <c r="A820" s="52"/>
      <c r="B820" s="12"/>
      <c r="C820" s="1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2.0" customHeight="1">
      <c r="A821" s="52"/>
      <c r="B821" s="12"/>
      <c r="C821" s="1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2.0" customHeight="1">
      <c r="A822" s="52"/>
      <c r="B822" s="12"/>
      <c r="C822" s="1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2.0" customHeight="1">
      <c r="A823" s="52"/>
      <c r="B823" s="12"/>
      <c r="C823" s="1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2.0" customHeight="1">
      <c r="A824" s="52"/>
      <c r="B824" s="12"/>
      <c r="C824" s="1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2.0" customHeight="1">
      <c r="A825" s="52"/>
      <c r="B825" s="12"/>
      <c r="C825" s="1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2.0" customHeight="1">
      <c r="A826" s="52"/>
      <c r="B826" s="12"/>
      <c r="C826" s="1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2.0" customHeight="1">
      <c r="A827" s="52"/>
      <c r="B827" s="12"/>
      <c r="C827" s="1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2.0" customHeight="1">
      <c r="A828" s="52"/>
      <c r="B828" s="12"/>
      <c r="C828" s="1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2.0" customHeight="1">
      <c r="A829" s="52"/>
      <c r="B829" s="12"/>
      <c r="C829" s="1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2.0" customHeight="1">
      <c r="A830" s="52"/>
      <c r="B830" s="12"/>
      <c r="C830" s="1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2.0" customHeight="1">
      <c r="A831" s="52"/>
      <c r="B831" s="12"/>
      <c r="C831" s="1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2.0" customHeight="1">
      <c r="A832" s="52"/>
      <c r="B832" s="12"/>
      <c r="C832" s="1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2.0" customHeight="1">
      <c r="A833" s="52"/>
      <c r="B833" s="12"/>
      <c r="C833" s="1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2.0" customHeight="1">
      <c r="A834" s="52"/>
      <c r="B834" s="12"/>
      <c r="C834" s="1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2.0" customHeight="1">
      <c r="A835" s="52"/>
      <c r="B835" s="12"/>
      <c r="C835" s="1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2.0" customHeight="1">
      <c r="A836" s="52"/>
      <c r="B836" s="12"/>
      <c r="C836" s="1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2.0" customHeight="1">
      <c r="A837" s="52"/>
      <c r="B837" s="12"/>
      <c r="C837" s="1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2.0" customHeight="1">
      <c r="A838" s="52"/>
      <c r="B838" s="12"/>
      <c r="C838" s="1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2.0" customHeight="1">
      <c r="A839" s="52"/>
      <c r="B839" s="12"/>
      <c r="C839" s="1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2.0" customHeight="1">
      <c r="A840" s="52"/>
      <c r="B840" s="12"/>
      <c r="C840" s="1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2.0" customHeight="1">
      <c r="A841" s="52"/>
      <c r="B841" s="12"/>
      <c r="C841" s="1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2.0" customHeight="1">
      <c r="A842" s="52"/>
      <c r="B842" s="12"/>
      <c r="C842" s="1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2.0" customHeight="1">
      <c r="A843" s="52"/>
      <c r="B843" s="12"/>
      <c r="C843" s="1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2.0" customHeight="1">
      <c r="A844" s="52"/>
      <c r="B844" s="12"/>
      <c r="C844" s="1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2.0" customHeight="1">
      <c r="A845" s="52"/>
      <c r="B845" s="12"/>
      <c r="C845" s="1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2.0" customHeight="1">
      <c r="A846" s="52"/>
      <c r="B846" s="12"/>
      <c r="C846" s="1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2.0" customHeight="1">
      <c r="A847" s="52"/>
      <c r="B847" s="12"/>
      <c r="C847" s="1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2.0" customHeight="1">
      <c r="A848" s="52"/>
      <c r="B848" s="12"/>
      <c r="C848" s="1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2.0" customHeight="1">
      <c r="A849" s="52"/>
      <c r="B849" s="12"/>
      <c r="C849" s="1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2.0" customHeight="1">
      <c r="A850" s="52"/>
      <c r="B850" s="12"/>
      <c r="C850" s="1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2.0" customHeight="1">
      <c r="A851" s="52"/>
      <c r="B851" s="12"/>
      <c r="C851" s="1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2.0" customHeight="1">
      <c r="A852" s="52"/>
      <c r="B852" s="12"/>
      <c r="C852" s="1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2.0" customHeight="1">
      <c r="A853" s="52"/>
      <c r="B853" s="12"/>
      <c r="C853" s="1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2.0" customHeight="1">
      <c r="A854" s="52"/>
      <c r="B854" s="12"/>
      <c r="C854" s="1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2.0" customHeight="1">
      <c r="A855" s="52"/>
      <c r="B855" s="12"/>
      <c r="C855" s="1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2.0" customHeight="1">
      <c r="A856" s="52"/>
      <c r="B856" s="12"/>
      <c r="C856" s="1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2.0" customHeight="1">
      <c r="A857" s="52"/>
      <c r="B857" s="12"/>
      <c r="C857" s="1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2.0" customHeight="1">
      <c r="A858" s="52"/>
      <c r="B858" s="12"/>
      <c r="C858" s="1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2.0" customHeight="1">
      <c r="A859" s="52"/>
      <c r="B859" s="12"/>
      <c r="C859" s="1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2.0" customHeight="1">
      <c r="A860" s="52"/>
      <c r="B860" s="12"/>
      <c r="C860" s="1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2.0" customHeight="1">
      <c r="A861" s="52"/>
      <c r="B861" s="12"/>
      <c r="C861" s="1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2.0" customHeight="1">
      <c r="A862" s="52"/>
      <c r="B862" s="12"/>
      <c r="C862" s="1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2.0" customHeight="1">
      <c r="A863" s="52"/>
      <c r="B863" s="12"/>
      <c r="C863" s="1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2.0" customHeight="1">
      <c r="A864" s="52"/>
      <c r="B864" s="12"/>
      <c r="C864" s="1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2.0" customHeight="1">
      <c r="A865" s="52"/>
      <c r="B865" s="12"/>
      <c r="C865" s="1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2.0" customHeight="1">
      <c r="A866" s="52"/>
      <c r="B866" s="12"/>
      <c r="C866" s="1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2.0" customHeight="1">
      <c r="A867" s="52"/>
      <c r="B867" s="12"/>
      <c r="C867" s="1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2.0" customHeight="1">
      <c r="A868" s="52"/>
      <c r="B868" s="12"/>
      <c r="C868" s="1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2.0" customHeight="1">
      <c r="A869" s="52"/>
      <c r="B869" s="12"/>
      <c r="C869" s="1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2.0" customHeight="1">
      <c r="A870" s="52"/>
      <c r="B870" s="12"/>
      <c r="C870" s="1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2.0" customHeight="1">
      <c r="A871" s="52"/>
      <c r="B871" s="12"/>
      <c r="C871" s="1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2.0" customHeight="1">
      <c r="A872" s="52"/>
      <c r="B872" s="12"/>
      <c r="C872" s="1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2.0" customHeight="1">
      <c r="A873" s="52"/>
      <c r="B873" s="12"/>
      <c r="C873" s="1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2.0" customHeight="1">
      <c r="A874" s="52"/>
      <c r="B874" s="12"/>
      <c r="C874" s="1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2.0" customHeight="1">
      <c r="A875" s="52"/>
      <c r="B875" s="12"/>
      <c r="C875" s="1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2.0" customHeight="1">
      <c r="A876" s="52"/>
      <c r="B876" s="12"/>
      <c r="C876" s="1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2.0" customHeight="1">
      <c r="A877" s="52"/>
      <c r="B877" s="12"/>
      <c r="C877" s="1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2.0" customHeight="1">
      <c r="A878" s="52"/>
      <c r="B878" s="12"/>
      <c r="C878" s="1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2.0" customHeight="1">
      <c r="A879" s="52"/>
      <c r="B879" s="12"/>
      <c r="C879" s="1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2.0" customHeight="1">
      <c r="A880" s="52"/>
      <c r="B880" s="12"/>
      <c r="C880" s="1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2.0" customHeight="1">
      <c r="A881" s="52"/>
      <c r="B881" s="12"/>
      <c r="C881" s="1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2.0" customHeight="1">
      <c r="A882" s="52"/>
      <c r="B882" s="12"/>
      <c r="C882" s="1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2.0" customHeight="1">
      <c r="A883" s="52"/>
      <c r="B883" s="12"/>
      <c r="C883" s="1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2.0" customHeight="1">
      <c r="A884" s="52"/>
      <c r="B884" s="12"/>
      <c r="C884" s="1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2.0" customHeight="1">
      <c r="A885" s="52"/>
      <c r="B885" s="12"/>
      <c r="C885" s="1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2.0" customHeight="1">
      <c r="A886" s="52"/>
      <c r="B886" s="12"/>
      <c r="C886" s="1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2.0" customHeight="1">
      <c r="A887" s="52"/>
      <c r="B887" s="12"/>
      <c r="C887" s="1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2.0" customHeight="1">
      <c r="A888" s="52"/>
      <c r="B888" s="12"/>
      <c r="C888" s="1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2.0" customHeight="1">
      <c r="A889" s="52"/>
      <c r="B889" s="12"/>
      <c r="C889" s="1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2.0" customHeight="1">
      <c r="A890" s="52"/>
      <c r="B890" s="12"/>
      <c r="C890" s="1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2.0" customHeight="1">
      <c r="A891" s="52"/>
      <c r="B891" s="12"/>
      <c r="C891" s="1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2.0" customHeight="1">
      <c r="A892" s="52"/>
      <c r="B892" s="12"/>
      <c r="C892" s="1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2.0" customHeight="1">
      <c r="A893" s="52"/>
      <c r="B893" s="12"/>
      <c r="C893" s="1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2.0" customHeight="1">
      <c r="A894" s="52"/>
      <c r="B894" s="12"/>
      <c r="C894" s="1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2.0" customHeight="1">
      <c r="A895" s="52"/>
      <c r="B895" s="12"/>
      <c r="C895" s="1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2.0" customHeight="1">
      <c r="A896" s="52"/>
      <c r="B896" s="12"/>
      <c r="C896" s="1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2.0" customHeight="1">
      <c r="A897" s="52"/>
      <c r="B897" s="12"/>
      <c r="C897" s="1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2.0" customHeight="1">
      <c r="A898" s="52"/>
      <c r="B898" s="12"/>
      <c r="C898" s="1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2.0" customHeight="1">
      <c r="A899" s="52"/>
      <c r="B899" s="12"/>
      <c r="C899" s="1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2.0" customHeight="1">
      <c r="A900" s="52"/>
      <c r="B900" s="12"/>
      <c r="C900" s="1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2.0" customHeight="1">
      <c r="A901" s="52"/>
      <c r="B901" s="12"/>
      <c r="C901" s="1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2.0" customHeight="1">
      <c r="A902" s="52"/>
      <c r="B902" s="12"/>
      <c r="C902" s="1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2.0" customHeight="1">
      <c r="A903" s="52"/>
      <c r="B903" s="12"/>
      <c r="C903" s="1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2.0" customHeight="1">
      <c r="A904" s="52"/>
      <c r="B904" s="12"/>
      <c r="C904" s="1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2.0" customHeight="1">
      <c r="A905" s="52"/>
      <c r="B905" s="12"/>
      <c r="C905" s="1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2.0" customHeight="1">
      <c r="A906" s="52"/>
      <c r="B906" s="12"/>
      <c r="C906" s="1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2.0" customHeight="1">
      <c r="A907" s="52"/>
      <c r="B907" s="12"/>
      <c r="C907" s="1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2.0" customHeight="1">
      <c r="A908" s="52"/>
      <c r="B908" s="12"/>
      <c r="C908" s="1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2.0" customHeight="1">
      <c r="A909" s="52"/>
      <c r="B909" s="12"/>
      <c r="C909" s="1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2.0" customHeight="1">
      <c r="A910" s="52"/>
      <c r="B910" s="12"/>
      <c r="C910" s="1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2.0" customHeight="1">
      <c r="A911" s="52"/>
      <c r="B911" s="12"/>
      <c r="C911" s="1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2.0" customHeight="1">
      <c r="A912" s="52"/>
      <c r="B912" s="12"/>
      <c r="C912" s="1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2.0" customHeight="1">
      <c r="A913" s="52"/>
      <c r="B913" s="12"/>
      <c r="C913" s="1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2.0" customHeight="1">
      <c r="A914" s="52"/>
      <c r="B914" s="12"/>
      <c r="C914" s="1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2.0" customHeight="1">
      <c r="A915" s="52"/>
      <c r="B915" s="12"/>
      <c r="C915" s="1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2.0" customHeight="1">
      <c r="A916" s="52"/>
      <c r="B916" s="12"/>
      <c r="C916" s="1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2.0" customHeight="1">
      <c r="A917" s="52"/>
      <c r="B917" s="12"/>
      <c r="C917" s="1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2.0" customHeight="1">
      <c r="A918" s="52"/>
      <c r="B918" s="12"/>
      <c r="C918" s="1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2.0" customHeight="1">
      <c r="A919" s="52"/>
      <c r="B919" s="12"/>
      <c r="C919" s="1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2.0" customHeight="1">
      <c r="A920" s="52"/>
      <c r="B920" s="12"/>
      <c r="C920" s="1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2.0" customHeight="1">
      <c r="A921" s="52"/>
      <c r="B921" s="12"/>
      <c r="C921" s="1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2.0" customHeight="1">
      <c r="A922" s="52"/>
      <c r="B922" s="12"/>
      <c r="C922" s="1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2.0" customHeight="1">
      <c r="A923" s="52"/>
      <c r="B923" s="12"/>
      <c r="C923" s="1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2.0" customHeight="1">
      <c r="A924" s="52"/>
      <c r="B924" s="12"/>
      <c r="C924" s="1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2.0" customHeight="1">
      <c r="A925" s="52"/>
      <c r="B925" s="12"/>
      <c r="C925" s="1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2.0" customHeight="1">
      <c r="A926" s="52"/>
      <c r="B926" s="12"/>
      <c r="C926" s="1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2.0" customHeight="1">
      <c r="A927" s="52"/>
      <c r="B927" s="12"/>
      <c r="C927" s="1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2.0" customHeight="1">
      <c r="A928" s="52"/>
      <c r="B928" s="12"/>
      <c r="C928" s="1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2.0" customHeight="1">
      <c r="A929" s="52"/>
      <c r="B929" s="12"/>
      <c r="C929" s="1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2.0" customHeight="1">
      <c r="A930" s="52"/>
      <c r="B930" s="12"/>
      <c r="C930" s="1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2.0" customHeight="1">
      <c r="A931" s="52"/>
      <c r="B931" s="12"/>
      <c r="C931" s="1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2.0" customHeight="1">
      <c r="A932" s="52"/>
      <c r="B932" s="12"/>
      <c r="C932" s="1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2.0" customHeight="1">
      <c r="A933" s="52"/>
      <c r="B933" s="12"/>
      <c r="C933" s="1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2.0" customHeight="1">
      <c r="A934" s="52"/>
      <c r="B934" s="12"/>
      <c r="C934" s="1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2.0" customHeight="1">
      <c r="A935" s="52"/>
      <c r="B935" s="12"/>
      <c r="C935" s="1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2.0" customHeight="1">
      <c r="A936" s="52"/>
      <c r="B936" s="12"/>
      <c r="C936" s="1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2.0" customHeight="1">
      <c r="A937" s="52"/>
      <c r="B937" s="12"/>
      <c r="C937" s="1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2.0" customHeight="1">
      <c r="A938" s="52"/>
      <c r="B938" s="12"/>
      <c r="C938" s="1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2.0" customHeight="1">
      <c r="A939" s="52"/>
      <c r="B939" s="12"/>
      <c r="C939" s="1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2.0" customHeight="1">
      <c r="A940" s="52"/>
      <c r="B940" s="12"/>
      <c r="C940" s="1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2.0" customHeight="1">
      <c r="A941" s="52"/>
      <c r="B941" s="12"/>
      <c r="C941" s="1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2.0" customHeight="1">
      <c r="A942" s="52"/>
      <c r="B942" s="12"/>
      <c r="C942" s="1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2.0" customHeight="1">
      <c r="A943" s="52"/>
      <c r="B943" s="12"/>
      <c r="C943" s="1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2.0" customHeight="1">
      <c r="A944" s="52"/>
      <c r="B944" s="12"/>
      <c r="C944" s="1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2.0" customHeight="1">
      <c r="A945" s="52"/>
      <c r="B945" s="12"/>
      <c r="C945" s="1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2.0" customHeight="1">
      <c r="A946" s="52"/>
      <c r="B946" s="12"/>
      <c r="C946" s="1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2.0" customHeight="1">
      <c r="A947" s="52"/>
      <c r="B947" s="12"/>
      <c r="C947" s="1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2.0" customHeight="1">
      <c r="A948" s="52"/>
      <c r="B948" s="12"/>
      <c r="C948" s="1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2.0" customHeight="1">
      <c r="A949" s="52"/>
      <c r="B949" s="12"/>
      <c r="C949" s="1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2.0" customHeight="1">
      <c r="A950" s="52"/>
      <c r="B950" s="12"/>
      <c r="C950" s="1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2.0" customHeight="1">
      <c r="A951" s="52"/>
      <c r="B951" s="12"/>
      <c r="C951" s="1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2.0" customHeight="1">
      <c r="A952" s="52"/>
      <c r="B952" s="12"/>
      <c r="C952" s="1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2.0" customHeight="1">
      <c r="A953" s="52"/>
      <c r="B953" s="12"/>
      <c r="C953" s="1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2.0" customHeight="1">
      <c r="A954" s="52"/>
      <c r="B954" s="12"/>
      <c r="C954" s="1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2.0" customHeight="1">
      <c r="A955" s="52"/>
      <c r="B955" s="12"/>
      <c r="C955" s="1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2.0" customHeight="1">
      <c r="A956" s="52"/>
      <c r="B956" s="12"/>
      <c r="C956" s="1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2.0" customHeight="1">
      <c r="A957" s="52"/>
      <c r="B957" s="12"/>
      <c r="C957" s="1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2.0" customHeight="1">
      <c r="A958" s="52"/>
      <c r="B958" s="12"/>
      <c r="C958" s="1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2.0" customHeight="1">
      <c r="A959" s="52"/>
      <c r="B959" s="12"/>
      <c r="C959" s="1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2.0" customHeight="1">
      <c r="A960" s="52"/>
      <c r="B960" s="12"/>
      <c r="C960" s="1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2.0" customHeight="1">
      <c r="A961" s="52"/>
      <c r="B961" s="12"/>
      <c r="C961" s="1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2.0" customHeight="1">
      <c r="A962" s="52"/>
      <c r="B962" s="12"/>
      <c r="C962" s="1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2.0" customHeight="1">
      <c r="A963" s="52"/>
      <c r="B963" s="12"/>
      <c r="C963" s="1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2.0" customHeight="1">
      <c r="A964" s="52"/>
      <c r="B964" s="12"/>
      <c r="C964" s="1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2.0" customHeight="1">
      <c r="A965" s="52"/>
      <c r="B965" s="12"/>
      <c r="C965" s="1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2.0" customHeight="1">
      <c r="A966" s="52"/>
      <c r="B966" s="12"/>
      <c r="C966" s="1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2.0" customHeight="1">
      <c r="A967" s="52"/>
      <c r="B967" s="12"/>
      <c r="C967" s="1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2.0" customHeight="1">
      <c r="A968" s="52"/>
      <c r="B968" s="12"/>
      <c r="C968" s="1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2.0" customHeight="1">
      <c r="A969" s="52"/>
      <c r="B969" s="12"/>
      <c r="C969" s="1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2.0" customHeight="1">
      <c r="A970" s="52"/>
      <c r="B970" s="12"/>
      <c r="C970" s="1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2.0" customHeight="1">
      <c r="A971" s="52"/>
      <c r="B971" s="12"/>
      <c r="C971" s="1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2.0" customHeight="1">
      <c r="A972" s="52"/>
      <c r="B972" s="12"/>
      <c r="C972" s="1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2.0" customHeight="1">
      <c r="A973" s="52"/>
      <c r="B973" s="12"/>
      <c r="C973" s="1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2.0" customHeight="1">
      <c r="A974" s="52"/>
      <c r="B974" s="12"/>
      <c r="C974" s="1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2.0" customHeight="1">
      <c r="A975" s="52"/>
      <c r="B975" s="12"/>
      <c r="C975" s="1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2.0" customHeight="1">
      <c r="A976" s="52"/>
      <c r="B976" s="12"/>
      <c r="C976" s="1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2.0" customHeight="1">
      <c r="A977" s="52"/>
      <c r="B977" s="12"/>
      <c r="C977" s="1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2.0" customHeight="1">
      <c r="A978" s="52"/>
      <c r="B978" s="12"/>
      <c r="C978" s="1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2.0" customHeight="1">
      <c r="A979" s="52"/>
      <c r="B979" s="12"/>
      <c r="C979" s="1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2.0" customHeight="1">
      <c r="A980" s="52"/>
      <c r="B980" s="12"/>
      <c r="C980" s="1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2.0" customHeight="1">
      <c r="A981" s="52"/>
      <c r="B981" s="12"/>
      <c r="C981" s="1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2.0" customHeight="1">
      <c r="A982" s="52"/>
      <c r="B982" s="12"/>
      <c r="C982" s="1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2.0" customHeight="1">
      <c r="A983" s="52"/>
      <c r="B983" s="12"/>
      <c r="C983" s="1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2.0" customHeight="1">
      <c r="A984" s="52"/>
      <c r="B984" s="12"/>
      <c r="C984" s="1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2.0" customHeight="1">
      <c r="A985" s="52"/>
      <c r="B985" s="12"/>
      <c r="C985" s="1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2.0" customHeight="1">
      <c r="A986" s="52"/>
      <c r="B986" s="12"/>
      <c r="C986" s="1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2.0" customHeight="1">
      <c r="A987" s="52"/>
      <c r="B987" s="12"/>
      <c r="C987" s="1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2.0" customHeight="1">
      <c r="A988" s="52"/>
      <c r="B988" s="12"/>
      <c r="C988" s="1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2.0" customHeight="1">
      <c r="A989" s="52"/>
      <c r="B989" s="12"/>
      <c r="C989" s="1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2.0" customHeight="1">
      <c r="A990" s="52"/>
      <c r="B990" s="12"/>
      <c r="C990" s="1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2.0" customHeight="1">
      <c r="A991" s="52"/>
      <c r="B991" s="12"/>
      <c r="C991" s="1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2.0" customHeight="1">
      <c r="A992" s="52"/>
      <c r="B992" s="12"/>
      <c r="C992" s="1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2.0" customHeight="1">
      <c r="A993" s="52"/>
      <c r="B993" s="12"/>
      <c r="C993" s="1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2.0" customHeight="1">
      <c r="A994" s="52"/>
      <c r="B994" s="12"/>
      <c r="C994" s="1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2.0" customHeight="1">
      <c r="A995" s="52"/>
      <c r="B995" s="12"/>
      <c r="C995" s="1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2.0" customHeight="1">
      <c r="A996" s="52"/>
      <c r="B996" s="12"/>
      <c r="C996" s="1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2.0" customHeight="1">
      <c r="A997" s="52"/>
      <c r="B997" s="12"/>
      <c r="C997" s="1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2.0" customHeight="1">
      <c r="A998" s="52"/>
      <c r="B998" s="12"/>
      <c r="C998" s="1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2.0" customHeight="1">
      <c r="A999" s="52"/>
      <c r="B999" s="12"/>
      <c r="C999" s="1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2.0" customHeight="1">
      <c r="A1000" s="52"/>
      <c r="B1000" s="12"/>
      <c r="C1000" s="1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3.43"/>
    <col customWidth="1" min="2" max="2" width="4.86"/>
    <col customWidth="1" min="3" max="3" width="30.43"/>
    <col customWidth="1" min="4" max="9" width="25.29"/>
    <col customWidth="1" min="10" max="10" width="5.14"/>
    <col customWidth="1" min="11" max="26" width="8.71"/>
  </cols>
  <sheetData>
    <row r="1" ht="14.25" customHeight="1">
      <c r="A1" s="240"/>
      <c r="B1" s="241"/>
      <c r="C1" s="240"/>
      <c r="D1" s="242"/>
      <c r="E1" s="242"/>
      <c r="F1" s="242"/>
      <c r="G1" s="242"/>
      <c r="H1" s="242"/>
      <c r="I1" s="242"/>
      <c r="J1" s="242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 ht="14.25" customHeight="1">
      <c r="A2" s="240"/>
      <c r="B2" s="243" t="s">
        <v>233</v>
      </c>
      <c r="C2" s="240"/>
      <c r="D2" s="242"/>
      <c r="E2" s="244">
        <f>F55</f>
        <v>4061841703</v>
      </c>
      <c r="F2" s="242" t="s">
        <v>234</v>
      </c>
      <c r="G2" s="242"/>
      <c r="H2" s="242"/>
      <c r="I2" s="242"/>
      <c r="J2" s="242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ht="14.25" customHeight="1">
      <c r="A3" s="240"/>
      <c r="B3" s="241"/>
      <c r="C3" s="240"/>
      <c r="D3" s="242"/>
      <c r="E3" s="242"/>
      <c r="F3" s="242"/>
      <c r="G3" s="242"/>
      <c r="H3" s="242"/>
      <c r="I3" s="242"/>
      <c r="J3" s="242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ht="14.25" customHeight="1">
      <c r="A4" s="240"/>
      <c r="B4" s="243" t="s">
        <v>235</v>
      </c>
      <c r="C4" s="240"/>
      <c r="D4" s="240"/>
      <c r="E4" s="245">
        <f>SUM(D36:I36)</f>
        <v>-2329175908</v>
      </c>
      <c r="F4" s="242" t="s">
        <v>236</v>
      </c>
      <c r="G4" s="242"/>
      <c r="H4" s="242"/>
      <c r="I4" s="242"/>
      <c r="J4" s="242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ht="14.25" customHeight="1">
      <c r="A5" s="240"/>
      <c r="B5" s="241"/>
      <c r="C5" s="240"/>
      <c r="D5" s="242"/>
      <c r="F5" s="242"/>
      <c r="G5" s="242"/>
      <c r="H5" s="242"/>
      <c r="I5" s="242"/>
      <c r="J5" s="242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ht="14.25" customHeight="1">
      <c r="A6" s="246"/>
      <c r="B6" s="247" t="s">
        <v>237</v>
      </c>
      <c r="C6" s="248"/>
      <c r="D6" s="249">
        <v>46174.0</v>
      </c>
      <c r="E6" s="250">
        <f t="shared" ref="E6:I6" si="1">EOMONTH(D6,1)</f>
        <v>46234</v>
      </c>
      <c r="F6" s="250">
        <f t="shared" si="1"/>
        <v>46265</v>
      </c>
      <c r="G6" s="250">
        <f t="shared" si="1"/>
        <v>46295</v>
      </c>
      <c r="H6" s="250">
        <f t="shared" si="1"/>
        <v>46326</v>
      </c>
      <c r="I6" s="251">
        <f t="shared" si="1"/>
        <v>46356</v>
      </c>
      <c r="J6" s="252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ht="14.25" customHeight="1">
      <c r="A7" s="240"/>
      <c r="B7" s="253">
        <v>1.0</v>
      </c>
      <c r="C7" s="254" t="s">
        <v>238</v>
      </c>
      <c r="D7" s="255"/>
      <c r="E7" s="255"/>
      <c r="F7" s="255"/>
      <c r="G7" s="255"/>
      <c r="H7" s="255"/>
      <c r="I7" s="256"/>
      <c r="J7" s="242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ht="14.25" customHeight="1">
      <c r="A8" s="240"/>
      <c r="B8" s="257"/>
      <c r="C8" s="258" t="s">
        <v>173</v>
      </c>
      <c r="D8" s="242">
        <f>Model!G111</f>
        <v>1208610000</v>
      </c>
      <c r="E8" s="242">
        <f>Model!H111</f>
        <v>702853200</v>
      </c>
      <c r="F8" s="242">
        <f>Model!I111</f>
        <v>774440100</v>
      </c>
      <c r="G8" s="242">
        <f>Model!J111</f>
        <v>937137600</v>
      </c>
      <c r="H8" s="242">
        <f>Model!K111</f>
        <v>995708700</v>
      </c>
      <c r="I8" s="259">
        <f>Model!L111</f>
        <v>1106343000</v>
      </c>
      <c r="J8" s="242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ht="14.25" customHeight="1">
      <c r="A9" s="240"/>
      <c r="B9" s="257"/>
      <c r="C9" s="258" t="s">
        <v>98</v>
      </c>
      <c r="D9" s="242">
        <f>-Model!G112</f>
        <v>-335790000</v>
      </c>
      <c r="E9" s="242">
        <f>-Model!H112</f>
        <v>-195274800</v>
      </c>
      <c r="F9" s="242">
        <f>-Model!I112</f>
        <v>-215163900</v>
      </c>
      <c r="G9" s="242">
        <f>-Model!J112</f>
        <v>-260366400</v>
      </c>
      <c r="H9" s="242">
        <f>-Model!K112</f>
        <v>-276639300</v>
      </c>
      <c r="I9" s="259">
        <f>-Model!L112</f>
        <v>-307377000</v>
      </c>
      <c r="J9" s="242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ht="14.25" customHeight="1">
      <c r="A10" s="260"/>
      <c r="B10" s="257"/>
      <c r="C10" s="258" t="s">
        <v>158</v>
      </c>
      <c r="D10" s="242">
        <f>-Model!G115</f>
        <v>-317320851.3</v>
      </c>
      <c r="E10" s="242">
        <f>-Model!H115</f>
        <v>-317320851.3</v>
      </c>
      <c r="F10" s="242">
        <f>-Model!I115</f>
        <v>-317320851.3</v>
      </c>
      <c r="G10" s="242">
        <f>-Model!J115</f>
        <v>-317320851.3</v>
      </c>
      <c r="H10" s="242">
        <f>-Model!K115</f>
        <v>-317320851.3</v>
      </c>
      <c r="I10" s="259">
        <f>-Model!L115</f>
        <v>-317320851.3</v>
      </c>
      <c r="J10" s="261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 ht="14.25" customHeight="1">
      <c r="A11" s="240"/>
      <c r="B11" s="257"/>
      <c r="C11" s="258" t="s">
        <v>159</v>
      </c>
      <c r="D11" s="242">
        <f>-Model!G116</f>
        <v>-75000000</v>
      </c>
      <c r="E11" s="242">
        <f>-Model!H116</f>
        <v>-75000000</v>
      </c>
      <c r="F11" s="242">
        <f>-Model!I116</f>
        <v>-75000000</v>
      </c>
      <c r="G11" s="242">
        <f>-Model!J116</f>
        <v>-75000000</v>
      </c>
      <c r="H11" s="242">
        <f>-Model!K116</f>
        <v>-75000000</v>
      </c>
      <c r="I11" s="259">
        <f>-Model!L116</f>
        <v>-75000000</v>
      </c>
      <c r="J11" s="242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ht="14.25" customHeight="1">
      <c r="A12" s="260"/>
      <c r="B12" s="257"/>
      <c r="C12" s="258" t="s">
        <v>223</v>
      </c>
      <c r="D12" s="242">
        <f>-Model!G117</f>
        <v>-75000000</v>
      </c>
      <c r="E12" s="242">
        <f>-Model!H117</f>
        <v>-75000000</v>
      </c>
      <c r="F12" s="242">
        <f>-Model!I117</f>
        <v>-75000000</v>
      </c>
      <c r="G12" s="242">
        <f>-Model!J117</f>
        <v>-75000000</v>
      </c>
      <c r="H12" s="242">
        <f>-Model!K117</f>
        <v>-75000000</v>
      </c>
      <c r="I12" s="259">
        <f>-Model!L117</f>
        <v>-75000000</v>
      </c>
      <c r="J12" s="261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 ht="14.25" customHeight="1">
      <c r="A13" s="240"/>
      <c r="B13" s="257"/>
      <c r="C13" s="258" t="s">
        <v>117</v>
      </c>
      <c r="D13" s="242">
        <f>-Model!G118</f>
        <v>-58500000</v>
      </c>
      <c r="E13" s="242">
        <f>-Model!H118</f>
        <v>-34020000</v>
      </c>
      <c r="F13" s="242">
        <f>-Model!I118</f>
        <v>-37485000</v>
      </c>
      <c r="G13" s="242">
        <f>-Model!J118</f>
        <v>-45360000</v>
      </c>
      <c r="H13" s="242">
        <f>-Model!K118</f>
        <v>-48195000</v>
      </c>
      <c r="I13" s="259">
        <f>-Model!L118</f>
        <v>-53550000</v>
      </c>
      <c r="J13" s="242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14.25" customHeight="1">
      <c r="A14" s="240"/>
      <c r="B14" s="257"/>
      <c r="C14" s="258" t="s">
        <v>118</v>
      </c>
      <c r="D14" s="242">
        <f>-Model!G119</f>
        <v>-11700000</v>
      </c>
      <c r="E14" s="242">
        <f>-Model!H119</f>
        <v>-6804000</v>
      </c>
      <c r="F14" s="242">
        <f>-Model!I119</f>
        <v>-7497000</v>
      </c>
      <c r="G14" s="242">
        <f>-Model!J119</f>
        <v>-9072000</v>
      </c>
      <c r="H14" s="242">
        <f>-Model!K119</f>
        <v>-9639000</v>
      </c>
      <c r="I14" s="259">
        <f>-Model!L119</f>
        <v>-10710000</v>
      </c>
      <c r="J14" s="242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ht="14.25" customHeight="1">
      <c r="A15" s="260"/>
      <c r="B15" s="257"/>
      <c r="C15" s="258" t="s">
        <v>61</v>
      </c>
      <c r="D15" s="242"/>
      <c r="E15" s="242"/>
      <c r="F15" s="242"/>
      <c r="G15" s="242"/>
      <c r="H15" s="242"/>
      <c r="I15" s="259"/>
      <c r="J15" s="261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 ht="14.25" customHeight="1">
      <c r="A16" s="240"/>
      <c r="B16" s="262"/>
      <c r="C16" s="263" t="s">
        <v>46</v>
      </c>
      <c r="D16" s="261">
        <f t="shared" ref="D16:I16" si="2">SUM(D8:D15)</f>
        <v>335299148.7</v>
      </c>
      <c r="E16" s="261">
        <f t="shared" si="2"/>
        <v>-566451.2821</v>
      </c>
      <c r="F16" s="261">
        <f t="shared" si="2"/>
        <v>46973348.72</v>
      </c>
      <c r="G16" s="261">
        <f t="shared" si="2"/>
        <v>155018348.7</v>
      </c>
      <c r="H16" s="261">
        <f t="shared" si="2"/>
        <v>193914548.7</v>
      </c>
      <c r="I16" s="264">
        <f t="shared" si="2"/>
        <v>267385148.7</v>
      </c>
      <c r="J16" s="242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14.25" customHeight="1">
      <c r="A17" s="240"/>
      <c r="B17" s="253">
        <v>2.0</v>
      </c>
      <c r="C17" s="254" t="s">
        <v>239</v>
      </c>
      <c r="D17" s="255"/>
      <c r="E17" s="255"/>
      <c r="F17" s="255"/>
      <c r="G17" s="255"/>
      <c r="H17" s="255"/>
      <c r="I17" s="256"/>
      <c r="J17" s="242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14.25" customHeight="1">
      <c r="A18" s="240"/>
      <c r="B18" s="257"/>
      <c r="C18" s="265" t="s">
        <v>1</v>
      </c>
      <c r="D18" s="242">
        <f>-(Capex!E4)</f>
        <v>-2959200000</v>
      </c>
      <c r="E18" s="242">
        <v>0.0</v>
      </c>
      <c r="F18" s="242">
        <v>0.0</v>
      </c>
      <c r="G18" s="242">
        <v>0.0</v>
      </c>
      <c r="H18" s="242">
        <v>0.0</v>
      </c>
      <c r="I18" s="242">
        <v>0.0</v>
      </c>
      <c r="J18" s="242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14.25" customHeight="1">
      <c r="A19" s="240"/>
      <c r="B19" s="257"/>
      <c r="C19" s="266"/>
      <c r="D19" s="242" t="str">
        <f>Capex!E6</f>
        <v/>
      </c>
      <c r="E19" s="242">
        <v>0.0</v>
      </c>
      <c r="F19" s="242">
        <v>0.0</v>
      </c>
      <c r="G19" s="242">
        <v>0.0</v>
      </c>
      <c r="H19" s="242">
        <v>0.0</v>
      </c>
      <c r="I19" s="242">
        <v>0.0</v>
      </c>
      <c r="J19" s="242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ht="14.25" customHeight="1">
      <c r="A20" s="240"/>
      <c r="B20" s="257"/>
      <c r="C20" s="266"/>
      <c r="D20" s="242" t="str">
        <f>Capex!E7</f>
        <v/>
      </c>
      <c r="E20" s="242">
        <v>0.0</v>
      </c>
      <c r="F20" s="242">
        <v>0.0</v>
      </c>
      <c r="G20" s="242">
        <v>0.0</v>
      </c>
      <c r="H20" s="242">
        <v>0.0</v>
      </c>
      <c r="I20" s="242">
        <v>0.0</v>
      </c>
      <c r="J20" s="242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ht="14.25" customHeight="1">
      <c r="A21" s="240"/>
      <c r="B21" s="257"/>
      <c r="C21" s="266"/>
      <c r="D21" s="242" t="str">
        <f>Capex!E8</f>
        <v/>
      </c>
      <c r="E21" s="242">
        <v>0.0</v>
      </c>
      <c r="F21" s="242">
        <v>0.0</v>
      </c>
      <c r="G21" s="242">
        <v>0.0</v>
      </c>
      <c r="H21" s="242">
        <v>0.0</v>
      </c>
      <c r="I21" s="242">
        <v>0.0</v>
      </c>
      <c r="J21" s="242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ht="14.25" customHeight="1">
      <c r="A22" s="240"/>
      <c r="B22" s="257"/>
      <c r="C22" s="266"/>
      <c r="D22" s="242" t="str">
        <f>Capex!E9</f>
        <v/>
      </c>
      <c r="E22" s="242">
        <v>0.0</v>
      </c>
      <c r="F22" s="242">
        <v>0.0</v>
      </c>
      <c r="G22" s="242">
        <v>0.0</v>
      </c>
      <c r="H22" s="242">
        <v>0.0</v>
      </c>
      <c r="I22" s="242">
        <v>0.0</v>
      </c>
      <c r="J22" s="242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ht="14.25" customHeight="1">
      <c r="A23" s="240"/>
      <c r="B23" s="257"/>
      <c r="C23" s="266"/>
      <c r="D23" s="242" t="str">
        <f>Capex!E10</f>
        <v/>
      </c>
      <c r="E23" s="242">
        <v>0.0</v>
      </c>
      <c r="F23" s="242">
        <v>0.0</v>
      </c>
      <c r="G23" s="242">
        <v>0.0</v>
      </c>
      <c r="H23" s="242">
        <v>0.0</v>
      </c>
      <c r="I23" s="242">
        <v>0.0</v>
      </c>
      <c r="J23" s="242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ht="14.25" customHeight="1">
      <c r="A24" s="240"/>
      <c r="B24" s="257"/>
      <c r="C24" s="266"/>
      <c r="D24" s="242" t="str">
        <f>Capex!E11</f>
        <v/>
      </c>
      <c r="E24" s="242">
        <v>0.0</v>
      </c>
      <c r="F24" s="242">
        <v>0.0</v>
      </c>
      <c r="G24" s="242">
        <v>0.0</v>
      </c>
      <c r="H24" s="242">
        <v>0.0</v>
      </c>
      <c r="I24" s="242">
        <v>0.0</v>
      </c>
      <c r="J24" s="242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14.25" customHeight="1">
      <c r="A25" s="240"/>
      <c r="B25" s="257"/>
      <c r="C25" s="266"/>
      <c r="D25" s="242" t="str">
        <f>Capex!E12</f>
        <v/>
      </c>
      <c r="E25" s="242">
        <v>0.0</v>
      </c>
      <c r="F25" s="242">
        <v>0.0</v>
      </c>
      <c r="G25" s="242">
        <v>0.0</v>
      </c>
      <c r="H25" s="242">
        <v>0.0</v>
      </c>
      <c r="I25" s="242">
        <v>0.0</v>
      </c>
      <c r="J25" s="242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ht="14.25" customHeight="1">
      <c r="A26" s="240"/>
      <c r="B26" s="257"/>
      <c r="C26" s="266"/>
      <c r="D26" s="242" t="str">
        <f>Capex!E13</f>
        <v/>
      </c>
      <c r="E26" s="242">
        <v>0.0</v>
      </c>
      <c r="F26" s="242">
        <v>0.0</v>
      </c>
      <c r="G26" s="242">
        <v>0.0</v>
      </c>
      <c r="H26" s="242">
        <v>0.0</v>
      </c>
      <c r="I26" s="242">
        <v>0.0</v>
      </c>
      <c r="J26" s="242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ht="14.25" customHeight="1">
      <c r="A27" s="240"/>
      <c r="B27" s="257"/>
      <c r="C27" s="266"/>
      <c r="D27" s="242" t="str">
        <f>Capex!E14</f>
        <v/>
      </c>
      <c r="E27" s="242">
        <v>0.0</v>
      </c>
      <c r="F27" s="242">
        <v>0.0</v>
      </c>
      <c r="G27" s="242">
        <v>0.0</v>
      </c>
      <c r="H27" s="242">
        <v>0.0</v>
      </c>
      <c r="I27" s="242">
        <v>0.0</v>
      </c>
      <c r="J27" s="242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ht="14.25" customHeight="1">
      <c r="A28" s="240"/>
      <c r="B28" s="257"/>
      <c r="C28" s="266"/>
      <c r="D28" s="242" t="str">
        <f>Capex!E15</f>
        <v/>
      </c>
      <c r="E28" s="242">
        <v>0.0</v>
      </c>
      <c r="F28" s="242">
        <v>0.0</v>
      </c>
      <c r="G28" s="242">
        <v>0.0</v>
      </c>
      <c r="H28" s="242">
        <v>0.0</v>
      </c>
      <c r="I28" s="242">
        <v>0.0</v>
      </c>
      <c r="J28" s="242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>
      <c r="A29" s="260"/>
      <c r="B29" s="257"/>
      <c r="C29" s="258" t="s">
        <v>19</v>
      </c>
      <c r="D29" s="242">
        <f>-(Capex!E22)</f>
        <v>-368000000</v>
      </c>
      <c r="E29" s="242">
        <v>0.0</v>
      </c>
      <c r="F29" s="242">
        <v>0.0</v>
      </c>
      <c r="G29" s="242">
        <v>0.0</v>
      </c>
      <c r="H29" s="242">
        <v>0.0</v>
      </c>
      <c r="I29" s="242">
        <v>0.0</v>
      </c>
      <c r="J29" s="261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 ht="14.25" customHeight="1">
      <c r="A30" s="240"/>
      <c r="B30" s="267"/>
      <c r="C30" s="263" t="s">
        <v>46</v>
      </c>
      <c r="D30" s="261">
        <f t="shared" ref="D30:I30" si="3">SUM(D18:D29)</f>
        <v>-3327200000</v>
      </c>
      <c r="E30" s="261">
        <f t="shared" si="3"/>
        <v>0</v>
      </c>
      <c r="F30" s="261">
        <f t="shared" si="3"/>
        <v>0</v>
      </c>
      <c r="G30" s="261">
        <f t="shared" si="3"/>
        <v>0</v>
      </c>
      <c r="H30" s="261">
        <f t="shared" si="3"/>
        <v>0</v>
      </c>
      <c r="I30" s="264">
        <f t="shared" si="3"/>
        <v>0</v>
      </c>
      <c r="J30" s="242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ht="14.25" hidden="1" customHeight="1" outlineLevel="1">
      <c r="A31" s="260"/>
      <c r="B31" s="253">
        <v>3.0</v>
      </c>
      <c r="C31" s="254" t="s">
        <v>240</v>
      </c>
      <c r="D31" s="255"/>
      <c r="E31" s="255"/>
      <c r="F31" s="255"/>
      <c r="G31" s="255"/>
      <c r="H31" s="255"/>
      <c r="I31" s="256"/>
      <c r="J31" s="261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</row>
    <row r="32" ht="14.25" hidden="1" customHeight="1" outlineLevel="1">
      <c r="A32" s="240"/>
      <c r="B32" s="257"/>
      <c r="C32" s="258" t="s">
        <v>52</v>
      </c>
      <c r="D32" s="242"/>
      <c r="E32" s="242"/>
      <c r="F32" s="242"/>
      <c r="G32" s="242"/>
      <c r="H32" s="242"/>
      <c r="I32" s="259"/>
      <c r="J32" s="242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ht="14.25" hidden="1" customHeight="1" outlineLevel="1">
      <c r="A33" s="240"/>
      <c r="B33" s="257"/>
      <c r="C33" s="258" t="s">
        <v>241</v>
      </c>
      <c r="D33" s="242"/>
      <c r="E33" s="242"/>
      <c r="F33" s="242"/>
      <c r="G33" s="242"/>
      <c r="H33" s="242"/>
      <c r="I33" s="259"/>
      <c r="J33" s="242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ht="14.25" hidden="1" customHeight="1" outlineLevel="1">
      <c r="A34" s="240"/>
      <c r="B34" s="268"/>
      <c r="C34" s="269" t="s">
        <v>46</v>
      </c>
      <c r="D34" s="270">
        <f t="shared" ref="D34:I34" si="4">SUM(D32:D33)</f>
        <v>0</v>
      </c>
      <c r="E34" s="270">
        <f t="shared" si="4"/>
        <v>0</v>
      </c>
      <c r="F34" s="270">
        <f t="shared" si="4"/>
        <v>0</v>
      </c>
      <c r="G34" s="270">
        <f t="shared" si="4"/>
        <v>0</v>
      </c>
      <c r="H34" s="270">
        <f t="shared" si="4"/>
        <v>0</v>
      </c>
      <c r="I34" s="271">
        <f t="shared" si="4"/>
        <v>0</v>
      </c>
      <c r="J34" s="242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ht="14.25" customHeight="1" collapsed="1">
      <c r="A35" s="240"/>
      <c r="B35" s="253">
        <v>3.0</v>
      </c>
      <c r="C35" s="254" t="s">
        <v>242</v>
      </c>
      <c r="D35" s="255"/>
      <c r="E35" s="255"/>
      <c r="F35" s="255"/>
      <c r="G35" s="255"/>
      <c r="H35" s="255"/>
      <c r="I35" s="256"/>
      <c r="J35" s="242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ht="14.25" customHeight="1">
      <c r="A36" s="240"/>
      <c r="B36" s="267"/>
      <c r="C36" s="263" t="s">
        <v>46</v>
      </c>
      <c r="D36" s="261">
        <f t="shared" ref="D36:I36" si="5">D16+D30+D34</f>
        <v>-2991900851</v>
      </c>
      <c r="E36" s="261">
        <f t="shared" si="5"/>
        <v>-566451.2821</v>
      </c>
      <c r="F36" s="261">
        <f t="shared" si="5"/>
        <v>46973348.72</v>
      </c>
      <c r="G36" s="261">
        <f t="shared" si="5"/>
        <v>155018348.7</v>
      </c>
      <c r="H36" s="261">
        <f t="shared" si="5"/>
        <v>193914548.7</v>
      </c>
      <c r="I36" s="264">
        <f t="shared" si="5"/>
        <v>267385148.7</v>
      </c>
      <c r="J36" s="242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ht="14.25" customHeight="1">
      <c r="A37" s="240"/>
      <c r="B37" s="272"/>
      <c r="C37" s="273" t="s">
        <v>243</v>
      </c>
      <c r="D37" s="274" t="str">
        <f t="shared" ref="D37:I37" si="6">IF(D36&lt;0,"To be funded by equity","OK")</f>
        <v>To be funded by equity</v>
      </c>
      <c r="E37" s="274" t="str">
        <f t="shared" si="6"/>
        <v>To be funded by equity</v>
      </c>
      <c r="F37" s="274" t="str">
        <f t="shared" si="6"/>
        <v>OK</v>
      </c>
      <c r="G37" s="274" t="str">
        <f t="shared" si="6"/>
        <v>OK</v>
      </c>
      <c r="H37" s="274" t="str">
        <f t="shared" si="6"/>
        <v>OK</v>
      </c>
      <c r="I37" s="275" t="str">
        <f t="shared" si="6"/>
        <v>OK</v>
      </c>
      <c r="J37" s="242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ht="14.25" customHeight="1">
      <c r="A38" s="240"/>
      <c r="B38" s="253">
        <v>4.0</v>
      </c>
      <c r="C38" s="254" t="s">
        <v>244</v>
      </c>
      <c r="D38" s="276"/>
      <c r="E38" s="276"/>
      <c r="F38" s="276"/>
      <c r="G38" s="276"/>
      <c r="H38" s="276"/>
      <c r="I38" s="277"/>
      <c r="J38" s="242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ht="14.25" customHeight="1">
      <c r="A39" s="240"/>
      <c r="B39" s="257"/>
      <c r="C39" s="258" t="s">
        <v>245</v>
      </c>
      <c r="D39" s="242"/>
      <c r="E39" s="242"/>
      <c r="F39" s="242"/>
      <c r="G39" s="242"/>
      <c r="H39" s="242"/>
      <c r="I39" s="278"/>
      <c r="J39" s="242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ht="14.25" customHeight="1">
      <c r="A40" s="240"/>
      <c r="B40" s="257"/>
      <c r="C40" s="258" t="s">
        <v>246</v>
      </c>
      <c r="D40" s="279"/>
      <c r="E40" s="279"/>
      <c r="F40" s="279"/>
      <c r="G40" s="279"/>
      <c r="H40" s="279"/>
      <c r="I40" s="280"/>
      <c r="J40" s="242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ht="14.25" customHeight="1">
      <c r="A41" s="240"/>
      <c r="B41" s="272"/>
      <c r="C41" s="273" t="s">
        <v>231</v>
      </c>
      <c r="D41" s="281"/>
      <c r="E41" s="281"/>
      <c r="F41" s="281"/>
      <c r="G41" s="281"/>
      <c r="H41" s="281"/>
      <c r="I41" s="282"/>
      <c r="J41" s="242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ht="14.25" customHeight="1">
      <c r="A42" s="240"/>
      <c r="B42" s="241"/>
      <c r="C42" s="240"/>
      <c r="D42" s="242"/>
      <c r="E42" s="242"/>
      <c r="F42" s="242"/>
      <c r="G42" s="242"/>
      <c r="H42" s="242"/>
      <c r="I42" s="242"/>
      <c r="J42" s="242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ht="14.25" customHeight="1">
      <c r="A43" s="240"/>
      <c r="B43" s="241"/>
      <c r="C43" s="240"/>
      <c r="D43" s="242"/>
      <c r="E43" s="242"/>
      <c r="F43" s="242"/>
      <c r="G43" s="242"/>
      <c r="H43" s="242"/>
      <c r="I43" s="242"/>
      <c r="J43" s="242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ht="14.25" customHeight="1">
      <c r="A44" s="240"/>
      <c r="B44" s="283" t="s">
        <v>0</v>
      </c>
      <c r="C44" s="284" t="s">
        <v>247</v>
      </c>
      <c r="D44" s="284" t="s">
        <v>2</v>
      </c>
      <c r="E44" s="284" t="s">
        <v>248</v>
      </c>
      <c r="F44" s="284" t="s">
        <v>3</v>
      </c>
      <c r="G44" s="242"/>
      <c r="H44" s="242"/>
      <c r="I44" s="242"/>
      <c r="J44" s="242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ht="14.25" customHeight="1">
      <c r="A45" s="240"/>
      <c r="B45" s="253" t="s">
        <v>4</v>
      </c>
      <c r="C45" s="285" t="s">
        <v>249</v>
      </c>
      <c r="D45" s="285"/>
      <c r="E45" s="286"/>
      <c r="F45" s="287"/>
      <c r="G45" s="242"/>
      <c r="H45" s="242"/>
      <c r="I45" s="242"/>
      <c r="J45" s="242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ht="14.25" customHeight="1">
      <c r="A46" s="240"/>
      <c r="B46" s="288">
        <v>1.0</v>
      </c>
      <c r="C46" s="242" t="s">
        <v>1</v>
      </c>
      <c r="D46" s="242"/>
      <c r="E46" s="242"/>
      <c r="F46" s="259"/>
      <c r="G46" s="242"/>
      <c r="H46" s="242"/>
      <c r="I46" s="242"/>
      <c r="J46" s="242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ht="14.25" customHeight="1">
      <c r="A47" s="240"/>
      <c r="B47" s="288"/>
      <c r="C47" s="289" t="s">
        <v>250</v>
      </c>
      <c r="D47" s="290" t="s">
        <v>251</v>
      </c>
      <c r="E47" s="291">
        <f>F47/280</f>
        <v>0</v>
      </c>
      <c r="F47" s="292">
        <f>Capex!G5</f>
        <v>0</v>
      </c>
      <c r="G47" s="242"/>
      <c r="H47" s="242"/>
      <c r="I47" s="242"/>
      <c r="J47" s="242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ht="14.25" customHeight="1">
      <c r="A48" s="240"/>
      <c r="B48" s="288"/>
      <c r="C48" s="289"/>
      <c r="D48" s="290" t="s">
        <v>251</v>
      </c>
      <c r="E48" s="291">
        <v>0.0</v>
      </c>
      <c r="F48" s="259"/>
      <c r="G48" s="242"/>
      <c r="H48" s="242"/>
      <c r="I48" s="242"/>
      <c r="J48" s="242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ht="14.25" customHeight="1">
      <c r="A49" s="240"/>
      <c r="B49" s="288"/>
      <c r="C49" s="289" t="s">
        <v>252</v>
      </c>
      <c r="D49" s="290" t="s">
        <v>251</v>
      </c>
      <c r="E49" s="291">
        <f t="shared" ref="E49:E51" si="7">F49/280</f>
        <v>0</v>
      </c>
      <c r="F49" s="292" t="str">
        <f>Capex!G10</f>
        <v/>
      </c>
      <c r="G49" s="242"/>
      <c r="H49" s="242"/>
      <c r="I49" s="242"/>
      <c r="J49" s="242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ht="14.25" customHeight="1">
      <c r="A50" s="240"/>
      <c r="B50" s="288"/>
      <c r="C50" s="289" t="s">
        <v>17</v>
      </c>
      <c r="D50" s="290" t="s">
        <v>251</v>
      </c>
      <c r="E50" s="291">
        <f t="shared" si="7"/>
        <v>0</v>
      </c>
      <c r="F50" s="292" t="str">
        <f>Capex!E15</f>
        <v/>
      </c>
      <c r="G50" s="242"/>
      <c r="H50" s="242"/>
      <c r="I50" s="242"/>
      <c r="J50" s="242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ht="14.25" customHeight="1">
      <c r="A51" s="240"/>
      <c r="B51" s="288"/>
      <c r="C51" s="289" t="s">
        <v>253</v>
      </c>
      <c r="D51" s="290" t="s">
        <v>251</v>
      </c>
      <c r="E51" s="291">
        <f t="shared" si="7"/>
        <v>0</v>
      </c>
      <c r="F51" s="292">
        <v>0.0</v>
      </c>
      <c r="G51" s="242"/>
      <c r="H51" s="242"/>
      <c r="I51" s="242"/>
      <c r="J51" s="242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ht="14.25" customHeight="1">
      <c r="A52" s="240"/>
      <c r="B52" s="288"/>
      <c r="C52" s="289" t="s">
        <v>111</v>
      </c>
      <c r="D52" s="290" t="s">
        <v>0</v>
      </c>
      <c r="E52" s="293"/>
      <c r="F52" s="292"/>
      <c r="G52" s="242"/>
      <c r="H52" s="242"/>
      <c r="I52" s="242"/>
      <c r="J52" s="242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ht="14.25" customHeight="1">
      <c r="A53" s="240"/>
      <c r="B53" s="288">
        <v>2.0</v>
      </c>
      <c r="C53" s="242" t="s">
        <v>18</v>
      </c>
      <c r="D53" s="290" t="s">
        <v>254</v>
      </c>
      <c r="E53" s="294"/>
      <c r="F53" s="292"/>
      <c r="G53" s="242"/>
      <c r="H53" s="242"/>
      <c r="I53" s="242"/>
      <c r="J53" s="242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ht="14.25" customHeight="1">
      <c r="A54" s="240"/>
      <c r="B54" s="288">
        <v>3.0</v>
      </c>
      <c r="C54" s="242" t="s">
        <v>19</v>
      </c>
      <c r="D54" s="290" t="s">
        <v>251</v>
      </c>
      <c r="E54" s="294"/>
      <c r="F54" s="292"/>
      <c r="G54" s="242"/>
      <c r="H54" s="242"/>
      <c r="I54" s="242"/>
      <c r="J54" s="242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ht="21.0" customHeight="1">
      <c r="A55" s="240"/>
      <c r="B55" s="295"/>
      <c r="C55" s="270" t="s">
        <v>46</v>
      </c>
      <c r="D55" s="296" t="s">
        <v>255</v>
      </c>
      <c r="E55" s="270"/>
      <c r="F55" s="297">
        <f>Capex!E31</f>
        <v>4061841703</v>
      </c>
      <c r="G55" s="242"/>
      <c r="H55" s="242"/>
      <c r="I55" s="242"/>
      <c r="J55" s="242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ht="14.25" customHeight="1">
      <c r="A56" s="240"/>
      <c r="B56" s="241"/>
      <c r="C56" s="240"/>
      <c r="D56" s="242"/>
      <c r="E56" s="242"/>
      <c r="F56" s="242"/>
      <c r="G56" s="242"/>
      <c r="H56" s="242"/>
      <c r="I56" s="242"/>
      <c r="J56" s="242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ht="14.25" customHeight="1">
      <c r="A57" s="240"/>
      <c r="B57" s="241"/>
      <c r="C57" s="240"/>
      <c r="D57" s="242"/>
      <c r="E57" s="242"/>
      <c r="F57" s="242"/>
      <c r="G57" s="242"/>
      <c r="H57" s="242"/>
      <c r="I57" s="242"/>
      <c r="J57" s="242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ht="14.25" customHeight="1">
      <c r="A58" s="240"/>
      <c r="B58" s="241"/>
      <c r="C58" s="240"/>
      <c r="D58" s="242"/>
      <c r="E58" s="242"/>
      <c r="F58" s="242"/>
      <c r="G58" s="242"/>
      <c r="H58" s="242"/>
      <c r="I58" s="242"/>
      <c r="J58" s="242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ht="14.25" customHeight="1">
      <c r="A59" s="240"/>
      <c r="B59" s="241"/>
      <c r="C59" s="240"/>
      <c r="D59" s="242"/>
      <c r="E59" s="242"/>
      <c r="F59" s="242"/>
      <c r="G59" s="242"/>
      <c r="H59" s="242"/>
      <c r="I59" s="242"/>
      <c r="J59" s="242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ht="14.25" customHeight="1">
      <c r="A60" s="240"/>
      <c r="B60" s="241"/>
      <c r="C60" s="240"/>
      <c r="D60" s="242"/>
      <c r="E60" s="242"/>
      <c r="F60" s="242"/>
      <c r="G60" s="242"/>
      <c r="H60" s="242"/>
      <c r="I60" s="242"/>
      <c r="J60" s="242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ht="14.25" customHeight="1">
      <c r="A61" s="240"/>
      <c r="B61" s="241"/>
      <c r="C61" s="240"/>
      <c r="D61" s="242"/>
      <c r="E61" s="242"/>
      <c r="F61" s="242"/>
      <c r="G61" s="242"/>
      <c r="H61" s="242"/>
      <c r="I61" s="242"/>
      <c r="J61" s="242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ht="14.25" customHeight="1">
      <c r="A62" s="240"/>
      <c r="B62" s="241"/>
      <c r="C62" s="240"/>
      <c r="D62" s="242"/>
      <c r="E62" s="242"/>
      <c r="F62" s="242"/>
      <c r="G62" s="242"/>
      <c r="H62" s="242"/>
      <c r="I62" s="242"/>
      <c r="J62" s="242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ht="14.25" customHeight="1">
      <c r="A63" s="240"/>
      <c r="B63" s="241"/>
      <c r="C63" s="240"/>
      <c r="D63" s="242"/>
      <c r="E63" s="242"/>
      <c r="F63" s="242"/>
      <c r="G63" s="242"/>
      <c r="H63" s="242"/>
      <c r="I63" s="242"/>
      <c r="J63" s="242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ht="14.25" customHeight="1">
      <c r="A64" s="240"/>
      <c r="B64" s="241"/>
      <c r="C64" s="240"/>
      <c r="D64" s="242"/>
      <c r="E64" s="242"/>
      <c r="F64" s="242"/>
      <c r="G64" s="242"/>
      <c r="H64" s="242"/>
      <c r="I64" s="242"/>
      <c r="J64" s="242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ht="14.25" customHeight="1">
      <c r="A65" s="240"/>
      <c r="B65" s="241"/>
      <c r="C65" s="240"/>
      <c r="D65" s="242"/>
      <c r="E65" s="242"/>
      <c r="F65" s="242"/>
      <c r="G65" s="242"/>
      <c r="H65" s="242"/>
      <c r="I65" s="242"/>
      <c r="J65" s="242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ht="14.25" customHeight="1">
      <c r="A66" s="240"/>
      <c r="B66" s="241"/>
      <c r="C66" s="240"/>
      <c r="D66" s="242"/>
      <c r="E66" s="242"/>
      <c r="F66" s="242"/>
      <c r="G66" s="242"/>
      <c r="H66" s="242"/>
      <c r="I66" s="242"/>
      <c r="J66" s="242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ht="14.25" customHeight="1">
      <c r="A67" s="240"/>
      <c r="B67" s="241"/>
      <c r="C67" s="240"/>
      <c r="D67" s="242"/>
      <c r="E67" s="242"/>
      <c r="F67" s="242"/>
      <c r="G67" s="242"/>
      <c r="H67" s="242"/>
      <c r="I67" s="242"/>
      <c r="J67" s="242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ht="14.25" customHeight="1">
      <c r="A68" s="240"/>
      <c r="B68" s="241"/>
      <c r="C68" s="240"/>
      <c r="D68" s="242"/>
      <c r="E68" s="242"/>
      <c r="F68" s="242"/>
      <c r="G68" s="242"/>
      <c r="H68" s="242"/>
      <c r="I68" s="242"/>
      <c r="J68" s="242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ht="14.25" customHeight="1">
      <c r="A69" s="240"/>
      <c r="B69" s="241"/>
      <c r="C69" s="240"/>
      <c r="D69" s="242"/>
      <c r="E69" s="242"/>
      <c r="F69" s="242"/>
      <c r="G69" s="242"/>
      <c r="H69" s="242"/>
      <c r="I69" s="242"/>
      <c r="J69" s="242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ht="14.25" customHeight="1">
      <c r="A70" s="240"/>
      <c r="B70" s="241"/>
      <c r="C70" s="240"/>
      <c r="D70" s="242"/>
      <c r="E70" s="242"/>
      <c r="F70" s="242"/>
      <c r="G70" s="242"/>
      <c r="H70" s="242"/>
      <c r="I70" s="242"/>
      <c r="J70" s="242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ht="14.25" customHeight="1">
      <c r="A71" s="240"/>
      <c r="B71" s="241"/>
      <c r="C71" s="240"/>
      <c r="D71" s="242"/>
      <c r="E71" s="242"/>
      <c r="F71" s="242"/>
      <c r="G71" s="242"/>
      <c r="H71" s="242"/>
      <c r="I71" s="242"/>
      <c r="J71" s="242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</row>
    <row r="72" ht="14.25" customHeight="1">
      <c r="A72" s="240"/>
      <c r="B72" s="241"/>
      <c r="C72" s="240"/>
      <c r="D72" s="242"/>
      <c r="E72" s="242"/>
      <c r="F72" s="242"/>
      <c r="G72" s="242"/>
      <c r="H72" s="242"/>
      <c r="I72" s="242"/>
      <c r="J72" s="242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ht="14.25" customHeight="1">
      <c r="A73" s="240"/>
      <c r="B73" s="241"/>
      <c r="C73" s="240"/>
      <c r="D73" s="242"/>
      <c r="E73" s="242"/>
      <c r="F73" s="242"/>
      <c r="G73" s="242"/>
      <c r="H73" s="242"/>
      <c r="I73" s="242"/>
      <c r="J73" s="242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ht="14.25" customHeight="1">
      <c r="A74" s="240"/>
      <c r="B74" s="241"/>
      <c r="C74" s="240"/>
      <c r="D74" s="242"/>
      <c r="E74" s="242"/>
      <c r="F74" s="242"/>
      <c r="G74" s="242"/>
      <c r="H74" s="242"/>
      <c r="I74" s="242"/>
      <c r="J74" s="242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ht="14.25" customHeight="1">
      <c r="A75" s="240"/>
      <c r="B75" s="241"/>
      <c r="C75" s="240"/>
      <c r="D75" s="242"/>
      <c r="E75" s="242"/>
      <c r="F75" s="242"/>
      <c r="G75" s="242"/>
      <c r="H75" s="242"/>
      <c r="I75" s="242"/>
      <c r="J75" s="242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ht="14.25" customHeight="1">
      <c r="A76" s="240"/>
      <c r="B76" s="241"/>
      <c r="C76" s="240"/>
      <c r="D76" s="242"/>
      <c r="E76" s="242"/>
      <c r="F76" s="242"/>
      <c r="G76" s="242"/>
      <c r="H76" s="242"/>
      <c r="I76" s="242"/>
      <c r="J76" s="242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ht="14.25" customHeight="1">
      <c r="A77" s="240"/>
      <c r="B77" s="241"/>
      <c r="C77" s="240"/>
      <c r="D77" s="242"/>
      <c r="E77" s="242"/>
      <c r="F77" s="242"/>
      <c r="G77" s="242"/>
      <c r="H77" s="242"/>
      <c r="I77" s="242"/>
      <c r="J77" s="242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ht="14.25" customHeight="1">
      <c r="A78" s="240"/>
      <c r="B78" s="241"/>
      <c r="C78" s="240"/>
      <c r="D78" s="242"/>
      <c r="E78" s="242"/>
      <c r="F78" s="242"/>
      <c r="G78" s="242"/>
      <c r="H78" s="242"/>
      <c r="I78" s="242"/>
      <c r="J78" s="242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ht="14.25" customHeight="1">
      <c r="A79" s="240"/>
      <c r="B79" s="241"/>
      <c r="C79" s="240"/>
      <c r="D79" s="242"/>
      <c r="E79" s="242"/>
      <c r="F79" s="242"/>
      <c r="G79" s="242"/>
      <c r="H79" s="242"/>
      <c r="I79" s="242"/>
      <c r="J79" s="242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ht="14.25" customHeight="1">
      <c r="A80" s="240"/>
      <c r="B80" s="241"/>
      <c r="C80" s="240"/>
      <c r="D80" s="242"/>
      <c r="E80" s="242"/>
      <c r="F80" s="242"/>
      <c r="G80" s="242"/>
      <c r="H80" s="242"/>
      <c r="I80" s="242"/>
      <c r="J80" s="242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ht="14.25" customHeight="1">
      <c r="A81" s="240"/>
      <c r="B81" s="241"/>
      <c r="C81" s="240"/>
      <c r="D81" s="242"/>
      <c r="E81" s="242"/>
      <c r="F81" s="242"/>
      <c r="G81" s="242"/>
      <c r="H81" s="242"/>
      <c r="I81" s="242"/>
      <c r="J81" s="242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ht="14.25" customHeight="1">
      <c r="A82" s="240"/>
      <c r="B82" s="241"/>
      <c r="C82" s="240"/>
      <c r="D82" s="242"/>
      <c r="E82" s="242"/>
      <c r="F82" s="242"/>
      <c r="G82" s="242"/>
      <c r="H82" s="242"/>
      <c r="I82" s="242"/>
      <c r="J82" s="242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ht="14.25" customHeight="1">
      <c r="A83" s="240"/>
      <c r="B83" s="241"/>
      <c r="C83" s="240"/>
      <c r="D83" s="242"/>
      <c r="E83" s="242"/>
      <c r="F83" s="242"/>
      <c r="G83" s="242"/>
      <c r="H83" s="242"/>
      <c r="I83" s="242"/>
      <c r="J83" s="242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ht="14.25" customHeight="1">
      <c r="A84" s="240"/>
      <c r="B84" s="241"/>
      <c r="C84" s="240"/>
      <c r="D84" s="242"/>
      <c r="E84" s="242"/>
      <c r="F84" s="242"/>
      <c r="G84" s="242"/>
      <c r="H84" s="242"/>
      <c r="I84" s="242"/>
      <c r="J84" s="242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ht="14.25" customHeight="1">
      <c r="A85" s="240"/>
      <c r="B85" s="241"/>
      <c r="C85" s="240"/>
      <c r="D85" s="242"/>
      <c r="E85" s="242"/>
      <c r="F85" s="242"/>
      <c r="G85" s="242"/>
      <c r="H85" s="242"/>
      <c r="I85" s="242"/>
      <c r="J85" s="242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ht="14.25" customHeight="1">
      <c r="A86" s="240"/>
      <c r="B86" s="241"/>
      <c r="C86" s="240"/>
      <c r="D86" s="242"/>
      <c r="E86" s="242"/>
      <c r="F86" s="242"/>
      <c r="G86" s="242"/>
      <c r="H86" s="242"/>
      <c r="I86" s="242"/>
      <c r="J86" s="242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ht="14.25" customHeight="1">
      <c r="A87" s="240"/>
      <c r="B87" s="241"/>
      <c r="C87" s="240"/>
      <c r="D87" s="242"/>
      <c r="E87" s="242"/>
      <c r="F87" s="242"/>
      <c r="G87" s="242"/>
      <c r="H87" s="242"/>
      <c r="I87" s="242"/>
      <c r="J87" s="242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ht="14.25" customHeight="1">
      <c r="A88" s="240"/>
      <c r="B88" s="241"/>
      <c r="C88" s="240"/>
      <c r="D88" s="242"/>
      <c r="E88" s="242"/>
      <c r="F88" s="242"/>
      <c r="G88" s="242"/>
      <c r="H88" s="242"/>
      <c r="I88" s="242"/>
      <c r="J88" s="242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ht="14.25" customHeight="1">
      <c r="A89" s="240"/>
      <c r="B89" s="241"/>
      <c r="C89" s="240"/>
      <c r="D89" s="242"/>
      <c r="E89" s="242"/>
      <c r="F89" s="242"/>
      <c r="G89" s="242"/>
      <c r="H89" s="242"/>
      <c r="I89" s="242"/>
      <c r="J89" s="242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ht="14.25" customHeight="1">
      <c r="A90" s="240"/>
      <c r="B90" s="241"/>
      <c r="C90" s="240"/>
      <c r="D90" s="242"/>
      <c r="E90" s="242"/>
      <c r="F90" s="242"/>
      <c r="G90" s="242"/>
      <c r="H90" s="242"/>
      <c r="I90" s="242"/>
      <c r="J90" s="242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ht="14.25" customHeight="1">
      <c r="A91" s="240"/>
      <c r="B91" s="241"/>
      <c r="C91" s="240"/>
      <c r="D91" s="242"/>
      <c r="E91" s="242"/>
      <c r="F91" s="242"/>
      <c r="G91" s="242"/>
      <c r="H91" s="242"/>
      <c r="I91" s="242"/>
      <c r="J91" s="242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ht="14.25" customHeight="1">
      <c r="A92" s="240"/>
      <c r="B92" s="241"/>
      <c r="C92" s="240"/>
      <c r="D92" s="242"/>
      <c r="E92" s="242"/>
      <c r="F92" s="242"/>
      <c r="G92" s="242"/>
      <c r="H92" s="242"/>
      <c r="I92" s="242"/>
      <c r="J92" s="242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ht="14.25" customHeight="1">
      <c r="A93" s="240"/>
      <c r="B93" s="241"/>
      <c r="C93" s="240"/>
      <c r="D93" s="242"/>
      <c r="E93" s="242"/>
      <c r="F93" s="242"/>
      <c r="G93" s="242"/>
      <c r="H93" s="242"/>
      <c r="I93" s="242"/>
      <c r="J93" s="242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ht="14.25" customHeight="1">
      <c r="A94" s="240"/>
      <c r="B94" s="241"/>
      <c r="C94" s="240"/>
      <c r="D94" s="242"/>
      <c r="E94" s="242"/>
      <c r="F94" s="242"/>
      <c r="G94" s="242"/>
      <c r="H94" s="242"/>
      <c r="I94" s="242"/>
      <c r="J94" s="242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ht="14.25" customHeight="1">
      <c r="A95" s="240"/>
      <c r="B95" s="241"/>
      <c r="C95" s="240"/>
      <c r="D95" s="242"/>
      <c r="E95" s="242"/>
      <c r="F95" s="242"/>
      <c r="G95" s="242"/>
      <c r="H95" s="242"/>
      <c r="I95" s="242"/>
      <c r="J95" s="242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ht="14.25" customHeight="1">
      <c r="A96" s="240"/>
      <c r="B96" s="241"/>
      <c r="C96" s="240"/>
      <c r="D96" s="242"/>
      <c r="E96" s="242"/>
      <c r="F96" s="242"/>
      <c r="G96" s="242"/>
      <c r="H96" s="242"/>
      <c r="I96" s="242"/>
      <c r="J96" s="242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ht="14.25" customHeight="1">
      <c r="A97" s="240"/>
      <c r="B97" s="241"/>
      <c r="C97" s="240"/>
      <c r="D97" s="242"/>
      <c r="E97" s="242"/>
      <c r="F97" s="242"/>
      <c r="G97" s="242"/>
      <c r="H97" s="242"/>
      <c r="I97" s="242"/>
      <c r="J97" s="242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ht="14.25" customHeight="1">
      <c r="A98" s="240"/>
      <c r="B98" s="241"/>
      <c r="C98" s="240"/>
      <c r="D98" s="242"/>
      <c r="E98" s="242"/>
      <c r="F98" s="242"/>
      <c r="G98" s="242"/>
      <c r="H98" s="242"/>
      <c r="I98" s="242"/>
      <c r="J98" s="242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ht="14.25" customHeight="1">
      <c r="A99" s="240"/>
      <c r="B99" s="241"/>
      <c r="C99" s="240"/>
      <c r="D99" s="242"/>
      <c r="E99" s="242"/>
      <c r="F99" s="242"/>
      <c r="G99" s="242"/>
      <c r="H99" s="242"/>
      <c r="I99" s="242"/>
      <c r="J99" s="242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ht="14.25" customHeight="1">
      <c r="A100" s="240"/>
      <c r="B100" s="241"/>
      <c r="C100" s="240"/>
      <c r="D100" s="242"/>
      <c r="E100" s="242"/>
      <c r="F100" s="242"/>
      <c r="G100" s="242"/>
      <c r="H100" s="242"/>
      <c r="I100" s="242"/>
      <c r="J100" s="242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ht="14.25" customHeight="1">
      <c r="A101" s="240"/>
      <c r="B101" s="241"/>
      <c r="C101" s="240"/>
      <c r="D101" s="242"/>
      <c r="E101" s="242"/>
      <c r="F101" s="242"/>
      <c r="G101" s="242"/>
      <c r="H101" s="242"/>
      <c r="I101" s="242"/>
      <c r="J101" s="242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ht="14.25" customHeight="1">
      <c r="A102" s="240"/>
      <c r="B102" s="241"/>
      <c r="C102" s="240"/>
      <c r="D102" s="242"/>
      <c r="E102" s="242"/>
      <c r="F102" s="242"/>
      <c r="G102" s="242"/>
      <c r="H102" s="242"/>
      <c r="I102" s="242"/>
      <c r="J102" s="242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ht="14.25" customHeight="1">
      <c r="A103" s="240"/>
      <c r="B103" s="241"/>
      <c r="C103" s="240"/>
      <c r="D103" s="242"/>
      <c r="E103" s="242"/>
      <c r="F103" s="242"/>
      <c r="G103" s="242"/>
      <c r="H103" s="242"/>
      <c r="I103" s="242"/>
      <c r="J103" s="242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ht="14.25" customHeight="1">
      <c r="A104" s="240"/>
      <c r="B104" s="241"/>
      <c r="C104" s="240"/>
      <c r="D104" s="242"/>
      <c r="E104" s="242"/>
      <c r="F104" s="242"/>
      <c r="G104" s="242"/>
      <c r="H104" s="242"/>
      <c r="I104" s="242"/>
      <c r="J104" s="242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ht="14.25" customHeight="1">
      <c r="A105" s="240"/>
      <c r="B105" s="241"/>
      <c r="C105" s="240"/>
      <c r="D105" s="242"/>
      <c r="E105" s="242"/>
      <c r="F105" s="242"/>
      <c r="G105" s="242"/>
      <c r="H105" s="242"/>
      <c r="I105" s="242"/>
      <c r="J105" s="242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ht="14.25" customHeight="1">
      <c r="A106" s="240"/>
      <c r="B106" s="241"/>
      <c r="C106" s="240"/>
      <c r="D106" s="242"/>
      <c r="E106" s="242"/>
      <c r="F106" s="242"/>
      <c r="G106" s="242"/>
      <c r="H106" s="242"/>
      <c r="I106" s="242"/>
      <c r="J106" s="242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ht="14.25" customHeight="1">
      <c r="A107" s="240"/>
      <c r="B107" s="241"/>
      <c r="C107" s="240"/>
      <c r="D107" s="242"/>
      <c r="E107" s="242"/>
      <c r="F107" s="242"/>
      <c r="G107" s="242"/>
      <c r="H107" s="242"/>
      <c r="I107" s="242"/>
      <c r="J107" s="242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ht="14.25" customHeight="1">
      <c r="A108" s="240"/>
      <c r="B108" s="241"/>
      <c r="C108" s="240"/>
      <c r="D108" s="242"/>
      <c r="E108" s="242"/>
      <c r="F108" s="242"/>
      <c r="G108" s="242"/>
      <c r="H108" s="242"/>
      <c r="I108" s="242"/>
      <c r="J108" s="242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ht="14.25" customHeight="1">
      <c r="A109" s="240"/>
      <c r="B109" s="241"/>
      <c r="C109" s="240"/>
      <c r="D109" s="242"/>
      <c r="E109" s="242"/>
      <c r="F109" s="242"/>
      <c r="G109" s="242"/>
      <c r="H109" s="242"/>
      <c r="I109" s="242"/>
      <c r="J109" s="242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ht="14.25" customHeight="1">
      <c r="A110" s="240"/>
      <c r="B110" s="241"/>
      <c r="C110" s="240"/>
      <c r="D110" s="242"/>
      <c r="E110" s="242"/>
      <c r="F110" s="242"/>
      <c r="G110" s="242"/>
      <c r="H110" s="242"/>
      <c r="I110" s="242"/>
      <c r="J110" s="242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ht="14.25" customHeight="1">
      <c r="A111" s="240"/>
      <c r="B111" s="241"/>
      <c r="C111" s="240"/>
      <c r="D111" s="242"/>
      <c r="E111" s="242"/>
      <c r="F111" s="242"/>
      <c r="G111" s="242"/>
      <c r="H111" s="242"/>
      <c r="I111" s="242"/>
      <c r="J111" s="242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ht="14.25" customHeight="1">
      <c r="A112" s="240"/>
      <c r="B112" s="241"/>
      <c r="C112" s="240"/>
      <c r="D112" s="242"/>
      <c r="E112" s="242"/>
      <c r="F112" s="242"/>
      <c r="G112" s="242"/>
      <c r="H112" s="242"/>
      <c r="I112" s="242"/>
      <c r="J112" s="242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ht="14.25" customHeight="1">
      <c r="A113" s="240"/>
      <c r="B113" s="241"/>
      <c r="C113" s="240"/>
      <c r="D113" s="242"/>
      <c r="E113" s="242"/>
      <c r="F113" s="242"/>
      <c r="G113" s="242"/>
      <c r="H113" s="242"/>
      <c r="I113" s="242"/>
      <c r="J113" s="242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ht="14.25" customHeight="1">
      <c r="A114" s="240"/>
      <c r="B114" s="241"/>
      <c r="C114" s="240"/>
      <c r="D114" s="242"/>
      <c r="E114" s="242"/>
      <c r="F114" s="242"/>
      <c r="G114" s="242"/>
      <c r="H114" s="242"/>
      <c r="I114" s="242"/>
      <c r="J114" s="242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ht="14.25" customHeight="1">
      <c r="A115" s="240"/>
      <c r="B115" s="241"/>
      <c r="C115" s="240"/>
      <c r="D115" s="242"/>
      <c r="E115" s="242"/>
      <c r="F115" s="242"/>
      <c r="G115" s="242"/>
      <c r="H115" s="242"/>
      <c r="I115" s="242"/>
      <c r="J115" s="242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ht="14.25" customHeight="1">
      <c r="A116" s="240"/>
      <c r="B116" s="241"/>
      <c r="C116" s="240"/>
      <c r="D116" s="242"/>
      <c r="E116" s="242"/>
      <c r="F116" s="242"/>
      <c r="G116" s="242"/>
      <c r="H116" s="242"/>
      <c r="I116" s="242"/>
      <c r="J116" s="242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ht="14.25" customHeight="1">
      <c r="A117" s="240"/>
      <c r="B117" s="241"/>
      <c r="C117" s="240"/>
      <c r="D117" s="242"/>
      <c r="E117" s="242"/>
      <c r="F117" s="242"/>
      <c r="G117" s="242"/>
      <c r="H117" s="242"/>
      <c r="I117" s="242"/>
      <c r="J117" s="242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ht="14.25" customHeight="1">
      <c r="A118" s="240"/>
      <c r="B118" s="241"/>
      <c r="C118" s="240"/>
      <c r="D118" s="242"/>
      <c r="E118" s="242"/>
      <c r="F118" s="242"/>
      <c r="G118" s="242"/>
      <c r="H118" s="242"/>
      <c r="I118" s="242"/>
      <c r="J118" s="242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ht="14.25" customHeight="1">
      <c r="A119" s="240"/>
      <c r="B119" s="241"/>
      <c r="C119" s="240"/>
      <c r="D119" s="242"/>
      <c r="E119" s="242"/>
      <c r="F119" s="242"/>
      <c r="G119" s="242"/>
      <c r="H119" s="242"/>
      <c r="I119" s="242"/>
      <c r="J119" s="242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ht="14.25" customHeight="1">
      <c r="A120" s="240"/>
      <c r="B120" s="241"/>
      <c r="C120" s="240"/>
      <c r="D120" s="242"/>
      <c r="E120" s="242"/>
      <c r="F120" s="242"/>
      <c r="G120" s="242"/>
      <c r="H120" s="242"/>
      <c r="I120" s="242"/>
      <c r="J120" s="242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ht="14.25" customHeight="1">
      <c r="A121" s="240"/>
      <c r="B121" s="241"/>
      <c r="C121" s="240"/>
      <c r="D121" s="242"/>
      <c r="E121" s="242"/>
      <c r="F121" s="242"/>
      <c r="G121" s="242"/>
      <c r="H121" s="242"/>
      <c r="I121" s="242"/>
      <c r="J121" s="242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ht="14.25" customHeight="1">
      <c r="A122" s="240"/>
      <c r="B122" s="241"/>
      <c r="C122" s="240"/>
      <c r="D122" s="242"/>
      <c r="E122" s="242"/>
      <c r="F122" s="242"/>
      <c r="G122" s="242"/>
      <c r="H122" s="242"/>
      <c r="I122" s="242"/>
      <c r="J122" s="242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</row>
    <row r="123" ht="14.25" customHeight="1">
      <c r="A123" s="240"/>
      <c r="B123" s="241"/>
      <c r="C123" s="240"/>
      <c r="D123" s="242"/>
      <c r="E123" s="242"/>
      <c r="F123" s="242"/>
      <c r="G123" s="242"/>
      <c r="H123" s="242"/>
      <c r="I123" s="242"/>
      <c r="J123" s="242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</row>
    <row r="124" ht="14.25" customHeight="1">
      <c r="A124" s="240"/>
      <c r="B124" s="241"/>
      <c r="C124" s="240"/>
      <c r="D124" s="242"/>
      <c r="E124" s="242"/>
      <c r="F124" s="242"/>
      <c r="G124" s="242"/>
      <c r="H124" s="242"/>
      <c r="I124" s="242"/>
      <c r="J124" s="242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</row>
    <row r="125" ht="14.25" customHeight="1">
      <c r="A125" s="240"/>
      <c r="B125" s="241"/>
      <c r="C125" s="240"/>
      <c r="D125" s="242"/>
      <c r="E125" s="242"/>
      <c r="F125" s="242"/>
      <c r="G125" s="242"/>
      <c r="H125" s="242"/>
      <c r="I125" s="242"/>
      <c r="J125" s="242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</row>
    <row r="126" ht="14.25" customHeight="1">
      <c r="A126" s="240"/>
      <c r="B126" s="241"/>
      <c r="C126" s="240"/>
      <c r="D126" s="242"/>
      <c r="E126" s="242"/>
      <c r="F126" s="242"/>
      <c r="G126" s="242"/>
      <c r="H126" s="242"/>
      <c r="I126" s="242"/>
      <c r="J126" s="242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</row>
    <row r="127" ht="14.25" customHeight="1">
      <c r="A127" s="240"/>
      <c r="B127" s="241"/>
      <c r="C127" s="240"/>
      <c r="D127" s="242"/>
      <c r="E127" s="242"/>
      <c r="F127" s="242"/>
      <c r="G127" s="242"/>
      <c r="H127" s="242"/>
      <c r="I127" s="242"/>
      <c r="J127" s="242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 ht="14.25" customHeight="1">
      <c r="A128" s="240"/>
      <c r="B128" s="241"/>
      <c r="C128" s="240"/>
      <c r="D128" s="242"/>
      <c r="E128" s="242"/>
      <c r="F128" s="242"/>
      <c r="G128" s="242"/>
      <c r="H128" s="242"/>
      <c r="I128" s="242"/>
      <c r="J128" s="242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</row>
    <row r="129" ht="14.25" customHeight="1">
      <c r="A129" s="240"/>
      <c r="B129" s="241"/>
      <c r="C129" s="240"/>
      <c r="D129" s="242"/>
      <c r="E129" s="242"/>
      <c r="F129" s="242"/>
      <c r="G129" s="242"/>
      <c r="H129" s="242"/>
      <c r="I129" s="242"/>
      <c r="J129" s="242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</row>
    <row r="130" ht="14.25" customHeight="1">
      <c r="A130" s="240"/>
      <c r="B130" s="241"/>
      <c r="C130" s="240"/>
      <c r="D130" s="242"/>
      <c r="E130" s="242"/>
      <c r="F130" s="242"/>
      <c r="G130" s="242"/>
      <c r="H130" s="242"/>
      <c r="I130" s="242"/>
      <c r="J130" s="242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</row>
    <row r="131" ht="14.25" customHeight="1">
      <c r="A131" s="240"/>
      <c r="B131" s="241"/>
      <c r="C131" s="240"/>
      <c r="D131" s="242"/>
      <c r="E131" s="242"/>
      <c r="F131" s="242"/>
      <c r="G131" s="242"/>
      <c r="H131" s="242"/>
      <c r="I131" s="242"/>
      <c r="J131" s="242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</row>
    <row r="132" ht="14.25" customHeight="1">
      <c r="A132" s="240"/>
      <c r="B132" s="241"/>
      <c r="C132" s="240"/>
      <c r="D132" s="242"/>
      <c r="E132" s="242"/>
      <c r="F132" s="242"/>
      <c r="G132" s="242"/>
      <c r="H132" s="242"/>
      <c r="I132" s="242"/>
      <c r="J132" s="242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</row>
    <row r="133" ht="14.25" customHeight="1">
      <c r="A133" s="240"/>
      <c r="B133" s="241"/>
      <c r="C133" s="240"/>
      <c r="D133" s="242"/>
      <c r="E133" s="242"/>
      <c r="F133" s="242"/>
      <c r="G133" s="242"/>
      <c r="H133" s="242"/>
      <c r="I133" s="242"/>
      <c r="J133" s="242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</row>
    <row r="134" ht="14.25" customHeight="1">
      <c r="A134" s="240"/>
      <c r="B134" s="241"/>
      <c r="C134" s="240"/>
      <c r="D134" s="242"/>
      <c r="E134" s="242"/>
      <c r="F134" s="242"/>
      <c r="G134" s="242"/>
      <c r="H134" s="242"/>
      <c r="I134" s="242"/>
      <c r="J134" s="242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</row>
    <row r="135" ht="14.25" customHeight="1">
      <c r="A135" s="240"/>
      <c r="B135" s="241"/>
      <c r="C135" s="240"/>
      <c r="D135" s="242"/>
      <c r="E135" s="242"/>
      <c r="F135" s="242"/>
      <c r="G135" s="242"/>
      <c r="H135" s="242"/>
      <c r="I135" s="242"/>
      <c r="J135" s="242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</row>
    <row r="136" ht="14.25" customHeight="1">
      <c r="A136" s="240"/>
      <c r="B136" s="241"/>
      <c r="C136" s="240"/>
      <c r="D136" s="242"/>
      <c r="E136" s="242"/>
      <c r="F136" s="242"/>
      <c r="G136" s="242"/>
      <c r="H136" s="242"/>
      <c r="I136" s="242"/>
      <c r="J136" s="242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</row>
    <row r="137" ht="14.25" customHeight="1">
      <c r="A137" s="240"/>
      <c r="B137" s="241"/>
      <c r="C137" s="240"/>
      <c r="D137" s="242"/>
      <c r="E137" s="242"/>
      <c r="F137" s="242"/>
      <c r="G137" s="242"/>
      <c r="H137" s="242"/>
      <c r="I137" s="242"/>
      <c r="J137" s="242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</row>
    <row r="138" ht="14.25" customHeight="1">
      <c r="A138" s="240"/>
      <c r="B138" s="241"/>
      <c r="C138" s="240"/>
      <c r="D138" s="242"/>
      <c r="E138" s="242"/>
      <c r="F138" s="242"/>
      <c r="G138" s="242"/>
      <c r="H138" s="242"/>
      <c r="I138" s="242"/>
      <c r="J138" s="242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</row>
    <row r="139" ht="14.25" customHeight="1">
      <c r="A139" s="240"/>
      <c r="B139" s="241"/>
      <c r="C139" s="240"/>
      <c r="D139" s="242"/>
      <c r="E139" s="242"/>
      <c r="F139" s="242"/>
      <c r="G139" s="242"/>
      <c r="H139" s="242"/>
      <c r="I139" s="242"/>
      <c r="J139" s="242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</row>
    <row r="140" ht="14.25" customHeight="1">
      <c r="A140" s="240"/>
      <c r="B140" s="241"/>
      <c r="C140" s="240"/>
      <c r="D140" s="242"/>
      <c r="E140" s="242"/>
      <c r="F140" s="242"/>
      <c r="G140" s="242"/>
      <c r="H140" s="242"/>
      <c r="I140" s="242"/>
      <c r="J140" s="242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</row>
    <row r="141" ht="14.25" customHeight="1">
      <c r="A141" s="240"/>
      <c r="B141" s="241"/>
      <c r="C141" s="240"/>
      <c r="D141" s="242"/>
      <c r="E141" s="242"/>
      <c r="F141" s="242"/>
      <c r="G141" s="242"/>
      <c r="H141" s="242"/>
      <c r="I141" s="242"/>
      <c r="J141" s="242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</row>
    <row r="142" ht="14.25" customHeight="1">
      <c r="A142" s="240"/>
      <c r="B142" s="241"/>
      <c r="C142" s="240"/>
      <c r="D142" s="242"/>
      <c r="E142" s="242"/>
      <c r="F142" s="242"/>
      <c r="G142" s="242"/>
      <c r="H142" s="242"/>
      <c r="I142" s="242"/>
      <c r="J142" s="242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</row>
    <row r="143" ht="14.25" customHeight="1">
      <c r="A143" s="240"/>
      <c r="B143" s="241"/>
      <c r="C143" s="240"/>
      <c r="D143" s="242"/>
      <c r="E143" s="242"/>
      <c r="F143" s="242"/>
      <c r="G143" s="242"/>
      <c r="H143" s="242"/>
      <c r="I143" s="242"/>
      <c r="J143" s="242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</row>
    <row r="144" ht="14.25" customHeight="1">
      <c r="A144" s="240"/>
      <c r="B144" s="241"/>
      <c r="C144" s="240"/>
      <c r="D144" s="242"/>
      <c r="E144" s="242"/>
      <c r="F144" s="242"/>
      <c r="G144" s="242"/>
      <c r="H144" s="242"/>
      <c r="I144" s="242"/>
      <c r="J144" s="242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</row>
    <row r="145" ht="14.25" customHeight="1">
      <c r="A145" s="240"/>
      <c r="B145" s="241"/>
      <c r="C145" s="240"/>
      <c r="D145" s="242"/>
      <c r="E145" s="242"/>
      <c r="F145" s="242"/>
      <c r="G145" s="242"/>
      <c r="H145" s="242"/>
      <c r="I145" s="242"/>
      <c r="J145" s="242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</row>
    <row r="146" ht="14.25" customHeight="1">
      <c r="A146" s="240"/>
      <c r="B146" s="241"/>
      <c r="C146" s="240"/>
      <c r="D146" s="242"/>
      <c r="E146" s="242"/>
      <c r="F146" s="242"/>
      <c r="G146" s="242"/>
      <c r="H146" s="242"/>
      <c r="I146" s="242"/>
      <c r="J146" s="242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</row>
    <row r="147" ht="14.25" customHeight="1">
      <c r="A147" s="240"/>
      <c r="B147" s="241"/>
      <c r="C147" s="240"/>
      <c r="D147" s="242"/>
      <c r="E147" s="242"/>
      <c r="F147" s="242"/>
      <c r="G147" s="242"/>
      <c r="H147" s="242"/>
      <c r="I147" s="242"/>
      <c r="J147" s="242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</row>
    <row r="148" ht="14.25" customHeight="1">
      <c r="A148" s="240"/>
      <c r="B148" s="241"/>
      <c r="C148" s="240"/>
      <c r="D148" s="242"/>
      <c r="E148" s="242"/>
      <c r="F148" s="242"/>
      <c r="G148" s="242"/>
      <c r="H148" s="242"/>
      <c r="I148" s="242"/>
      <c r="J148" s="242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</row>
    <row r="149" ht="14.25" customHeight="1">
      <c r="A149" s="240"/>
      <c r="B149" s="241"/>
      <c r="C149" s="240"/>
      <c r="D149" s="242"/>
      <c r="E149" s="242"/>
      <c r="F149" s="242"/>
      <c r="G149" s="242"/>
      <c r="H149" s="242"/>
      <c r="I149" s="242"/>
      <c r="J149" s="242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</row>
    <row r="150" ht="14.25" customHeight="1">
      <c r="A150" s="240"/>
      <c r="B150" s="241"/>
      <c r="C150" s="240"/>
      <c r="D150" s="242"/>
      <c r="E150" s="242"/>
      <c r="F150" s="242"/>
      <c r="G150" s="242"/>
      <c r="H150" s="242"/>
      <c r="I150" s="242"/>
      <c r="J150" s="242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</row>
    <row r="151" ht="14.25" customHeight="1">
      <c r="A151" s="240"/>
      <c r="B151" s="241"/>
      <c r="C151" s="240"/>
      <c r="D151" s="242"/>
      <c r="E151" s="242"/>
      <c r="F151" s="242"/>
      <c r="G151" s="242"/>
      <c r="H151" s="242"/>
      <c r="I151" s="242"/>
      <c r="J151" s="242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</row>
    <row r="152" ht="14.25" customHeight="1">
      <c r="A152" s="240"/>
      <c r="B152" s="241"/>
      <c r="C152" s="240"/>
      <c r="D152" s="242"/>
      <c r="E152" s="242"/>
      <c r="F152" s="242"/>
      <c r="G152" s="242"/>
      <c r="H152" s="242"/>
      <c r="I152" s="242"/>
      <c r="J152" s="242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</row>
    <row r="153" ht="14.25" customHeight="1">
      <c r="A153" s="240"/>
      <c r="B153" s="241"/>
      <c r="C153" s="240"/>
      <c r="D153" s="242"/>
      <c r="E153" s="242"/>
      <c r="F153" s="242"/>
      <c r="G153" s="242"/>
      <c r="H153" s="242"/>
      <c r="I153" s="242"/>
      <c r="J153" s="242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</row>
    <row r="154" ht="14.25" customHeight="1">
      <c r="A154" s="240"/>
      <c r="B154" s="241"/>
      <c r="C154" s="240"/>
      <c r="D154" s="242"/>
      <c r="E154" s="242"/>
      <c r="F154" s="242"/>
      <c r="G154" s="242"/>
      <c r="H154" s="242"/>
      <c r="I154" s="242"/>
      <c r="J154" s="242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</row>
    <row r="155" ht="14.25" customHeight="1">
      <c r="A155" s="240"/>
      <c r="B155" s="241"/>
      <c r="C155" s="240"/>
      <c r="D155" s="242"/>
      <c r="E155" s="242"/>
      <c r="F155" s="242"/>
      <c r="G155" s="242"/>
      <c r="H155" s="242"/>
      <c r="I155" s="242"/>
      <c r="J155" s="242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ht="14.25" customHeight="1">
      <c r="A156" s="240"/>
      <c r="B156" s="241"/>
      <c r="C156" s="240"/>
      <c r="D156" s="242"/>
      <c r="E156" s="242"/>
      <c r="F156" s="242"/>
      <c r="G156" s="242"/>
      <c r="H156" s="242"/>
      <c r="I156" s="242"/>
      <c r="J156" s="242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ht="14.25" customHeight="1">
      <c r="A157" s="240"/>
      <c r="B157" s="241"/>
      <c r="C157" s="240"/>
      <c r="D157" s="242"/>
      <c r="E157" s="242"/>
      <c r="F157" s="242"/>
      <c r="G157" s="242"/>
      <c r="H157" s="242"/>
      <c r="I157" s="242"/>
      <c r="J157" s="242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ht="14.25" customHeight="1">
      <c r="A158" s="240"/>
      <c r="B158" s="241"/>
      <c r="C158" s="240"/>
      <c r="D158" s="242"/>
      <c r="E158" s="242"/>
      <c r="F158" s="242"/>
      <c r="G158" s="242"/>
      <c r="H158" s="242"/>
      <c r="I158" s="242"/>
      <c r="J158" s="242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ht="14.25" customHeight="1">
      <c r="A159" s="240"/>
      <c r="B159" s="241"/>
      <c r="C159" s="240"/>
      <c r="D159" s="242"/>
      <c r="E159" s="242"/>
      <c r="F159" s="242"/>
      <c r="G159" s="242"/>
      <c r="H159" s="242"/>
      <c r="I159" s="242"/>
      <c r="J159" s="242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ht="14.25" customHeight="1">
      <c r="A160" s="240"/>
      <c r="B160" s="241"/>
      <c r="C160" s="240"/>
      <c r="D160" s="242"/>
      <c r="E160" s="242"/>
      <c r="F160" s="242"/>
      <c r="G160" s="242"/>
      <c r="H160" s="242"/>
      <c r="I160" s="242"/>
      <c r="J160" s="242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ht="14.25" customHeight="1">
      <c r="A161" s="240"/>
      <c r="B161" s="241"/>
      <c r="C161" s="240"/>
      <c r="D161" s="242"/>
      <c r="E161" s="242"/>
      <c r="F161" s="242"/>
      <c r="G161" s="242"/>
      <c r="H161" s="242"/>
      <c r="I161" s="242"/>
      <c r="J161" s="242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ht="14.25" customHeight="1">
      <c r="A162" s="240"/>
      <c r="B162" s="241"/>
      <c r="C162" s="240"/>
      <c r="D162" s="242"/>
      <c r="E162" s="242"/>
      <c r="F162" s="242"/>
      <c r="G162" s="242"/>
      <c r="H162" s="242"/>
      <c r="I162" s="242"/>
      <c r="J162" s="242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ht="14.25" customHeight="1">
      <c r="A163" s="240"/>
      <c r="B163" s="241"/>
      <c r="C163" s="240"/>
      <c r="D163" s="242"/>
      <c r="E163" s="242"/>
      <c r="F163" s="242"/>
      <c r="G163" s="242"/>
      <c r="H163" s="242"/>
      <c r="I163" s="242"/>
      <c r="J163" s="242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ht="14.25" customHeight="1">
      <c r="A164" s="240"/>
      <c r="B164" s="241"/>
      <c r="C164" s="240"/>
      <c r="D164" s="242"/>
      <c r="E164" s="242"/>
      <c r="F164" s="242"/>
      <c r="G164" s="242"/>
      <c r="H164" s="242"/>
      <c r="I164" s="242"/>
      <c r="J164" s="242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ht="14.25" customHeight="1">
      <c r="A165" s="240"/>
      <c r="B165" s="241"/>
      <c r="C165" s="240"/>
      <c r="D165" s="242"/>
      <c r="E165" s="242"/>
      <c r="F165" s="242"/>
      <c r="G165" s="242"/>
      <c r="H165" s="242"/>
      <c r="I165" s="242"/>
      <c r="J165" s="242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ht="14.25" customHeight="1">
      <c r="A166" s="240"/>
      <c r="B166" s="241"/>
      <c r="C166" s="240"/>
      <c r="D166" s="242"/>
      <c r="E166" s="242"/>
      <c r="F166" s="242"/>
      <c r="G166" s="242"/>
      <c r="H166" s="242"/>
      <c r="I166" s="242"/>
      <c r="J166" s="242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ht="14.25" customHeight="1">
      <c r="A167" s="240"/>
      <c r="B167" s="241"/>
      <c r="C167" s="240"/>
      <c r="D167" s="242"/>
      <c r="E167" s="242"/>
      <c r="F167" s="242"/>
      <c r="G167" s="242"/>
      <c r="H167" s="242"/>
      <c r="I167" s="242"/>
      <c r="J167" s="242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ht="14.25" customHeight="1">
      <c r="A168" s="240"/>
      <c r="B168" s="241"/>
      <c r="C168" s="240"/>
      <c r="D168" s="242"/>
      <c r="E168" s="242"/>
      <c r="F168" s="242"/>
      <c r="G168" s="242"/>
      <c r="H168" s="242"/>
      <c r="I168" s="242"/>
      <c r="J168" s="242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ht="14.25" customHeight="1">
      <c r="A169" s="240"/>
      <c r="B169" s="241"/>
      <c r="C169" s="240"/>
      <c r="D169" s="242"/>
      <c r="E169" s="242"/>
      <c r="F169" s="242"/>
      <c r="G169" s="242"/>
      <c r="H169" s="242"/>
      <c r="I169" s="242"/>
      <c r="J169" s="242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ht="14.25" customHeight="1">
      <c r="A170" s="240"/>
      <c r="B170" s="241"/>
      <c r="C170" s="240"/>
      <c r="D170" s="242"/>
      <c r="E170" s="242"/>
      <c r="F170" s="242"/>
      <c r="G170" s="242"/>
      <c r="H170" s="242"/>
      <c r="I170" s="242"/>
      <c r="J170" s="242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ht="14.25" customHeight="1">
      <c r="A171" s="240"/>
      <c r="B171" s="241"/>
      <c r="C171" s="240"/>
      <c r="D171" s="242"/>
      <c r="E171" s="242"/>
      <c r="F171" s="242"/>
      <c r="G171" s="242"/>
      <c r="H171" s="242"/>
      <c r="I171" s="242"/>
      <c r="J171" s="242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</row>
    <row r="172" ht="14.25" customHeight="1">
      <c r="A172" s="240"/>
      <c r="B172" s="241"/>
      <c r="C172" s="240"/>
      <c r="D172" s="242"/>
      <c r="E172" s="242"/>
      <c r="F172" s="242"/>
      <c r="G172" s="242"/>
      <c r="H172" s="242"/>
      <c r="I172" s="242"/>
      <c r="J172" s="242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</row>
    <row r="173" ht="14.25" customHeight="1">
      <c r="A173" s="240"/>
      <c r="B173" s="241"/>
      <c r="C173" s="240"/>
      <c r="D173" s="242"/>
      <c r="E173" s="242"/>
      <c r="F173" s="242"/>
      <c r="G173" s="242"/>
      <c r="H173" s="242"/>
      <c r="I173" s="242"/>
      <c r="J173" s="242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</row>
    <row r="174" ht="14.25" customHeight="1">
      <c r="A174" s="240"/>
      <c r="B174" s="241"/>
      <c r="C174" s="240"/>
      <c r="D174" s="242"/>
      <c r="E174" s="242"/>
      <c r="F174" s="242"/>
      <c r="G174" s="242"/>
      <c r="H174" s="242"/>
      <c r="I174" s="242"/>
      <c r="J174" s="242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</row>
    <row r="175" ht="14.25" customHeight="1">
      <c r="A175" s="240"/>
      <c r="B175" s="241"/>
      <c r="C175" s="240"/>
      <c r="D175" s="242"/>
      <c r="E175" s="242"/>
      <c r="F175" s="242"/>
      <c r="G175" s="242"/>
      <c r="H175" s="242"/>
      <c r="I175" s="242"/>
      <c r="J175" s="242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</row>
    <row r="176" ht="14.25" customHeight="1">
      <c r="A176" s="240"/>
      <c r="B176" s="241"/>
      <c r="C176" s="240"/>
      <c r="D176" s="242"/>
      <c r="E176" s="242"/>
      <c r="F176" s="242"/>
      <c r="G176" s="242"/>
      <c r="H176" s="242"/>
      <c r="I176" s="242"/>
      <c r="J176" s="242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</row>
    <row r="177" ht="14.25" customHeight="1">
      <c r="A177" s="240"/>
      <c r="B177" s="241"/>
      <c r="C177" s="240"/>
      <c r="D177" s="242"/>
      <c r="E177" s="242"/>
      <c r="F177" s="242"/>
      <c r="G177" s="242"/>
      <c r="H177" s="242"/>
      <c r="I177" s="242"/>
      <c r="J177" s="242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</row>
    <row r="178" ht="14.25" customHeight="1">
      <c r="A178" s="240"/>
      <c r="B178" s="241"/>
      <c r="C178" s="240"/>
      <c r="D178" s="242"/>
      <c r="E178" s="242"/>
      <c r="F178" s="242"/>
      <c r="G178" s="242"/>
      <c r="H178" s="242"/>
      <c r="I178" s="242"/>
      <c r="J178" s="242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ht="14.25" customHeight="1">
      <c r="A179" s="240"/>
      <c r="B179" s="241"/>
      <c r="C179" s="240"/>
      <c r="D179" s="242"/>
      <c r="E179" s="242"/>
      <c r="F179" s="242"/>
      <c r="G179" s="242"/>
      <c r="H179" s="242"/>
      <c r="I179" s="242"/>
      <c r="J179" s="242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ht="14.25" customHeight="1">
      <c r="A180" s="240"/>
      <c r="B180" s="241"/>
      <c r="C180" s="240"/>
      <c r="D180" s="242"/>
      <c r="E180" s="242"/>
      <c r="F180" s="242"/>
      <c r="G180" s="242"/>
      <c r="H180" s="242"/>
      <c r="I180" s="242"/>
      <c r="J180" s="242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ht="14.25" customHeight="1">
      <c r="A181" s="240"/>
      <c r="B181" s="241"/>
      <c r="C181" s="240"/>
      <c r="D181" s="242"/>
      <c r="E181" s="242"/>
      <c r="F181" s="242"/>
      <c r="G181" s="242"/>
      <c r="H181" s="242"/>
      <c r="I181" s="242"/>
      <c r="J181" s="242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ht="14.25" customHeight="1">
      <c r="A182" s="240"/>
      <c r="B182" s="241"/>
      <c r="C182" s="240"/>
      <c r="D182" s="242"/>
      <c r="E182" s="242"/>
      <c r="F182" s="242"/>
      <c r="G182" s="242"/>
      <c r="H182" s="242"/>
      <c r="I182" s="242"/>
      <c r="J182" s="242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ht="14.25" customHeight="1">
      <c r="A183" s="240"/>
      <c r="B183" s="241"/>
      <c r="C183" s="240"/>
      <c r="D183" s="242"/>
      <c r="E183" s="242"/>
      <c r="F183" s="242"/>
      <c r="G183" s="242"/>
      <c r="H183" s="242"/>
      <c r="I183" s="242"/>
      <c r="J183" s="242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ht="14.25" customHeight="1">
      <c r="A184" s="240"/>
      <c r="B184" s="241"/>
      <c r="C184" s="240"/>
      <c r="D184" s="242"/>
      <c r="E184" s="242"/>
      <c r="F184" s="242"/>
      <c r="G184" s="242"/>
      <c r="H184" s="242"/>
      <c r="I184" s="242"/>
      <c r="J184" s="242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ht="14.25" customHeight="1">
      <c r="A185" s="240"/>
      <c r="B185" s="241"/>
      <c r="C185" s="240"/>
      <c r="D185" s="242"/>
      <c r="E185" s="242"/>
      <c r="F185" s="242"/>
      <c r="G185" s="242"/>
      <c r="H185" s="242"/>
      <c r="I185" s="242"/>
      <c r="J185" s="242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ht="14.25" customHeight="1">
      <c r="A186" s="240"/>
      <c r="B186" s="241"/>
      <c r="C186" s="240"/>
      <c r="D186" s="242"/>
      <c r="E186" s="242"/>
      <c r="F186" s="242"/>
      <c r="G186" s="242"/>
      <c r="H186" s="242"/>
      <c r="I186" s="242"/>
      <c r="J186" s="242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ht="14.25" customHeight="1">
      <c r="A187" s="240"/>
      <c r="B187" s="241"/>
      <c r="C187" s="240"/>
      <c r="D187" s="242"/>
      <c r="E187" s="242"/>
      <c r="F187" s="242"/>
      <c r="G187" s="242"/>
      <c r="H187" s="242"/>
      <c r="I187" s="242"/>
      <c r="J187" s="242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ht="14.25" customHeight="1">
      <c r="A188" s="240"/>
      <c r="B188" s="241"/>
      <c r="C188" s="240"/>
      <c r="D188" s="242"/>
      <c r="E188" s="242"/>
      <c r="F188" s="242"/>
      <c r="G188" s="242"/>
      <c r="H188" s="242"/>
      <c r="I188" s="242"/>
      <c r="J188" s="242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ht="14.25" customHeight="1">
      <c r="A189" s="240"/>
      <c r="B189" s="241"/>
      <c r="C189" s="240"/>
      <c r="D189" s="242"/>
      <c r="E189" s="242"/>
      <c r="F189" s="242"/>
      <c r="G189" s="242"/>
      <c r="H189" s="242"/>
      <c r="I189" s="242"/>
      <c r="J189" s="242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ht="14.25" customHeight="1">
      <c r="A190" s="240"/>
      <c r="B190" s="241"/>
      <c r="C190" s="240"/>
      <c r="D190" s="242"/>
      <c r="E190" s="242"/>
      <c r="F190" s="242"/>
      <c r="G190" s="242"/>
      <c r="H190" s="242"/>
      <c r="I190" s="242"/>
      <c r="J190" s="242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ht="14.25" customHeight="1">
      <c r="A191" s="240"/>
      <c r="B191" s="241"/>
      <c r="C191" s="240"/>
      <c r="D191" s="242"/>
      <c r="E191" s="242"/>
      <c r="F191" s="242"/>
      <c r="G191" s="242"/>
      <c r="H191" s="242"/>
      <c r="I191" s="242"/>
      <c r="J191" s="242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ht="14.25" customHeight="1">
      <c r="A192" s="240"/>
      <c r="B192" s="241"/>
      <c r="C192" s="240"/>
      <c r="D192" s="242"/>
      <c r="E192" s="242"/>
      <c r="F192" s="242"/>
      <c r="G192" s="242"/>
      <c r="H192" s="242"/>
      <c r="I192" s="242"/>
      <c r="J192" s="242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ht="14.25" customHeight="1">
      <c r="A193" s="240"/>
      <c r="B193" s="241"/>
      <c r="C193" s="240"/>
      <c r="D193" s="242"/>
      <c r="E193" s="242"/>
      <c r="F193" s="242"/>
      <c r="G193" s="242"/>
      <c r="H193" s="242"/>
      <c r="I193" s="242"/>
      <c r="J193" s="242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ht="14.25" customHeight="1">
      <c r="A194" s="240"/>
      <c r="B194" s="241"/>
      <c r="C194" s="240"/>
      <c r="D194" s="242"/>
      <c r="E194" s="242"/>
      <c r="F194" s="242"/>
      <c r="G194" s="242"/>
      <c r="H194" s="242"/>
      <c r="I194" s="242"/>
      <c r="J194" s="242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ht="14.25" customHeight="1">
      <c r="A195" s="240"/>
      <c r="B195" s="241"/>
      <c r="C195" s="240"/>
      <c r="D195" s="242"/>
      <c r="E195" s="242"/>
      <c r="F195" s="242"/>
      <c r="G195" s="242"/>
      <c r="H195" s="242"/>
      <c r="I195" s="242"/>
      <c r="J195" s="242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ht="14.25" customHeight="1">
      <c r="A196" s="240"/>
      <c r="B196" s="241"/>
      <c r="C196" s="240"/>
      <c r="D196" s="242"/>
      <c r="E196" s="242"/>
      <c r="F196" s="242"/>
      <c r="G196" s="242"/>
      <c r="H196" s="242"/>
      <c r="I196" s="242"/>
      <c r="J196" s="242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ht="14.25" customHeight="1">
      <c r="A197" s="240"/>
      <c r="B197" s="241"/>
      <c r="C197" s="240"/>
      <c r="D197" s="242"/>
      <c r="E197" s="242"/>
      <c r="F197" s="242"/>
      <c r="G197" s="242"/>
      <c r="H197" s="242"/>
      <c r="I197" s="242"/>
      <c r="J197" s="242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ht="14.25" customHeight="1">
      <c r="A198" s="240"/>
      <c r="B198" s="241"/>
      <c r="C198" s="240"/>
      <c r="D198" s="242"/>
      <c r="E198" s="242"/>
      <c r="F198" s="242"/>
      <c r="G198" s="242"/>
      <c r="H198" s="242"/>
      <c r="I198" s="242"/>
      <c r="J198" s="242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ht="14.25" customHeight="1">
      <c r="A199" s="240"/>
      <c r="B199" s="241"/>
      <c r="C199" s="240"/>
      <c r="D199" s="242"/>
      <c r="E199" s="242"/>
      <c r="F199" s="242"/>
      <c r="G199" s="242"/>
      <c r="H199" s="242"/>
      <c r="I199" s="242"/>
      <c r="J199" s="242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ht="14.25" customHeight="1">
      <c r="A200" s="240"/>
      <c r="B200" s="241"/>
      <c r="C200" s="240"/>
      <c r="D200" s="242"/>
      <c r="E200" s="242"/>
      <c r="F200" s="242"/>
      <c r="G200" s="242"/>
      <c r="H200" s="242"/>
      <c r="I200" s="242"/>
      <c r="J200" s="242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ht="14.25" customHeight="1">
      <c r="A201" s="240"/>
      <c r="B201" s="241"/>
      <c r="C201" s="240"/>
      <c r="D201" s="242"/>
      <c r="E201" s="242"/>
      <c r="F201" s="242"/>
      <c r="G201" s="242"/>
      <c r="H201" s="242"/>
      <c r="I201" s="242"/>
      <c r="J201" s="242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ht="14.25" customHeight="1">
      <c r="A202" s="240"/>
      <c r="B202" s="241"/>
      <c r="C202" s="240"/>
      <c r="D202" s="242"/>
      <c r="E202" s="242"/>
      <c r="F202" s="242"/>
      <c r="G202" s="242"/>
      <c r="H202" s="242"/>
      <c r="I202" s="242"/>
      <c r="J202" s="242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ht="14.25" customHeight="1">
      <c r="A203" s="240"/>
      <c r="B203" s="241"/>
      <c r="C203" s="240"/>
      <c r="D203" s="242"/>
      <c r="E203" s="242"/>
      <c r="F203" s="242"/>
      <c r="G203" s="242"/>
      <c r="H203" s="242"/>
      <c r="I203" s="242"/>
      <c r="J203" s="242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ht="14.25" customHeight="1">
      <c r="A204" s="240"/>
      <c r="B204" s="241"/>
      <c r="C204" s="240"/>
      <c r="D204" s="242"/>
      <c r="E204" s="242"/>
      <c r="F204" s="242"/>
      <c r="G204" s="242"/>
      <c r="H204" s="242"/>
      <c r="I204" s="242"/>
      <c r="J204" s="242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ht="14.25" customHeight="1">
      <c r="A205" s="240"/>
      <c r="B205" s="241"/>
      <c r="C205" s="240"/>
      <c r="D205" s="242"/>
      <c r="E205" s="242"/>
      <c r="F205" s="242"/>
      <c r="G205" s="242"/>
      <c r="H205" s="242"/>
      <c r="I205" s="242"/>
      <c r="J205" s="242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ht="14.25" customHeight="1">
      <c r="A206" s="240"/>
      <c r="B206" s="241"/>
      <c r="C206" s="240"/>
      <c r="D206" s="242"/>
      <c r="E206" s="242"/>
      <c r="F206" s="242"/>
      <c r="G206" s="242"/>
      <c r="H206" s="242"/>
      <c r="I206" s="242"/>
      <c r="J206" s="242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ht="14.25" customHeight="1">
      <c r="A207" s="240"/>
      <c r="B207" s="241"/>
      <c r="C207" s="240"/>
      <c r="D207" s="242"/>
      <c r="E207" s="242"/>
      <c r="F207" s="242"/>
      <c r="G207" s="242"/>
      <c r="H207" s="242"/>
      <c r="I207" s="242"/>
      <c r="J207" s="242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ht="14.25" customHeight="1">
      <c r="A208" s="240"/>
      <c r="B208" s="241"/>
      <c r="C208" s="240"/>
      <c r="D208" s="242"/>
      <c r="E208" s="242"/>
      <c r="F208" s="242"/>
      <c r="G208" s="242"/>
      <c r="H208" s="242"/>
      <c r="I208" s="242"/>
      <c r="J208" s="242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ht="14.25" customHeight="1">
      <c r="A209" s="240"/>
      <c r="B209" s="241"/>
      <c r="C209" s="240"/>
      <c r="D209" s="242"/>
      <c r="E209" s="242"/>
      <c r="F209" s="242"/>
      <c r="G209" s="242"/>
      <c r="H209" s="242"/>
      <c r="I209" s="242"/>
      <c r="J209" s="242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ht="14.25" customHeight="1">
      <c r="A210" s="240"/>
      <c r="B210" s="241"/>
      <c r="C210" s="240"/>
      <c r="D210" s="242"/>
      <c r="E210" s="242"/>
      <c r="F210" s="242"/>
      <c r="G210" s="242"/>
      <c r="H210" s="242"/>
      <c r="I210" s="242"/>
      <c r="J210" s="242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ht="14.25" customHeight="1">
      <c r="A211" s="240"/>
      <c r="B211" s="241"/>
      <c r="C211" s="240"/>
      <c r="D211" s="242"/>
      <c r="E211" s="242"/>
      <c r="F211" s="242"/>
      <c r="G211" s="242"/>
      <c r="H211" s="242"/>
      <c r="I211" s="242"/>
      <c r="J211" s="242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ht="14.25" customHeight="1">
      <c r="A212" s="240"/>
      <c r="B212" s="241"/>
      <c r="C212" s="240"/>
      <c r="D212" s="242"/>
      <c r="E212" s="242"/>
      <c r="F212" s="242"/>
      <c r="G212" s="242"/>
      <c r="H212" s="242"/>
      <c r="I212" s="242"/>
      <c r="J212" s="242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ht="14.25" customHeight="1">
      <c r="A213" s="240"/>
      <c r="B213" s="241"/>
      <c r="C213" s="240"/>
      <c r="D213" s="242"/>
      <c r="E213" s="242"/>
      <c r="F213" s="242"/>
      <c r="G213" s="242"/>
      <c r="H213" s="242"/>
      <c r="I213" s="242"/>
      <c r="J213" s="242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ht="14.25" customHeight="1">
      <c r="A214" s="240"/>
      <c r="B214" s="241"/>
      <c r="C214" s="240"/>
      <c r="D214" s="242"/>
      <c r="E214" s="242"/>
      <c r="F214" s="242"/>
      <c r="G214" s="242"/>
      <c r="H214" s="242"/>
      <c r="I214" s="242"/>
      <c r="J214" s="242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ht="14.25" customHeight="1">
      <c r="A215" s="240"/>
      <c r="B215" s="241"/>
      <c r="C215" s="240"/>
      <c r="D215" s="242"/>
      <c r="E215" s="242"/>
      <c r="F215" s="242"/>
      <c r="G215" s="242"/>
      <c r="H215" s="242"/>
      <c r="I215" s="242"/>
      <c r="J215" s="242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ht="14.25" customHeight="1">
      <c r="A216" s="240"/>
      <c r="B216" s="241"/>
      <c r="C216" s="240"/>
      <c r="D216" s="242"/>
      <c r="E216" s="242"/>
      <c r="F216" s="242"/>
      <c r="G216" s="242"/>
      <c r="H216" s="242"/>
      <c r="I216" s="242"/>
      <c r="J216" s="242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ht="14.25" customHeight="1">
      <c r="A217" s="240"/>
      <c r="B217" s="241"/>
      <c r="C217" s="240"/>
      <c r="D217" s="242"/>
      <c r="E217" s="242"/>
      <c r="F217" s="242"/>
      <c r="G217" s="242"/>
      <c r="H217" s="242"/>
      <c r="I217" s="242"/>
      <c r="J217" s="242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ht="14.25" customHeight="1">
      <c r="A218" s="240"/>
      <c r="B218" s="241"/>
      <c r="C218" s="240"/>
      <c r="D218" s="242"/>
      <c r="E218" s="242"/>
      <c r="F218" s="242"/>
      <c r="G218" s="242"/>
      <c r="H218" s="242"/>
      <c r="I218" s="242"/>
      <c r="J218" s="242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ht="14.25" customHeight="1">
      <c r="A219" s="240"/>
      <c r="B219" s="241"/>
      <c r="C219" s="240"/>
      <c r="D219" s="242"/>
      <c r="E219" s="242"/>
      <c r="F219" s="242"/>
      <c r="G219" s="242"/>
      <c r="H219" s="242"/>
      <c r="I219" s="242"/>
      <c r="J219" s="242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ht="14.25" customHeight="1">
      <c r="A220" s="240"/>
      <c r="B220" s="241"/>
      <c r="C220" s="240"/>
      <c r="D220" s="242"/>
      <c r="E220" s="242"/>
      <c r="F220" s="242"/>
      <c r="G220" s="242"/>
      <c r="H220" s="242"/>
      <c r="I220" s="242"/>
      <c r="J220" s="242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ht="14.25" customHeight="1">
      <c r="A221" s="240"/>
      <c r="B221" s="241"/>
      <c r="C221" s="240"/>
      <c r="D221" s="242"/>
      <c r="E221" s="242"/>
      <c r="F221" s="242"/>
      <c r="G221" s="242"/>
      <c r="H221" s="242"/>
      <c r="I221" s="242"/>
      <c r="J221" s="242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ht="14.25" customHeight="1">
      <c r="A222" s="240"/>
      <c r="B222" s="241"/>
      <c r="C222" s="240"/>
      <c r="D222" s="242"/>
      <c r="E222" s="242"/>
      <c r="F222" s="242"/>
      <c r="G222" s="242"/>
      <c r="H222" s="242"/>
      <c r="I222" s="242"/>
      <c r="J222" s="242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ht="14.25" customHeight="1">
      <c r="A223" s="240"/>
      <c r="B223" s="241"/>
      <c r="C223" s="240"/>
      <c r="D223" s="242"/>
      <c r="E223" s="242"/>
      <c r="F223" s="242"/>
      <c r="G223" s="242"/>
      <c r="H223" s="242"/>
      <c r="I223" s="242"/>
      <c r="J223" s="242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ht="14.25" customHeight="1">
      <c r="A224" s="240"/>
      <c r="B224" s="241"/>
      <c r="C224" s="240"/>
      <c r="D224" s="242"/>
      <c r="E224" s="242"/>
      <c r="F224" s="242"/>
      <c r="G224" s="242"/>
      <c r="H224" s="242"/>
      <c r="I224" s="242"/>
      <c r="J224" s="242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ht="14.25" customHeight="1">
      <c r="A225" s="240"/>
      <c r="B225" s="241"/>
      <c r="C225" s="240"/>
      <c r="D225" s="242"/>
      <c r="E225" s="242"/>
      <c r="F225" s="242"/>
      <c r="G225" s="242"/>
      <c r="H225" s="242"/>
      <c r="I225" s="242"/>
      <c r="J225" s="242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ht="14.25" customHeight="1">
      <c r="A226" s="240"/>
      <c r="B226" s="241"/>
      <c r="C226" s="240"/>
      <c r="D226" s="242"/>
      <c r="E226" s="242"/>
      <c r="F226" s="242"/>
      <c r="G226" s="242"/>
      <c r="H226" s="242"/>
      <c r="I226" s="242"/>
      <c r="J226" s="242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ht="14.25" customHeight="1">
      <c r="A227" s="240"/>
      <c r="B227" s="241"/>
      <c r="C227" s="240"/>
      <c r="D227" s="242"/>
      <c r="E227" s="242"/>
      <c r="F227" s="242"/>
      <c r="G227" s="242"/>
      <c r="H227" s="242"/>
      <c r="I227" s="242"/>
      <c r="J227" s="242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ht="14.25" customHeight="1">
      <c r="A228" s="240"/>
      <c r="B228" s="241"/>
      <c r="C228" s="240"/>
      <c r="D228" s="242"/>
      <c r="E228" s="242"/>
      <c r="F228" s="242"/>
      <c r="G228" s="242"/>
      <c r="H228" s="242"/>
      <c r="I228" s="242"/>
      <c r="J228" s="242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ht="14.25" customHeight="1">
      <c r="A229" s="240"/>
      <c r="B229" s="241"/>
      <c r="C229" s="240"/>
      <c r="D229" s="242"/>
      <c r="E229" s="242"/>
      <c r="F229" s="242"/>
      <c r="G229" s="242"/>
      <c r="H229" s="242"/>
      <c r="I229" s="242"/>
      <c r="J229" s="242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ht="14.25" customHeight="1">
      <c r="A230" s="240"/>
      <c r="B230" s="241"/>
      <c r="C230" s="240"/>
      <c r="D230" s="242"/>
      <c r="E230" s="242"/>
      <c r="F230" s="242"/>
      <c r="G230" s="242"/>
      <c r="H230" s="242"/>
      <c r="I230" s="242"/>
      <c r="J230" s="242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ht="14.25" customHeight="1">
      <c r="A231" s="240"/>
      <c r="B231" s="241"/>
      <c r="C231" s="240"/>
      <c r="D231" s="242"/>
      <c r="E231" s="242"/>
      <c r="F231" s="242"/>
      <c r="G231" s="242"/>
      <c r="H231" s="242"/>
      <c r="I231" s="242"/>
      <c r="J231" s="242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ht="14.25" customHeight="1">
      <c r="A232" s="240"/>
      <c r="B232" s="241"/>
      <c r="C232" s="240"/>
      <c r="D232" s="242"/>
      <c r="E232" s="242"/>
      <c r="F232" s="242"/>
      <c r="G232" s="242"/>
      <c r="H232" s="242"/>
      <c r="I232" s="242"/>
      <c r="J232" s="242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ht="14.25" customHeight="1">
      <c r="A233" s="240"/>
      <c r="B233" s="241"/>
      <c r="C233" s="240"/>
      <c r="D233" s="242"/>
      <c r="E233" s="242"/>
      <c r="F233" s="242"/>
      <c r="G233" s="242"/>
      <c r="H233" s="242"/>
      <c r="I233" s="242"/>
      <c r="J233" s="242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ht="14.25" customHeight="1">
      <c r="A234" s="240"/>
      <c r="B234" s="241"/>
      <c r="C234" s="240"/>
      <c r="D234" s="242"/>
      <c r="E234" s="242"/>
      <c r="F234" s="242"/>
      <c r="G234" s="242"/>
      <c r="H234" s="242"/>
      <c r="I234" s="242"/>
      <c r="J234" s="242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ht="14.25" customHeight="1">
      <c r="A235" s="240"/>
      <c r="B235" s="241"/>
      <c r="C235" s="240"/>
      <c r="D235" s="242"/>
      <c r="E235" s="242"/>
      <c r="F235" s="242"/>
      <c r="G235" s="242"/>
      <c r="H235" s="242"/>
      <c r="I235" s="242"/>
      <c r="J235" s="242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ht="14.25" customHeight="1">
      <c r="A236" s="240"/>
      <c r="B236" s="241"/>
      <c r="C236" s="240"/>
      <c r="D236" s="242"/>
      <c r="E236" s="242"/>
      <c r="F236" s="242"/>
      <c r="G236" s="242"/>
      <c r="H236" s="242"/>
      <c r="I236" s="242"/>
      <c r="J236" s="242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ht="14.25" customHeight="1">
      <c r="A237" s="240"/>
      <c r="B237" s="241"/>
      <c r="C237" s="240"/>
      <c r="D237" s="242"/>
      <c r="E237" s="242"/>
      <c r="F237" s="242"/>
      <c r="G237" s="242"/>
      <c r="H237" s="242"/>
      <c r="I237" s="242"/>
      <c r="J237" s="242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ht="14.25" customHeight="1">
      <c r="A238" s="240"/>
      <c r="B238" s="241"/>
      <c r="C238" s="240"/>
      <c r="D238" s="242"/>
      <c r="E238" s="242"/>
      <c r="F238" s="242"/>
      <c r="G238" s="242"/>
      <c r="H238" s="242"/>
      <c r="I238" s="242"/>
      <c r="J238" s="242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ht="14.25" customHeight="1">
      <c r="A239" s="240"/>
      <c r="B239" s="241"/>
      <c r="C239" s="240"/>
      <c r="D239" s="242"/>
      <c r="E239" s="242"/>
      <c r="F239" s="242"/>
      <c r="G239" s="242"/>
      <c r="H239" s="242"/>
      <c r="I239" s="242"/>
      <c r="J239" s="242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ht="14.25" customHeight="1">
      <c r="A240" s="240"/>
      <c r="B240" s="241"/>
      <c r="C240" s="240"/>
      <c r="D240" s="242"/>
      <c r="E240" s="242"/>
      <c r="F240" s="242"/>
      <c r="G240" s="242"/>
      <c r="H240" s="242"/>
      <c r="I240" s="242"/>
      <c r="J240" s="242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ht="14.25" customHeight="1">
      <c r="A241" s="240"/>
      <c r="B241" s="241"/>
      <c r="C241" s="240"/>
      <c r="D241" s="242"/>
      <c r="E241" s="242"/>
      <c r="F241" s="242"/>
      <c r="G241" s="242"/>
      <c r="H241" s="242"/>
      <c r="I241" s="242"/>
      <c r="J241" s="242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ht="14.25" customHeight="1">
      <c r="A242" s="240"/>
      <c r="B242" s="241"/>
      <c r="C242" s="240"/>
      <c r="D242" s="242"/>
      <c r="E242" s="242"/>
      <c r="F242" s="242"/>
      <c r="G242" s="242"/>
      <c r="H242" s="242"/>
      <c r="I242" s="242"/>
      <c r="J242" s="242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ht="14.25" customHeight="1">
      <c r="A243" s="240"/>
      <c r="B243" s="241"/>
      <c r="C243" s="240"/>
      <c r="D243" s="242"/>
      <c r="E243" s="242"/>
      <c r="F243" s="242"/>
      <c r="G243" s="242"/>
      <c r="H243" s="242"/>
      <c r="I243" s="242"/>
      <c r="J243" s="242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ht="14.25" customHeight="1">
      <c r="A244" s="240"/>
      <c r="B244" s="241"/>
      <c r="C244" s="240"/>
      <c r="D244" s="242"/>
      <c r="E244" s="242"/>
      <c r="F244" s="242"/>
      <c r="G244" s="242"/>
      <c r="H244" s="242"/>
      <c r="I244" s="242"/>
      <c r="J244" s="242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ht="14.25" customHeight="1">
      <c r="A245" s="240"/>
      <c r="B245" s="241"/>
      <c r="C245" s="240"/>
      <c r="D245" s="242"/>
      <c r="E245" s="242"/>
      <c r="F245" s="242"/>
      <c r="G245" s="242"/>
      <c r="H245" s="242"/>
      <c r="I245" s="242"/>
      <c r="J245" s="242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ht="14.25" customHeight="1">
      <c r="A246" s="240"/>
      <c r="B246" s="241"/>
      <c r="C246" s="240"/>
      <c r="D246" s="242"/>
      <c r="E246" s="242"/>
      <c r="F246" s="242"/>
      <c r="G246" s="242"/>
      <c r="H246" s="242"/>
      <c r="I246" s="242"/>
      <c r="J246" s="242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ht="14.25" customHeight="1">
      <c r="A247" s="240"/>
      <c r="B247" s="241"/>
      <c r="C247" s="240"/>
      <c r="D247" s="242"/>
      <c r="E247" s="242"/>
      <c r="F247" s="242"/>
      <c r="G247" s="242"/>
      <c r="H247" s="242"/>
      <c r="I247" s="242"/>
      <c r="J247" s="242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ht="14.25" customHeight="1">
      <c r="A248" s="240"/>
      <c r="B248" s="241"/>
      <c r="C248" s="240"/>
      <c r="D248" s="242"/>
      <c r="E248" s="242"/>
      <c r="F248" s="242"/>
      <c r="G248" s="242"/>
      <c r="H248" s="242"/>
      <c r="I248" s="242"/>
      <c r="J248" s="242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ht="14.25" customHeight="1">
      <c r="A249" s="240"/>
      <c r="B249" s="241"/>
      <c r="C249" s="240"/>
      <c r="D249" s="242"/>
      <c r="E249" s="242"/>
      <c r="F249" s="242"/>
      <c r="G249" s="242"/>
      <c r="H249" s="242"/>
      <c r="I249" s="242"/>
      <c r="J249" s="242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ht="14.25" customHeight="1">
      <c r="A250" s="240"/>
      <c r="B250" s="241"/>
      <c r="C250" s="240"/>
      <c r="D250" s="242"/>
      <c r="E250" s="242"/>
      <c r="F250" s="242"/>
      <c r="G250" s="242"/>
      <c r="H250" s="242"/>
      <c r="I250" s="242"/>
      <c r="J250" s="242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ht="14.25" customHeight="1">
      <c r="A251" s="240"/>
      <c r="B251" s="241"/>
      <c r="C251" s="240"/>
      <c r="D251" s="242"/>
      <c r="E251" s="242"/>
      <c r="F251" s="242"/>
      <c r="G251" s="242"/>
      <c r="H251" s="242"/>
      <c r="I251" s="242"/>
      <c r="J251" s="242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ht="14.25" customHeight="1">
      <c r="A252" s="240"/>
      <c r="B252" s="241"/>
      <c r="C252" s="240"/>
      <c r="D252" s="242"/>
      <c r="E252" s="242"/>
      <c r="F252" s="242"/>
      <c r="G252" s="242"/>
      <c r="H252" s="242"/>
      <c r="I252" s="242"/>
      <c r="J252" s="242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ht="14.25" customHeight="1">
      <c r="A253" s="240"/>
      <c r="B253" s="241"/>
      <c r="C253" s="240"/>
      <c r="D253" s="242"/>
      <c r="E253" s="242"/>
      <c r="F253" s="242"/>
      <c r="G253" s="242"/>
      <c r="H253" s="242"/>
      <c r="I253" s="242"/>
      <c r="J253" s="242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ht="14.25" customHeight="1">
      <c r="A254" s="240"/>
      <c r="B254" s="241"/>
      <c r="C254" s="240"/>
      <c r="D254" s="242"/>
      <c r="E254" s="242"/>
      <c r="F254" s="242"/>
      <c r="G254" s="242"/>
      <c r="H254" s="242"/>
      <c r="I254" s="242"/>
      <c r="J254" s="242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ht="14.25" customHeight="1">
      <c r="A255" s="240"/>
      <c r="B255" s="241"/>
      <c r="C255" s="240"/>
      <c r="D255" s="242"/>
      <c r="E255" s="242"/>
      <c r="F255" s="242"/>
      <c r="G255" s="242"/>
      <c r="H255" s="242"/>
      <c r="I255" s="242"/>
      <c r="J255" s="242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ht="14.25" customHeight="1">
      <c r="A256" s="240"/>
      <c r="B256" s="241"/>
      <c r="C256" s="240"/>
      <c r="D256" s="242"/>
      <c r="E256" s="242"/>
      <c r="F256" s="242"/>
      <c r="G256" s="242"/>
      <c r="H256" s="242"/>
      <c r="I256" s="242"/>
      <c r="J256" s="242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ht="14.25" customHeight="1">
      <c r="A257" s="240"/>
      <c r="B257" s="241"/>
      <c r="C257" s="240"/>
      <c r="D257" s="242"/>
      <c r="E257" s="242"/>
      <c r="F257" s="242"/>
      <c r="G257" s="242"/>
      <c r="H257" s="242"/>
      <c r="I257" s="242"/>
      <c r="J257" s="242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ht="14.25" customHeight="1">
      <c r="A258" s="240"/>
      <c r="B258" s="241"/>
      <c r="C258" s="240"/>
      <c r="D258" s="242"/>
      <c r="E258" s="242"/>
      <c r="F258" s="242"/>
      <c r="G258" s="242"/>
      <c r="H258" s="242"/>
      <c r="I258" s="242"/>
      <c r="J258" s="242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ht="14.25" customHeight="1">
      <c r="A259" s="240"/>
      <c r="B259" s="241"/>
      <c r="C259" s="240"/>
      <c r="D259" s="242"/>
      <c r="E259" s="242"/>
      <c r="F259" s="242"/>
      <c r="G259" s="242"/>
      <c r="H259" s="242"/>
      <c r="I259" s="242"/>
      <c r="J259" s="242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ht="14.25" customHeight="1">
      <c r="A260" s="240"/>
      <c r="B260" s="241"/>
      <c r="C260" s="240"/>
      <c r="D260" s="242"/>
      <c r="E260" s="242"/>
      <c r="F260" s="242"/>
      <c r="G260" s="242"/>
      <c r="H260" s="242"/>
      <c r="I260" s="242"/>
      <c r="J260" s="242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ht="14.25" customHeight="1">
      <c r="A261" s="240"/>
      <c r="B261" s="241"/>
      <c r="C261" s="240"/>
      <c r="D261" s="242"/>
      <c r="E261" s="242"/>
      <c r="F261" s="242"/>
      <c r="G261" s="242"/>
      <c r="H261" s="242"/>
      <c r="I261" s="242"/>
      <c r="J261" s="242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ht="14.25" customHeight="1">
      <c r="A262" s="240"/>
      <c r="B262" s="241"/>
      <c r="C262" s="240"/>
      <c r="D262" s="242"/>
      <c r="E262" s="242"/>
      <c r="F262" s="242"/>
      <c r="G262" s="242"/>
      <c r="H262" s="242"/>
      <c r="I262" s="242"/>
      <c r="J262" s="242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ht="14.25" customHeight="1">
      <c r="A263" s="240"/>
      <c r="B263" s="241"/>
      <c r="C263" s="240"/>
      <c r="D263" s="242"/>
      <c r="E263" s="242"/>
      <c r="F263" s="242"/>
      <c r="G263" s="242"/>
      <c r="H263" s="242"/>
      <c r="I263" s="242"/>
      <c r="J263" s="242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ht="14.25" customHeight="1">
      <c r="A264" s="240"/>
      <c r="B264" s="241"/>
      <c r="C264" s="240"/>
      <c r="D264" s="242"/>
      <c r="E264" s="242"/>
      <c r="F264" s="242"/>
      <c r="G264" s="242"/>
      <c r="H264" s="242"/>
      <c r="I264" s="242"/>
      <c r="J264" s="242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ht="14.25" customHeight="1">
      <c r="A265" s="240"/>
      <c r="B265" s="241"/>
      <c r="C265" s="240"/>
      <c r="D265" s="242"/>
      <c r="E265" s="242"/>
      <c r="F265" s="242"/>
      <c r="G265" s="242"/>
      <c r="H265" s="242"/>
      <c r="I265" s="242"/>
      <c r="J265" s="242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ht="14.25" customHeight="1">
      <c r="A266" s="240"/>
      <c r="B266" s="241"/>
      <c r="C266" s="240"/>
      <c r="D266" s="242"/>
      <c r="E266" s="242"/>
      <c r="F266" s="242"/>
      <c r="G266" s="242"/>
      <c r="H266" s="242"/>
      <c r="I266" s="242"/>
      <c r="J266" s="242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ht="14.25" customHeight="1">
      <c r="A267" s="240"/>
      <c r="B267" s="241"/>
      <c r="C267" s="240"/>
      <c r="D267" s="242"/>
      <c r="E267" s="242"/>
      <c r="F267" s="242"/>
      <c r="G267" s="242"/>
      <c r="H267" s="242"/>
      <c r="I267" s="242"/>
      <c r="J267" s="242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ht="14.25" customHeight="1">
      <c r="A268" s="240"/>
      <c r="B268" s="241"/>
      <c r="C268" s="240"/>
      <c r="D268" s="242"/>
      <c r="E268" s="242"/>
      <c r="F268" s="242"/>
      <c r="G268" s="242"/>
      <c r="H268" s="242"/>
      <c r="I268" s="242"/>
      <c r="J268" s="242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ht="14.25" customHeight="1">
      <c r="A269" s="240"/>
      <c r="B269" s="241"/>
      <c r="C269" s="240"/>
      <c r="D269" s="242"/>
      <c r="E269" s="242"/>
      <c r="F269" s="242"/>
      <c r="G269" s="242"/>
      <c r="H269" s="242"/>
      <c r="I269" s="242"/>
      <c r="J269" s="242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ht="14.25" customHeight="1">
      <c r="A270" s="240"/>
      <c r="B270" s="241"/>
      <c r="C270" s="240"/>
      <c r="D270" s="242"/>
      <c r="E270" s="242"/>
      <c r="F270" s="242"/>
      <c r="G270" s="242"/>
      <c r="H270" s="242"/>
      <c r="I270" s="242"/>
      <c r="J270" s="242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ht="14.25" customHeight="1">
      <c r="A271" s="240"/>
      <c r="B271" s="241"/>
      <c r="C271" s="240"/>
      <c r="D271" s="242"/>
      <c r="E271" s="242"/>
      <c r="F271" s="242"/>
      <c r="G271" s="242"/>
      <c r="H271" s="242"/>
      <c r="I271" s="242"/>
      <c r="J271" s="242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ht="14.25" customHeight="1">
      <c r="A272" s="240"/>
      <c r="B272" s="241"/>
      <c r="C272" s="240"/>
      <c r="D272" s="242"/>
      <c r="E272" s="242"/>
      <c r="F272" s="242"/>
      <c r="G272" s="242"/>
      <c r="H272" s="242"/>
      <c r="I272" s="242"/>
      <c r="J272" s="242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ht="14.25" customHeight="1">
      <c r="A273" s="240"/>
      <c r="B273" s="241"/>
      <c r="C273" s="240"/>
      <c r="D273" s="242"/>
      <c r="E273" s="242"/>
      <c r="F273" s="242"/>
      <c r="G273" s="242"/>
      <c r="H273" s="242"/>
      <c r="I273" s="242"/>
      <c r="J273" s="242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ht="14.25" customHeight="1">
      <c r="A274" s="240"/>
      <c r="B274" s="241"/>
      <c r="C274" s="240"/>
      <c r="D274" s="242"/>
      <c r="E274" s="242"/>
      <c r="F274" s="242"/>
      <c r="G274" s="242"/>
      <c r="H274" s="242"/>
      <c r="I274" s="242"/>
      <c r="J274" s="242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ht="14.25" customHeight="1">
      <c r="A275" s="240"/>
      <c r="B275" s="241"/>
      <c r="C275" s="240"/>
      <c r="D275" s="242"/>
      <c r="E275" s="242"/>
      <c r="F275" s="242"/>
      <c r="G275" s="242"/>
      <c r="H275" s="242"/>
      <c r="I275" s="242"/>
      <c r="J275" s="242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ht="14.25" customHeight="1">
      <c r="A276" s="240"/>
      <c r="B276" s="241"/>
      <c r="C276" s="240"/>
      <c r="D276" s="242"/>
      <c r="E276" s="242"/>
      <c r="F276" s="242"/>
      <c r="G276" s="242"/>
      <c r="H276" s="242"/>
      <c r="I276" s="242"/>
      <c r="J276" s="242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ht="14.25" customHeight="1">
      <c r="A277" s="240"/>
      <c r="B277" s="241"/>
      <c r="C277" s="240"/>
      <c r="D277" s="242"/>
      <c r="E277" s="242"/>
      <c r="F277" s="242"/>
      <c r="G277" s="242"/>
      <c r="H277" s="242"/>
      <c r="I277" s="242"/>
      <c r="J277" s="242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ht="14.25" customHeight="1">
      <c r="A278" s="240"/>
      <c r="B278" s="241"/>
      <c r="C278" s="240"/>
      <c r="D278" s="242"/>
      <c r="E278" s="242"/>
      <c r="F278" s="242"/>
      <c r="G278" s="242"/>
      <c r="H278" s="242"/>
      <c r="I278" s="242"/>
      <c r="J278" s="242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ht="14.25" customHeight="1">
      <c r="A279" s="240"/>
      <c r="B279" s="241"/>
      <c r="C279" s="240"/>
      <c r="D279" s="242"/>
      <c r="E279" s="242"/>
      <c r="F279" s="242"/>
      <c r="G279" s="242"/>
      <c r="H279" s="242"/>
      <c r="I279" s="242"/>
      <c r="J279" s="242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ht="14.25" customHeight="1">
      <c r="A280" s="240"/>
      <c r="B280" s="241"/>
      <c r="C280" s="240"/>
      <c r="D280" s="242"/>
      <c r="E280" s="242"/>
      <c r="F280" s="242"/>
      <c r="G280" s="242"/>
      <c r="H280" s="242"/>
      <c r="I280" s="242"/>
      <c r="J280" s="242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ht="14.25" customHeight="1">
      <c r="A281" s="240"/>
      <c r="B281" s="241"/>
      <c r="C281" s="240"/>
      <c r="D281" s="242"/>
      <c r="E281" s="242"/>
      <c r="F281" s="242"/>
      <c r="G281" s="242"/>
      <c r="H281" s="242"/>
      <c r="I281" s="242"/>
      <c r="J281" s="242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ht="14.25" customHeight="1">
      <c r="A282" s="240"/>
      <c r="B282" s="241"/>
      <c r="C282" s="240"/>
      <c r="D282" s="242"/>
      <c r="E282" s="242"/>
      <c r="F282" s="242"/>
      <c r="G282" s="242"/>
      <c r="H282" s="242"/>
      <c r="I282" s="242"/>
      <c r="J282" s="242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ht="14.25" customHeight="1">
      <c r="A283" s="240"/>
      <c r="B283" s="241"/>
      <c r="C283" s="240"/>
      <c r="D283" s="242"/>
      <c r="E283" s="242"/>
      <c r="F283" s="242"/>
      <c r="G283" s="242"/>
      <c r="H283" s="242"/>
      <c r="I283" s="242"/>
      <c r="J283" s="242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ht="14.25" customHeight="1">
      <c r="A284" s="240"/>
      <c r="B284" s="241"/>
      <c r="C284" s="240"/>
      <c r="D284" s="242"/>
      <c r="E284" s="242"/>
      <c r="F284" s="242"/>
      <c r="G284" s="242"/>
      <c r="H284" s="242"/>
      <c r="I284" s="242"/>
      <c r="J284" s="242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ht="14.25" customHeight="1">
      <c r="A285" s="240"/>
      <c r="B285" s="241"/>
      <c r="C285" s="240"/>
      <c r="D285" s="242"/>
      <c r="E285" s="242"/>
      <c r="F285" s="242"/>
      <c r="G285" s="242"/>
      <c r="H285" s="242"/>
      <c r="I285" s="242"/>
      <c r="J285" s="242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ht="14.25" customHeight="1">
      <c r="A286" s="240"/>
      <c r="B286" s="241"/>
      <c r="C286" s="240"/>
      <c r="D286" s="242"/>
      <c r="E286" s="242"/>
      <c r="F286" s="242"/>
      <c r="G286" s="242"/>
      <c r="H286" s="242"/>
      <c r="I286" s="242"/>
      <c r="J286" s="242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ht="14.25" customHeight="1">
      <c r="A287" s="240"/>
      <c r="B287" s="241"/>
      <c r="C287" s="240"/>
      <c r="D287" s="242"/>
      <c r="E287" s="242"/>
      <c r="F287" s="242"/>
      <c r="G287" s="242"/>
      <c r="H287" s="242"/>
      <c r="I287" s="242"/>
      <c r="J287" s="242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ht="14.25" customHeight="1">
      <c r="A288" s="240"/>
      <c r="B288" s="241"/>
      <c r="C288" s="240"/>
      <c r="D288" s="242"/>
      <c r="E288" s="242"/>
      <c r="F288" s="242"/>
      <c r="G288" s="242"/>
      <c r="H288" s="242"/>
      <c r="I288" s="242"/>
      <c r="J288" s="242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ht="14.25" customHeight="1">
      <c r="A289" s="240"/>
      <c r="B289" s="241"/>
      <c r="C289" s="240"/>
      <c r="D289" s="242"/>
      <c r="E289" s="242"/>
      <c r="F289" s="242"/>
      <c r="G289" s="242"/>
      <c r="H289" s="242"/>
      <c r="I289" s="242"/>
      <c r="J289" s="242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ht="14.25" customHeight="1">
      <c r="A290" s="240"/>
      <c r="B290" s="241"/>
      <c r="C290" s="240"/>
      <c r="D290" s="242"/>
      <c r="E290" s="242"/>
      <c r="F290" s="242"/>
      <c r="G290" s="242"/>
      <c r="H290" s="242"/>
      <c r="I290" s="242"/>
      <c r="J290" s="242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ht="14.25" customHeight="1">
      <c r="A291" s="240"/>
      <c r="B291" s="241"/>
      <c r="C291" s="240"/>
      <c r="D291" s="242"/>
      <c r="E291" s="242"/>
      <c r="F291" s="242"/>
      <c r="G291" s="242"/>
      <c r="H291" s="242"/>
      <c r="I291" s="242"/>
      <c r="J291" s="242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ht="14.25" customHeight="1">
      <c r="A292" s="240"/>
      <c r="B292" s="241"/>
      <c r="C292" s="240"/>
      <c r="D292" s="242"/>
      <c r="E292" s="242"/>
      <c r="F292" s="242"/>
      <c r="G292" s="242"/>
      <c r="H292" s="242"/>
      <c r="I292" s="242"/>
      <c r="J292" s="242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ht="14.25" customHeight="1">
      <c r="A293" s="240"/>
      <c r="B293" s="241"/>
      <c r="C293" s="240"/>
      <c r="D293" s="242"/>
      <c r="E293" s="242"/>
      <c r="F293" s="242"/>
      <c r="G293" s="242"/>
      <c r="H293" s="242"/>
      <c r="I293" s="242"/>
      <c r="J293" s="242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ht="14.25" customHeight="1">
      <c r="A294" s="240"/>
      <c r="B294" s="241"/>
      <c r="C294" s="240"/>
      <c r="D294" s="242"/>
      <c r="E294" s="242"/>
      <c r="F294" s="242"/>
      <c r="G294" s="242"/>
      <c r="H294" s="242"/>
      <c r="I294" s="242"/>
      <c r="J294" s="242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ht="14.25" customHeight="1">
      <c r="A295" s="240"/>
      <c r="B295" s="241"/>
      <c r="C295" s="240"/>
      <c r="D295" s="242"/>
      <c r="E295" s="242"/>
      <c r="F295" s="242"/>
      <c r="G295" s="242"/>
      <c r="H295" s="242"/>
      <c r="I295" s="242"/>
      <c r="J295" s="242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ht="14.25" customHeight="1">
      <c r="A296" s="240"/>
      <c r="B296" s="241"/>
      <c r="C296" s="240"/>
      <c r="D296" s="242"/>
      <c r="E296" s="242"/>
      <c r="F296" s="242"/>
      <c r="G296" s="242"/>
      <c r="H296" s="242"/>
      <c r="I296" s="242"/>
      <c r="J296" s="242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ht="14.25" customHeight="1">
      <c r="A297" s="240"/>
      <c r="B297" s="241"/>
      <c r="C297" s="240"/>
      <c r="D297" s="242"/>
      <c r="E297" s="242"/>
      <c r="F297" s="242"/>
      <c r="G297" s="242"/>
      <c r="H297" s="242"/>
      <c r="I297" s="242"/>
      <c r="J297" s="242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ht="14.25" customHeight="1">
      <c r="A298" s="240"/>
      <c r="B298" s="241"/>
      <c r="C298" s="240"/>
      <c r="D298" s="242"/>
      <c r="E298" s="242"/>
      <c r="F298" s="242"/>
      <c r="G298" s="242"/>
      <c r="H298" s="242"/>
      <c r="I298" s="242"/>
      <c r="J298" s="242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ht="14.25" customHeight="1">
      <c r="A299" s="240"/>
      <c r="B299" s="241"/>
      <c r="C299" s="240"/>
      <c r="D299" s="242"/>
      <c r="E299" s="242"/>
      <c r="F299" s="242"/>
      <c r="G299" s="242"/>
      <c r="H299" s="242"/>
      <c r="I299" s="242"/>
      <c r="J299" s="242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ht="14.25" customHeight="1">
      <c r="A300" s="240"/>
      <c r="B300" s="241"/>
      <c r="C300" s="240"/>
      <c r="D300" s="242"/>
      <c r="E300" s="242"/>
      <c r="F300" s="242"/>
      <c r="G300" s="242"/>
      <c r="H300" s="242"/>
      <c r="I300" s="242"/>
      <c r="J300" s="242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ht="14.25" customHeight="1">
      <c r="A301" s="240"/>
      <c r="B301" s="241"/>
      <c r="C301" s="240"/>
      <c r="D301" s="242"/>
      <c r="E301" s="242"/>
      <c r="F301" s="242"/>
      <c r="G301" s="242"/>
      <c r="H301" s="242"/>
      <c r="I301" s="242"/>
      <c r="J301" s="242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ht="14.25" customHeight="1">
      <c r="A302" s="240"/>
      <c r="B302" s="241"/>
      <c r="C302" s="240"/>
      <c r="D302" s="242"/>
      <c r="E302" s="242"/>
      <c r="F302" s="242"/>
      <c r="G302" s="242"/>
      <c r="H302" s="242"/>
      <c r="I302" s="242"/>
      <c r="J302" s="242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ht="14.25" customHeight="1">
      <c r="A303" s="240"/>
      <c r="B303" s="241"/>
      <c r="C303" s="240"/>
      <c r="D303" s="242"/>
      <c r="E303" s="242"/>
      <c r="F303" s="242"/>
      <c r="G303" s="242"/>
      <c r="H303" s="242"/>
      <c r="I303" s="242"/>
      <c r="J303" s="242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ht="14.25" customHeight="1">
      <c r="A304" s="240"/>
      <c r="B304" s="241"/>
      <c r="C304" s="240"/>
      <c r="D304" s="242"/>
      <c r="E304" s="242"/>
      <c r="F304" s="242"/>
      <c r="G304" s="242"/>
      <c r="H304" s="242"/>
      <c r="I304" s="242"/>
      <c r="J304" s="242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ht="14.25" customHeight="1">
      <c r="A305" s="240"/>
      <c r="B305" s="241"/>
      <c r="C305" s="240"/>
      <c r="D305" s="242"/>
      <c r="E305" s="242"/>
      <c r="F305" s="242"/>
      <c r="G305" s="242"/>
      <c r="H305" s="242"/>
      <c r="I305" s="242"/>
      <c r="J305" s="242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ht="14.25" customHeight="1">
      <c r="A306" s="240"/>
      <c r="B306" s="241"/>
      <c r="C306" s="240"/>
      <c r="D306" s="242"/>
      <c r="E306" s="242"/>
      <c r="F306" s="242"/>
      <c r="G306" s="242"/>
      <c r="H306" s="242"/>
      <c r="I306" s="242"/>
      <c r="J306" s="242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ht="14.25" customHeight="1">
      <c r="A307" s="240"/>
      <c r="B307" s="241"/>
      <c r="C307" s="240"/>
      <c r="D307" s="242"/>
      <c r="E307" s="242"/>
      <c r="F307" s="242"/>
      <c r="G307" s="242"/>
      <c r="H307" s="242"/>
      <c r="I307" s="242"/>
      <c r="J307" s="242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ht="14.25" customHeight="1">
      <c r="A308" s="240"/>
      <c r="B308" s="241"/>
      <c r="C308" s="240"/>
      <c r="D308" s="242"/>
      <c r="E308" s="242"/>
      <c r="F308" s="242"/>
      <c r="G308" s="242"/>
      <c r="H308" s="242"/>
      <c r="I308" s="242"/>
      <c r="J308" s="242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ht="14.25" customHeight="1">
      <c r="A309" s="240"/>
      <c r="B309" s="241"/>
      <c r="C309" s="240"/>
      <c r="D309" s="242"/>
      <c r="E309" s="242"/>
      <c r="F309" s="242"/>
      <c r="G309" s="242"/>
      <c r="H309" s="242"/>
      <c r="I309" s="242"/>
      <c r="J309" s="242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ht="14.25" customHeight="1">
      <c r="A310" s="240"/>
      <c r="B310" s="241"/>
      <c r="C310" s="240"/>
      <c r="D310" s="242"/>
      <c r="E310" s="242"/>
      <c r="F310" s="242"/>
      <c r="G310" s="242"/>
      <c r="H310" s="242"/>
      <c r="I310" s="242"/>
      <c r="J310" s="242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ht="14.25" customHeight="1">
      <c r="A311" s="240"/>
      <c r="B311" s="241"/>
      <c r="C311" s="240"/>
      <c r="D311" s="242"/>
      <c r="E311" s="242"/>
      <c r="F311" s="242"/>
      <c r="G311" s="242"/>
      <c r="H311" s="242"/>
      <c r="I311" s="242"/>
      <c r="J311" s="242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ht="14.25" customHeight="1">
      <c r="A312" s="240"/>
      <c r="B312" s="241"/>
      <c r="C312" s="240"/>
      <c r="D312" s="242"/>
      <c r="E312" s="242"/>
      <c r="F312" s="242"/>
      <c r="G312" s="242"/>
      <c r="H312" s="242"/>
      <c r="I312" s="242"/>
      <c r="J312" s="242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ht="14.25" customHeight="1">
      <c r="A313" s="240"/>
      <c r="B313" s="241"/>
      <c r="C313" s="240"/>
      <c r="D313" s="242"/>
      <c r="E313" s="242"/>
      <c r="F313" s="242"/>
      <c r="G313" s="242"/>
      <c r="H313" s="242"/>
      <c r="I313" s="242"/>
      <c r="J313" s="242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ht="14.25" customHeight="1">
      <c r="A314" s="240"/>
      <c r="B314" s="241"/>
      <c r="C314" s="240"/>
      <c r="D314" s="242"/>
      <c r="E314" s="242"/>
      <c r="F314" s="242"/>
      <c r="G314" s="242"/>
      <c r="H314" s="242"/>
      <c r="I314" s="242"/>
      <c r="J314" s="242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ht="14.25" customHeight="1">
      <c r="A315" s="240"/>
      <c r="B315" s="241"/>
      <c r="C315" s="240"/>
      <c r="D315" s="242"/>
      <c r="E315" s="242"/>
      <c r="F315" s="242"/>
      <c r="G315" s="242"/>
      <c r="H315" s="242"/>
      <c r="I315" s="242"/>
      <c r="J315" s="242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ht="14.25" customHeight="1">
      <c r="A316" s="240"/>
      <c r="B316" s="241"/>
      <c r="C316" s="240"/>
      <c r="D316" s="242"/>
      <c r="E316" s="242"/>
      <c r="F316" s="242"/>
      <c r="G316" s="242"/>
      <c r="H316" s="242"/>
      <c r="I316" s="242"/>
      <c r="J316" s="242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ht="14.25" customHeight="1">
      <c r="A317" s="240"/>
      <c r="B317" s="241"/>
      <c r="C317" s="240"/>
      <c r="D317" s="242"/>
      <c r="E317" s="242"/>
      <c r="F317" s="242"/>
      <c r="G317" s="242"/>
      <c r="H317" s="242"/>
      <c r="I317" s="242"/>
      <c r="J317" s="242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ht="14.25" customHeight="1">
      <c r="A318" s="240"/>
      <c r="B318" s="241"/>
      <c r="C318" s="240"/>
      <c r="D318" s="242"/>
      <c r="E318" s="242"/>
      <c r="F318" s="242"/>
      <c r="G318" s="242"/>
      <c r="H318" s="242"/>
      <c r="I318" s="242"/>
      <c r="J318" s="242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ht="14.25" customHeight="1">
      <c r="A319" s="240"/>
      <c r="B319" s="241"/>
      <c r="C319" s="240"/>
      <c r="D319" s="242"/>
      <c r="E319" s="242"/>
      <c r="F319" s="242"/>
      <c r="G319" s="242"/>
      <c r="H319" s="242"/>
      <c r="I319" s="242"/>
      <c r="J319" s="242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ht="14.25" customHeight="1">
      <c r="A320" s="240"/>
      <c r="B320" s="241"/>
      <c r="C320" s="240"/>
      <c r="D320" s="242"/>
      <c r="E320" s="242"/>
      <c r="F320" s="242"/>
      <c r="G320" s="242"/>
      <c r="H320" s="242"/>
      <c r="I320" s="242"/>
      <c r="J320" s="242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ht="14.25" customHeight="1">
      <c r="A321" s="240"/>
      <c r="B321" s="241"/>
      <c r="C321" s="240"/>
      <c r="D321" s="242"/>
      <c r="E321" s="242"/>
      <c r="F321" s="242"/>
      <c r="G321" s="242"/>
      <c r="H321" s="242"/>
      <c r="I321" s="242"/>
      <c r="J321" s="242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ht="14.25" customHeight="1">
      <c r="A322" s="240"/>
      <c r="B322" s="241"/>
      <c r="C322" s="240"/>
      <c r="D322" s="242"/>
      <c r="E322" s="242"/>
      <c r="F322" s="242"/>
      <c r="G322" s="242"/>
      <c r="H322" s="242"/>
      <c r="I322" s="242"/>
      <c r="J322" s="242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ht="14.25" customHeight="1">
      <c r="A323" s="240"/>
      <c r="B323" s="241"/>
      <c r="C323" s="240"/>
      <c r="D323" s="242"/>
      <c r="E323" s="242"/>
      <c r="F323" s="242"/>
      <c r="G323" s="242"/>
      <c r="H323" s="242"/>
      <c r="I323" s="242"/>
      <c r="J323" s="242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ht="14.25" customHeight="1">
      <c r="A324" s="240"/>
      <c r="B324" s="241"/>
      <c r="C324" s="240"/>
      <c r="D324" s="242"/>
      <c r="E324" s="242"/>
      <c r="F324" s="242"/>
      <c r="G324" s="242"/>
      <c r="H324" s="242"/>
      <c r="I324" s="242"/>
      <c r="J324" s="242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ht="14.25" customHeight="1">
      <c r="A325" s="240"/>
      <c r="B325" s="241"/>
      <c r="C325" s="240"/>
      <c r="D325" s="242"/>
      <c r="E325" s="242"/>
      <c r="F325" s="242"/>
      <c r="G325" s="242"/>
      <c r="H325" s="242"/>
      <c r="I325" s="242"/>
      <c r="J325" s="242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ht="14.25" customHeight="1">
      <c r="A326" s="240"/>
      <c r="B326" s="241"/>
      <c r="C326" s="240"/>
      <c r="D326" s="242"/>
      <c r="E326" s="242"/>
      <c r="F326" s="242"/>
      <c r="G326" s="242"/>
      <c r="H326" s="242"/>
      <c r="I326" s="242"/>
      <c r="J326" s="242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ht="14.25" customHeight="1">
      <c r="A327" s="240"/>
      <c r="B327" s="241"/>
      <c r="C327" s="240"/>
      <c r="D327" s="242"/>
      <c r="E327" s="242"/>
      <c r="F327" s="242"/>
      <c r="G327" s="242"/>
      <c r="H327" s="242"/>
      <c r="I327" s="242"/>
      <c r="J327" s="242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ht="14.25" customHeight="1">
      <c r="A328" s="240"/>
      <c r="B328" s="241"/>
      <c r="C328" s="240"/>
      <c r="D328" s="242"/>
      <c r="E328" s="242"/>
      <c r="F328" s="242"/>
      <c r="G328" s="242"/>
      <c r="H328" s="242"/>
      <c r="I328" s="242"/>
      <c r="J328" s="242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ht="14.25" customHeight="1">
      <c r="A329" s="240"/>
      <c r="B329" s="241"/>
      <c r="C329" s="240"/>
      <c r="D329" s="242"/>
      <c r="E329" s="242"/>
      <c r="F329" s="242"/>
      <c r="G329" s="242"/>
      <c r="H329" s="242"/>
      <c r="I329" s="242"/>
      <c r="J329" s="242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ht="14.25" customHeight="1">
      <c r="A330" s="240"/>
      <c r="B330" s="241"/>
      <c r="C330" s="240"/>
      <c r="D330" s="242"/>
      <c r="E330" s="242"/>
      <c r="F330" s="242"/>
      <c r="G330" s="242"/>
      <c r="H330" s="242"/>
      <c r="I330" s="242"/>
      <c r="J330" s="242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ht="14.25" customHeight="1">
      <c r="A331" s="240"/>
      <c r="B331" s="241"/>
      <c r="C331" s="240"/>
      <c r="D331" s="242"/>
      <c r="E331" s="242"/>
      <c r="F331" s="242"/>
      <c r="G331" s="242"/>
      <c r="H331" s="242"/>
      <c r="I331" s="242"/>
      <c r="J331" s="242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ht="14.25" customHeight="1">
      <c r="A332" s="240"/>
      <c r="B332" s="241"/>
      <c r="C332" s="240"/>
      <c r="D332" s="242"/>
      <c r="E332" s="242"/>
      <c r="F332" s="242"/>
      <c r="G332" s="242"/>
      <c r="H332" s="242"/>
      <c r="I332" s="242"/>
      <c r="J332" s="242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ht="14.25" customHeight="1">
      <c r="A333" s="240"/>
      <c r="B333" s="241"/>
      <c r="C333" s="240"/>
      <c r="D333" s="242"/>
      <c r="E333" s="242"/>
      <c r="F333" s="242"/>
      <c r="G333" s="242"/>
      <c r="H333" s="242"/>
      <c r="I333" s="242"/>
      <c r="J333" s="242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ht="14.25" customHeight="1">
      <c r="A334" s="240"/>
      <c r="B334" s="241"/>
      <c r="C334" s="240"/>
      <c r="D334" s="242"/>
      <c r="E334" s="242"/>
      <c r="F334" s="242"/>
      <c r="G334" s="242"/>
      <c r="H334" s="242"/>
      <c r="I334" s="242"/>
      <c r="J334" s="242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ht="14.25" customHeight="1">
      <c r="A335" s="240"/>
      <c r="B335" s="241"/>
      <c r="C335" s="240"/>
      <c r="D335" s="242"/>
      <c r="E335" s="242"/>
      <c r="F335" s="242"/>
      <c r="G335" s="242"/>
      <c r="H335" s="242"/>
      <c r="I335" s="242"/>
      <c r="J335" s="242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ht="14.25" customHeight="1">
      <c r="A336" s="240"/>
      <c r="B336" s="241"/>
      <c r="C336" s="240"/>
      <c r="D336" s="242"/>
      <c r="E336" s="242"/>
      <c r="F336" s="242"/>
      <c r="G336" s="242"/>
      <c r="H336" s="242"/>
      <c r="I336" s="242"/>
      <c r="J336" s="242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ht="14.25" customHeight="1">
      <c r="A337" s="240"/>
      <c r="B337" s="241"/>
      <c r="C337" s="240"/>
      <c r="D337" s="242"/>
      <c r="E337" s="242"/>
      <c r="F337" s="242"/>
      <c r="G337" s="242"/>
      <c r="H337" s="242"/>
      <c r="I337" s="242"/>
      <c r="J337" s="242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ht="14.25" customHeight="1">
      <c r="A338" s="240"/>
      <c r="B338" s="241"/>
      <c r="C338" s="240"/>
      <c r="D338" s="242"/>
      <c r="E338" s="242"/>
      <c r="F338" s="242"/>
      <c r="G338" s="242"/>
      <c r="H338" s="242"/>
      <c r="I338" s="242"/>
      <c r="J338" s="242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ht="14.25" customHeight="1">
      <c r="A339" s="240"/>
      <c r="B339" s="241"/>
      <c r="C339" s="240"/>
      <c r="D339" s="242"/>
      <c r="E339" s="242"/>
      <c r="F339" s="242"/>
      <c r="G339" s="242"/>
      <c r="H339" s="242"/>
      <c r="I339" s="242"/>
      <c r="J339" s="242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ht="14.25" customHeight="1">
      <c r="A340" s="240"/>
      <c r="B340" s="241"/>
      <c r="C340" s="240"/>
      <c r="D340" s="242"/>
      <c r="E340" s="242"/>
      <c r="F340" s="242"/>
      <c r="G340" s="242"/>
      <c r="H340" s="242"/>
      <c r="I340" s="242"/>
      <c r="J340" s="242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ht="14.25" customHeight="1">
      <c r="A341" s="240"/>
      <c r="B341" s="241"/>
      <c r="C341" s="240"/>
      <c r="D341" s="242"/>
      <c r="E341" s="242"/>
      <c r="F341" s="242"/>
      <c r="G341" s="242"/>
      <c r="H341" s="242"/>
      <c r="I341" s="242"/>
      <c r="J341" s="242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ht="14.25" customHeight="1">
      <c r="A342" s="240"/>
      <c r="B342" s="241"/>
      <c r="C342" s="240"/>
      <c r="D342" s="242"/>
      <c r="E342" s="242"/>
      <c r="F342" s="242"/>
      <c r="G342" s="242"/>
      <c r="H342" s="242"/>
      <c r="I342" s="242"/>
      <c r="J342" s="242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ht="14.25" customHeight="1">
      <c r="A343" s="240"/>
      <c r="B343" s="241"/>
      <c r="C343" s="240"/>
      <c r="D343" s="242"/>
      <c r="E343" s="242"/>
      <c r="F343" s="242"/>
      <c r="G343" s="242"/>
      <c r="H343" s="242"/>
      <c r="I343" s="242"/>
      <c r="J343" s="242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ht="14.25" customHeight="1">
      <c r="A344" s="240"/>
      <c r="B344" s="241"/>
      <c r="C344" s="240"/>
      <c r="D344" s="242"/>
      <c r="E344" s="242"/>
      <c r="F344" s="242"/>
      <c r="G344" s="242"/>
      <c r="H344" s="242"/>
      <c r="I344" s="242"/>
      <c r="J344" s="242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ht="14.25" customHeight="1">
      <c r="A345" s="240"/>
      <c r="B345" s="241"/>
      <c r="C345" s="240"/>
      <c r="D345" s="242"/>
      <c r="E345" s="242"/>
      <c r="F345" s="242"/>
      <c r="G345" s="242"/>
      <c r="H345" s="242"/>
      <c r="I345" s="242"/>
      <c r="J345" s="242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ht="14.25" customHeight="1">
      <c r="A346" s="240"/>
      <c r="B346" s="241"/>
      <c r="C346" s="240"/>
      <c r="D346" s="242"/>
      <c r="E346" s="242"/>
      <c r="F346" s="242"/>
      <c r="G346" s="242"/>
      <c r="H346" s="242"/>
      <c r="I346" s="242"/>
      <c r="J346" s="242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ht="14.25" customHeight="1">
      <c r="A347" s="240"/>
      <c r="B347" s="241"/>
      <c r="C347" s="240"/>
      <c r="D347" s="242"/>
      <c r="E347" s="242"/>
      <c r="F347" s="242"/>
      <c r="G347" s="242"/>
      <c r="H347" s="242"/>
      <c r="I347" s="242"/>
      <c r="J347" s="242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ht="14.25" customHeight="1">
      <c r="A348" s="240"/>
      <c r="B348" s="241"/>
      <c r="C348" s="240"/>
      <c r="D348" s="242"/>
      <c r="E348" s="242"/>
      <c r="F348" s="242"/>
      <c r="G348" s="242"/>
      <c r="H348" s="242"/>
      <c r="I348" s="242"/>
      <c r="J348" s="242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ht="14.25" customHeight="1">
      <c r="A349" s="240"/>
      <c r="B349" s="241"/>
      <c r="C349" s="240"/>
      <c r="D349" s="242"/>
      <c r="E349" s="242"/>
      <c r="F349" s="242"/>
      <c r="G349" s="242"/>
      <c r="H349" s="242"/>
      <c r="I349" s="242"/>
      <c r="J349" s="242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ht="14.25" customHeight="1">
      <c r="A350" s="240"/>
      <c r="B350" s="241"/>
      <c r="C350" s="240"/>
      <c r="D350" s="242"/>
      <c r="E350" s="242"/>
      <c r="F350" s="242"/>
      <c r="G350" s="242"/>
      <c r="H350" s="242"/>
      <c r="I350" s="242"/>
      <c r="J350" s="242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ht="14.25" customHeight="1">
      <c r="A351" s="240"/>
      <c r="B351" s="241"/>
      <c r="C351" s="240"/>
      <c r="D351" s="242"/>
      <c r="E351" s="242"/>
      <c r="F351" s="242"/>
      <c r="G351" s="242"/>
      <c r="H351" s="242"/>
      <c r="I351" s="242"/>
      <c r="J351" s="242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ht="14.25" customHeight="1">
      <c r="A352" s="240"/>
      <c r="B352" s="241"/>
      <c r="C352" s="240"/>
      <c r="D352" s="242"/>
      <c r="E352" s="242"/>
      <c r="F352" s="242"/>
      <c r="G352" s="242"/>
      <c r="H352" s="242"/>
      <c r="I352" s="242"/>
      <c r="J352" s="242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ht="14.25" customHeight="1">
      <c r="A353" s="240"/>
      <c r="B353" s="241"/>
      <c r="C353" s="240"/>
      <c r="D353" s="242"/>
      <c r="E353" s="242"/>
      <c r="F353" s="242"/>
      <c r="G353" s="242"/>
      <c r="H353" s="242"/>
      <c r="I353" s="242"/>
      <c r="J353" s="242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ht="14.25" customHeight="1">
      <c r="A354" s="240"/>
      <c r="B354" s="241"/>
      <c r="C354" s="240"/>
      <c r="D354" s="242"/>
      <c r="E354" s="242"/>
      <c r="F354" s="242"/>
      <c r="G354" s="242"/>
      <c r="H354" s="242"/>
      <c r="I354" s="242"/>
      <c r="J354" s="242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ht="14.25" customHeight="1">
      <c r="A355" s="240"/>
      <c r="B355" s="241"/>
      <c r="C355" s="240"/>
      <c r="D355" s="242"/>
      <c r="E355" s="242"/>
      <c r="F355" s="242"/>
      <c r="G355" s="242"/>
      <c r="H355" s="242"/>
      <c r="I355" s="242"/>
      <c r="J355" s="242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ht="14.25" customHeight="1">
      <c r="A356" s="240"/>
      <c r="B356" s="241"/>
      <c r="C356" s="240"/>
      <c r="D356" s="242"/>
      <c r="E356" s="242"/>
      <c r="F356" s="242"/>
      <c r="G356" s="242"/>
      <c r="H356" s="242"/>
      <c r="I356" s="242"/>
      <c r="J356" s="242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ht="14.25" customHeight="1">
      <c r="A357" s="240"/>
      <c r="B357" s="241"/>
      <c r="C357" s="240"/>
      <c r="D357" s="242"/>
      <c r="E357" s="242"/>
      <c r="F357" s="242"/>
      <c r="G357" s="242"/>
      <c r="H357" s="242"/>
      <c r="I357" s="242"/>
      <c r="J357" s="242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ht="14.25" customHeight="1">
      <c r="A358" s="240"/>
      <c r="B358" s="241"/>
      <c r="C358" s="240"/>
      <c r="D358" s="242"/>
      <c r="E358" s="242"/>
      <c r="F358" s="242"/>
      <c r="G358" s="242"/>
      <c r="H358" s="242"/>
      <c r="I358" s="242"/>
      <c r="J358" s="242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ht="14.25" customHeight="1">
      <c r="A359" s="240"/>
      <c r="B359" s="241"/>
      <c r="C359" s="240"/>
      <c r="D359" s="242"/>
      <c r="E359" s="242"/>
      <c r="F359" s="242"/>
      <c r="G359" s="242"/>
      <c r="H359" s="242"/>
      <c r="I359" s="242"/>
      <c r="J359" s="242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ht="14.25" customHeight="1">
      <c r="A360" s="240"/>
      <c r="B360" s="241"/>
      <c r="C360" s="240"/>
      <c r="D360" s="242"/>
      <c r="E360" s="242"/>
      <c r="F360" s="242"/>
      <c r="G360" s="242"/>
      <c r="H360" s="242"/>
      <c r="I360" s="242"/>
      <c r="J360" s="242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ht="14.25" customHeight="1">
      <c r="A361" s="240"/>
      <c r="B361" s="241"/>
      <c r="C361" s="240"/>
      <c r="D361" s="242"/>
      <c r="E361" s="242"/>
      <c r="F361" s="242"/>
      <c r="G361" s="242"/>
      <c r="H361" s="242"/>
      <c r="I361" s="242"/>
      <c r="J361" s="242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ht="14.25" customHeight="1">
      <c r="A362" s="240"/>
      <c r="B362" s="241"/>
      <c r="C362" s="240"/>
      <c r="D362" s="242"/>
      <c r="E362" s="242"/>
      <c r="F362" s="242"/>
      <c r="G362" s="242"/>
      <c r="H362" s="242"/>
      <c r="I362" s="242"/>
      <c r="J362" s="242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ht="14.25" customHeight="1">
      <c r="A363" s="240"/>
      <c r="B363" s="241"/>
      <c r="C363" s="240"/>
      <c r="D363" s="242"/>
      <c r="E363" s="242"/>
      <c r="F363" s="242"/>
      <c r="G363" s="242"/>
      <c r="H363" s="242"/>
      <c r="I363" s="242"/>
      <c r="J363" s="242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ht="14.25" customHeight="1">
      <c r="A364" s="240"/>
      <c r="B364" s="241"/>
      <c r="C364" s="240"/>
      <c r="D364" s="242"/>
      <c r="E364" s="242"/>
      <c r="F364" s="242"/>
      <c r="G364" s="242"/>
      <c r="H364" s="242"/>
      <c r="I364" s="242"/>
      <c r="J364" s="242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ht="14.25" customHeight="1">
      <c r="A365" s="240"/>
      <c r="B365" s="241"/>
      <c r="C365" s="240"/>
      <c r="D365" s="242"/>
      <c r="E365" s="242"/>
      <c r="F365" s="242"/>
      <c r="G365" s="242"/>
      <c r="H365" s="242"/>
      <c r="I365" s="242"/>
      <c r="J365" s="242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ht="14.25" customHeight="1">
      <c r="A366" s="240"/>
      <c r="B366" s="241"/>
      <c r="C366" s="240"/>
      <c r="D366" s="242"/>
      <c r="E366" s="242"/>
      <c r="F366" s="242"/>
      <c r="G366" s="242"/>
      <c r="H366" s="242"/>
      <c r="I366" s="242"/>
      <c r="J366" s="242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ht="14.25" customHeight="1">
      <c r="A367" s="240"/>
      <c r="B367" s="241"/>
      <c r="C367" s="240"/>
      <c r="D367" s="242"/>
      <c r="E367" s="242"/>
      <c r="F367" s="242"/>
      <c r="G367" s="242"/>
      <c r="H367" s="242"/>
      <c r="I367" s="242"/>
      <c r="J367" s="242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ht="14.25" customHeight="1">
      <c r="A368" s="240"/>
      <c r="B368" s="241"/>
      <c r="C368" s="240"/>
      <c r="D368" s="242"/>
      <c r="E368" s="242"/>
      <c r="F368" s="242"/>
      <c r="G368" s="242"/>
      <c r="H368" s="242"/>
      <c r="I368" s="242"/>
      <c r="J368" s="242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ht="14.25" customHeight="1">
      <c r="A369" s="240"/>
      <c r="B369" s="241"/>
      <c r="C369" s="240"/>
      <c r="D369" s="242"/>
      <c r="E369" s="242"/>
      <c r="F369" s="242"/>
      <c r="G369" s="242"/>
      <c r="H369" s="242"/>
      <c r="I369" s="242"/>
      <c r="J369" s="242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ht="14.25" customHeight="1">
      <c r="A370" s="240"/>
      <c r="B370" s="241"/>
      <c r="C370" s="240"/>
      <c r="D370" s="242"/>
      <c r="E370" s="242"/>
      <c r="F370" s="242"/>
      <c r="G370" s="242"/>
      <c r="H370" s="242"/>
      <c r="I370" s="242"/>
      <c r="J370" s="242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ht="14.25" customHeight="1">
      <c r="A371" s="240"/>
      <c r="B371" s="241"/>
      <c r="C371" s="240"/>
      <c r="D371" s="242"/>
      <c r="E371" s="242"/>
      <c r="F371" s="242"/>
      <c r="G371" s="242"/>
      <c r="H371" s="242"/>
      <c r="I371" s="242"/>
      <c r="J371" s="242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ht="14.25" customHeight="1">
      <c r="A372" s="240"/>
      <c r="B372" s="241"/>
      <c r="C372" s="240"/>
      <c r="D372" s="242"/>
      <c r="E372" s="242"/>
      <c r="F372" s="242"/>
      <c r="G372" s="242"/>
      <c r="H372" s="242"/>
      <c r="I372" s="242"/>
      <c r="J372" s="242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ht="14.25" customHeight="1">
      <c r="A373" s="240"/>
      <c r="B373" s="241"/>
      <c r="C373" s="240"/>
      <c r="D373" s="242"/>
      <c r="E373" s="242"/>
      <c r="F373" s="242"/>
      <c r="G373" s="242"/>
      <c r="H373" s="242"/>
      <c r="I373" s="242"/>
      <c r="J373" s="242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ht="14.25" customHeight="1">
      <c r="A374" s="240"/>
      <c r="B374" s="241"/>
      <c r="C374" s="240"/>
      <c r="D374" s="242"/>
      <c r="E374" s="242"/>
      <c r="F374" s="242"/>
      <c r="G374" s="242"/>
      <c r="H374" s="242"/>
      <c r="I374" s="242"/>
      <c r="J374" s="242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ht="14.25" customHeight="1">
      <c r="A375" s="240"/>
      <c r="B375" s="241"/>
      <c r="C375" s="240"/>
      <c r="D375" s="242"/>
      <c r="E375" s="242"/>
      <c r="F375" s="242"/>
      <c r="G375" s="242"/>
      <c r="H375" s="242"/>
      <c r="I375" s="242"/>
      <c r="J375" s="242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ht="14.25" customHeight="1">
      <c r="A376" s="240"/>
      <c r="B376" s="241"/>
      <c r="C376" s="240"/>
      <c r="D376" s="242"/>
      <c r="E376" s="242"/>
      <c r="F376" s="242"/>
      <c r="G376" s="242"/>
      <c r="H376" s="242"/>
      <c r="I376" s="242"/>
      <c r="J376" s="242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ht="14.25" customHeight="1">
      <c r="A377" s="240"/>
      <c r="B377" s="241"/>
      <c r="C377" s="240"/>
      <c r="D377" s="242"/>
      <c r="E377" s="242"/>
      <c r="F377" s="242"/>
      <c r="G377" s="242"/>
      <c r="H377" s="242"/>
      <c r="I377" s="242"/>
      <c r="J377" s="242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ht="14.25" customHeight="1">
      <c r="A378" s="240"/>
      <c r="B378" s="241"/>
      <c r="C378" s="240"/>
      <c r="D378" s="242"/>
      <c r="E378" s="242"/>
      <c r="F378" s="242"/>
      <c r="G378" s="242"/>
      <c r="H378" s="242"/>
      <c r="I378" s="242"/>
      <c r="J378" s="242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ht="14.25" customHeight="1">
      <c r="A379" s="240"/>
      <c r="B379" s="241"/>
      <c r="C379" s="240"/>
      <c r="D379" s="242"/>
      <c r="E379" s="242"/>
      <c r="F379" s="242"/>
      <c r="G379" s="242"/>
      <c r="H379" s="242"/>
      <c r="I379" s="242"/>
      <c r="J379" s="242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ht="14.25" customHeight="1">
      <c r="A380" s="240"/>
      <c r="B380" s="241"/>
      <c r="C380" s="240"/>
      <c r="D380" s="242"/>
      <c r="E380" s="242"/>
      <c r="F380" s="242"/>
      <c r="G380" s="242"/>
      <c r="H380" s="242"/>
      <c r="I380" s="242"/>
      <c r="J380" s="242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ht="14.25" customHeight="1">
      <c r="A381" s="240"/>
      <c r="B381" s="241"/>
      <c r="C381" s="240"/>
      <c r="D381" s="242"/>
      <c r="E381" s="242"/>
      <c r="F381" s="242"/>
      <c r="G381" s="242"/>
      <c r="H381" s="242"/>
      <c r="I381" s="242"/>
      <c r="J381" s="242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ht="14.25" customHeight="1">
      <c r="A382" s="240"/>
      <c r="B382" s="241"/>
      <c r="C382" s="240"/>
      <c r="D382" s="242"/>
      <c r="E382" s="242"/>
      <c r="F382" s="242"/>
      <c r="G382" s="242"/>
      <c r="H382" s="242"/>
      <c r="I382" s="242"/>
      <c r="J382" s="242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ht="14.25" customHeight="1">
      <c r="A383" s="240"/>
      <c r="B383" s="241"/>
      <c r="C383" s="240"/>
      <c r="D383" s="242"/>
      <c r="E383" s="242"/>
      <c r="F383" s="242"/>
      <c r="G383" s="242"/>
      <c r="H383" s="242"/>
      <c r="I383" s="242"/>
      <c r="J383" s="242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ht="14.25" customHeight="1">
      <c r="A384" s="240"/>
      <c r="B384" s="241"/>
      <c r="C384" s="240"/>
      <c r="D384" s="242"/>
      <c r="E384" s="242"/>
      <c r="F384" s="242"/>
      <c r="G384" s="242"/>
      <c r="H384" s="242"/>
      <c r="I384" s="242"/>
      <c r="J384" s="242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ht="14.25" customHeight="1">
      <c r="A385" s="240"/>
      <c r="B385" s="241"/>
      <c r="C385" s="240"/>
      <c r="D385" s="242"/>
      <c r="E385" s="242"/>
      <c r="F385" s="242"/>
      <c r="G385" s="242"/>
      <c r="H385" s="242"/>
      <c r="I385" s="242"/>
      <c r="J385" s="242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ht="14.25" customHeight="1">
      <c r="A386" s="240"/>
      <c r="B386" s="241"/>
      <c r="C386" s="240"/>
      <c r="D386" s="242"/>
      <c r="E386" s="242"/>
      <c r="F386" s="242"/>
      <c r="G386" s="242"/>
      <c r="H386" s="242"/>
      <c r="I386" s="242"/>
      <c r="J386" s="242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ht="14.25" customHeight="1">
      <c r="A387" s="240"/>
      <c r="B387" s="241"/>
      <c r="C387" s="240"/>
      <c r="D387" s="242"/>
      <c r="E387" s="242"/>
      <c r="F387" s="242"/>
      <c r="G387" s="242"/>
      <c r="H387" s="242"/>
      <c r="I387" s="242"/>
      <c r="J387" s="242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ht="14.25" customHeight="1">
      <c r="A388" s="240"/>
      <c r="B388" s="241"/>
      <c r="C388" s="240"/>
      <c r="D388" s="242"/>
      <c r="E388" s="242"/>
      <c r="F388" s="242"/>
      <c r="G388" s="242"/>
      <c r="H388" s="242"/>
      <c r="I388" s="242"/>
      <c r="J388" s="242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ht="14.25" customHeight="1">
      <c r="A389" s="240"/>
      <c r="B389" s="241"/>
      <c r="C389" s="240"/>
      <c r="D389" s="242"/>
      <c r="E389" s="242"/>
      <c r="F389" s="242"/>
      <c r="G389" s="242"/>
      <c r="H389" s="242"/>
      <c r="I389" s="242"/>
      <c r="J389" s="242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ht="14.25" customHeight="1">
      <c r="A390" s="240"/>
      <c r="B390" s="241"/>
      <c r="C390" s="240"/>
      <c r="D390" s="242"/>
      <c r="E390" s="242"/>
      <c r="F390" s="242"/>
      <c r="G390" s="242"/>
      <c r="H390" s="242"/>
      <c r="I390" s="242"/>
      <c r="J390" s="242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ht="14.25" customHeight="1">
      <c r="A391" s="240"/>
      <c r="B391" s="241"/>
      <c r="C391" s="240"/>
      <c r="D391" s="242"/>
      <c r="E391" s="242"/>
      <c r="F391" s="242"/>
      <c r="G391" s="242"/>
      <c r="H391" s="242"/>
      <c r="I391" s="242"/>
      <c r="J391" s="242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ht="14.25" customHeight="1">
      <c r="A392" s="240"/>
      <c r="B392" s="241"/>
      <c r="C392" s="240"/>
      <c r="D392" s="242"/>
      <c r="E392" s="242"/>
      <c r="F392" s="242"/>
      <c r="G392" s="242"/>
      <c r="H392" s="242"/>
      <c r="I392" s="242"/>
      <c r="J392" s="242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ht="14.25" customHeight="1">
      <c r="A393" s="240"/>
      <c r="B393" s="241"/>
      <c r="C393" s="240"/>
      <c r="D393" s="242"/>
      <c r="E393" s="242"/>
      <c r="F393" s="242"/>
      <c r="G393" s="242"/>
      <c r="H393" s="242"/>
      <c r="I393" s="242"/>
      <c r="J393" s="242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ht="14.25" customHeight="1">
      <c r="A394" s="240"/>
      <c r="B394" s="241"/>
      <c r="C394" s="240"/>
      <c r="D394" s="242"/>
      <c r="E394" s="242"/>
      <c r="F394" s="242"/>
      <c r="G394" s="242"/>
      <c r="H394" s="242"/>
      <c r="I394" s="242"/>
      <c r="J394" s="242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ht="14.25" customHeight="1">
      <c r="A395" s="240"/>
      <c r="B395" s="241"/>
      <c r="C395" s="240"/>
      <c r="D395" s="242"/>
      <c r="E395" s="242"/>
      <c r="F395" s="242"/>
      <c r="G395" s="242"/>
      <c r="H395" s="242"/>
      <c r="I395" s="242"/>
      <c r="J395" s="242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ht="14.25" customHeight="1">
      <c r="A396" s="240"/>
      <c r="B396" s="241"/>
      <c r="C396" s="240"/>
      <c r="D396" s="242"/>
      <c r="E396" s="242"/>
      <c r="F396" s="242"/>
      <c r="G396" s="242"/>
      <c r="H396" s="242"/>
      <c r="I396" s="242"/>
      <c r="J396" s="242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ht="14.25" customHeight="1">
      <c r="A397" s="240"/>
      <c r="B397" s="241"/>
      <c r="C397" s="240"/>
      <c r="D397" s="242"/>
      <c r="E397" s="242"/>
      <c r="F397" s="242"/>
      <c r="G397" s="242"/>
      <c r="H397" s="242"/>
      <c r="I397" s="242"/>
      <c r="J397" s="242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ht="14.25" customHeight="1">
      <c r="A398" s="240"/>
      <c r="B398" s="241"/>
      <c r="C398" s="240"/>
      <c r="D398" s="242"/>
      <c r="E398" s="242"/>
      <c r="F398" s="242"/>
      <c r="G398" s="242"/>
      <c r="H398" s="242"/>
      <c r="I398" s="242"/>
      <c r="J398" s="242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ht="14.25" customHeight="1">
      <c r="A399" s="240"/>
      <c r="B399" s="241"/>
      <c r="C399" s="240"/>
      <c r="D399" s="242"/>
      <c r="E399" s="242"/>
      <c r="F399" s="242"/>
      <c r="G399" s="242"/>
      <c r="H399" s="242"/>
      <c r="I399" s="242"/>
      <c r="J399" s="242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ht="14.25" customHeight="1">
      <c r="A400" s="240"/>
      <c r="B400" s="241"/>
      <c r="C400" s="240"/>
      <c r="D400" s="242"/>
      <c r="E400" s="242"/>
      <c r="F400" s="242"/>
      <c r="G400" s="242"/>
      <c r="H400" s="242"/>
      <c r="I400" s="242"/>
      <c r="J400" s="242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ht="14.25" customHeight="1">
      <c r="A401" s="240"/>
      <c r="B401" s="241"/>
      <c r="C401" s="240"/>
      <c r="D401" s="242"/>
      <c r="E401" s="242"/>
      <c r="F401" s="242"/>
      <c r="G401" s="242"/>
      <c r="H401" s="242"/>
      <c r="I401" s="242"/>
      <c r="J401" s="242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ht="14.25" customHeight="1">
      <c r="A402" s="240"/>
      <c r="B402" s="241"/>
      <c r="C402" s="240"/>
      <c r="D402" s="242"/>
      <c r="E402" s="242"/>
      <c r="F402" s="242"/>
      <c r="G402" s="242"/>
      <c r="H402" s="242"/>
      <c r="I402" s="242"/>
      <c r="J402" s="242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ht="14.25" customHeight="1">
      <c r="A403" s="240"/>
      <c r="B403" s="241"/>
      <c r="C403" s="240"/>
      <c r="D403" s="242"/>
      <c r="E403" s="242"/>
      <c r="F403" s="242"/>
      <c r="G403" s="242"/>
      <c r="H403" s="242"/>
      <c r="I403" s="242"/>
      <c r="J403" s="242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ht="14.25" customHeight="1">
      <c r="A404" s="240"/>
      <c r="B404" s="241"/>
      <c r="C404" s="240"/>
      <c r="D404" s="242"/>
      <c r="E404" s="242"/>
      <c r="F404" s="242"/>
      <c r="G404" s="242"/>
      <c r="H404" s="242"/>
      <c r="I404" s="242"/>
      <c r="J404" s="242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ht="14.25" customHeight="1">
      <c r="A405" s="240"/>
      <c r="B405" s="241"/>
      <c r="C405" s="240"/>
      <c r="D405" s="242"/>
      <c r="E405" s="242"/>
      <c r="F405" s="242"/>
      <c r="G405" s="242"/>
      <c r="H405" s="242"/>
      <c r="I405" s="242"/>
      <c r="J405" s="242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ht="14.25" customHeight="1">
      <c r="A406" s="240"/>
      <c r="B406" s="241"/>
      <c r="C406" s="240"/>
      <c r="D406" s="242"/>
      <c r="E406" s="242"/>
      <c r="F406" s="242"/>
      <c r="G406" s="242"/>
      <c r="H406" s="242"/>
      <c r="I406" s="242"/>
      <c r="J406" s="242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ht="14.25" customHeight="1">
      <c r="A407" s="240"/>
      <c r="B407" s="241"/>
      <c r="C407" s="240"/>
      <c r="D407" s="242"/>
      <c r="E407" s="242"/>
      <c r="F407" s="242"/>
      <c r="G407" s="242"/>
      <c r="H407" s="242"/>
      <c r="I407" s="242"/>
      <c r="J407" s="242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ht="14.25" customHeight="1">
      <c r="A408" s="240"/>
      <c r="B408" s="241"/>
      <c r="C408" s="240"/>
      <c r="D408" s="242"/>
      <c r="E408" s="242"/>
      <c r="F408" s="242"/>
      <c r="G408" s="242"/>
      <c r="H408" s="242"/>
      <c r="I408" s="242"/>
      <c r="J408" s="242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ht="14.25" customHeight="1">
      <c r="A409" s="240"/>
      <c r="B409" s="241"/>
      <c r="C409" s="240"/>
      <c r="D409" s="242"/>
      <c r="E409" s="242"/>
      <c r="F409" s="242"/>
      <c r="G409" s="242"/>
      <c r="H409" s="242"/>
      <c r="I409" s="242"/>
      <c r="J409" s="242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ht="14.25" customHeight="1">
      <c r="A410" s="240"/>
      <c r="B410" s="241"/>
      <c r="C410" s="240"/>
      <c r="D410" s="242"/>
      <c r="E410" s="242"/>
      <c r="F410" s="242"/>
      <c r="G410" s="242"/>
      <c r="H410" s="242"/>
      <c r="I410" s="242"/>
      <c r="J410" s="242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ht="14.25" customHeight="1">
      <c r="A411" s="240"/>
      <c r="B411" s="241"/>
      <c r="C411" s="240"/>
      <c r="D411" s="242"/>
      <c r="E411" s="242"/>
      <c r="F411" s="242"/>
      <c r="G411" s="242"/>
      <c r="H411" s="242"/>
      <c r="I411" s="242"/>
      <c r="J411" s="242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ht="14.25" customHeight="1">
      <c r="A412" s="240"/>
      <c r="B412" s="241"/>
      <c r="C412" s="240"/>
      <c r="D412" s="242"/>
      <c r="E412" s="242"/>
      <c r="F412" s="242"/>
      <c r="G412" s="242"/>
      <c r="H412" s="242"/>
      <c r="I412" s="242"/>
      <c r="J412" s="242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ht="14.25" customHeight="1">
      <c r="A413" s="240"/>
      <c r="B413" s="241"/>
      <c r="C413" s="240"/>
      <c r="D413" s="242"/>
      <c r="E413" s="242"/>
      <c r="F413" s="242"/>
      <c r="G413" s="242"/>
      <c r="H413" s="242"/>
      <c r="I413" s="242"/>
      <c r="J413" s="242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ht="14.25" customHeight="1">
      <c r="A414" s="240"/>
      <c r="B414" s="241"/>
      <c r="C414" s="240"/>
      <c r="D414" s="242"/>
      <c r="E414" s="242"/>
      <c r="F414" s="242"/>
      <c r="G414" s="242"/>
      <c r="H414" s="242"/>
      <c r="I414" s="242"/>
      <c r="J414" s="242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ht="14.25" customHeight="1">
      <c r="A415" s="240"/>
      <c r="B415" s="241"/>
      <c r="C415" s="240"/>
      <c r="D415" s="242"/>
      <c r="E415" s="242"/>
      <c r="F415" s="242"/>
      <c r="G415" s="242"/>
      <c r="H415" s="242"/>
      <c r="I415" s="242"/>
      <c r="J415" s="242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ht="14.25" customHeight="1">
      <c r="A416" s="240"/>
      <c r="B416" s="241"/>
      <c r="C416" s="240"/>
      <c r="D416" s="242"/>
      <c r="E416" s="242"/>
      <c r="F416" s="242"/>
      <c r="G416" s="242"/>
      <c r="H416" s="242"/>
      <c r="I416" s="242"/>
      <c r="J416" s="242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ht="14.25" customHeight="1">
      <c r="A417" s="240"/>
      <c r="B417" s="241"/>
      <c r="C417" s="240"/>
      <c r="D417" s="242"/>
      <c r="E417" s="242"/>
      <c r="F417" s="242"/>
      <c r="G417" s="242"/>
      <c r="H417" s="242"/>
      <c r="I417" s="242"/>
      <c r="J417" s="242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ht="14.25" customHeight="1">
      <c r="A418" s="240"/>
      <c r="B418" s="241"/>
      <c r="C418" s="240"/>
      <c r="D418" s="242"/>
      <c r="E418" s="242"/>
      <c r="F418" s="242"/>
      <c r="G418" s="242"/>
      <c r="H418" s="242"/>
      <c r="I418" s="242"/>
      <c r="J418" s="242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ht="14.25" customHeight="1">
      <c r="A419" s="240"/>
      <c r="B419" s="241"/>
      <c r="C419" s="240"/>
      <c r="D419" s="242"/>
      <c r="E419" s="242"/>
      <c r="F419" s="242"/>
      <c r="G419" s="242"/>
      <c r="H419" s="242"/>
      <c r="I419" s="242"/>
      <c r="J419" s="242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ht="14.25" customHeight="1">
      <c r="A420" s="240"/>
      <c r="B420" s="241"/>
      <c r="C420" s="240"/>
      <c r="D420" s="242"/>
      <c r="E420" s="242"/>
      <c r="F420" s="242"/>
      <c r="G420" s="242"/>
      <c r="H420" s="242"/>
      <c r="I420" s="242"/>
      <c r="J420" s="242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ht="14.25" customHeight="1">
      <c r="A421" s="240"/>
      <c r="B421" s="241"/>
      <c r="C421" s="240"/>
      <c r="D421" s="242"/>
      <c r="E421" s="242"/>
      <c r="F421" s="242"/>
      <c r="G421" s="242"/>
      <c r="H421" s="242"/>
      <c r="I421" s="242"/>
      <c r="J421" s="242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ht="14.25" customHeight="1">
      <c r="A422" s="240"/>
      <c r="B422" s="241"/>
      <c r="C422" s="240"/>
      <c r="D422" s="242"/>
      <c r="E422" s="242"/>
      <c r="F422" s="242"/>
      <c r="G422" s="242"/>
      <c r="H422" s="242"/>
      <c r="I422" s="242"/>
      <c r="J422" s="242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ht="14.25" customHeight="1">
      <c r="A423" s="240"/>
      <c r="B423" s="241"/>
      <c r="C423" s="240"/>
      <c r="D423" s="242"/>
      <c r="E423" s="242"/>
      <c r="F423" s="242"/>
      <c r="G423" s="242"/>
      <c r="H423" s="242"/>
      <c r="I423" s="242"/>
      <c r="J423" s="242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ht="14.25" customHeight="1">
      <c r="A424" s="240"/>
      <c r="B424" s="241"/>
      <c r="C424" s="240"/>
      <c r="D424" s="242"/>
      <c r="E424" s="242"/>
      <c r="F424" s="242"/>
      <c r="G424" s="242"/>
      <c r="H424" s="242"/>
      <c r="I424" s="242"/>
      <c r="J424" s="242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ht="14.25" customHeight="1">
      <c r="A425" s="240"/>
      <c r="B425" s="241"/>
      <c r="C425" s="240"/>
      <c r="D425" s="242"/>
      <c r="E425" s="242"/>
      <c r="F425" s="242"/>
      <c r="G425" s="242"/>
      <c r="H425" s="242"/>
      <c r="I425" s="242"/>
      <c r="J425" s="242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ht="14.25" customHeight="1">
      <c r="A426" s="240"/>
      <c r="B426" s="241"/>
      <c r="C426" s="240"/>
      <c r="D426" s="242"/>
      <c r="E426" s="242"/>
      <c r="F426" s="242"/>
      <c r="G426" s="242"/>
      <c r="H426" s="242"/>
      <c r="I426" s="242"/>
      <c r="J426" s="242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ht="14.25" customHeight="1">
      <c r="A427" s="240"/>
      <c r="B427" s="241"/>
      <c r="C427" s="240"/>
      <c r="D427" s="242"/>
      <c r="E427" s="242"/>
      <c r="F427" s="242"/>
      <c r="G427" s="242"/>
      <c r="H427" s="242"/>
      <c r="I427" s="242"/>
      <c r="J427" s="242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ht="14.25" customHeight="1">
      <c r="A428" s="240"/>
      <c r="B428" s="241"/>
      <c r="C428" s="240"/>
      <c r="D428" s="242"/>
      <c r="E428" s="242"/>
      <c r="F428" s="242"/>
      <c r="G428" s="242"/>
      <c r="H428" s="242"/>
      <c r="I428" s="242"/>
      <c r="J428" s="242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ht="14.25" customHeight="1">
      <c r="A429" s="240"/>
      <c r="B429" s="241"/>
      <c r="C429" s="240"/>
      <c r="D429" s="242"/>
      <c r="E429" s="242"/>
      <c r="F429" s="242"/>
      <c r="G429" s="242"/>
      <c r="H429" s="242"/>
      <c r="I429" s="242"/>
      <c r="J429" s="242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ht="14.25" customHeight="1">
      <c r="A430" s="240"/>
      <c r="B430" s="241"/>
      <c r="C430" s="240"/>
      <c r="D430" s="242"/>
      <c r="E430" s="242"/>
      <c r="F430" s="242"/>
      <c r="G430" s="242"/>
      <c r="H430" s="242"/>
      <c r="I430" s="242"/>
      <c r="J430" s="242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ht="14.25" customHeight="1">
      <c r="A431" s="240"/>
      <c r="B431" s="241"/>
      <c r="C431" s="240"/>
      <c r="D431" s="242"/>
      <c r="E431" s="242"/>
      <c r="F431" s="242"/>
      <c r="G431" s="242"/>
      <c r="H431" s="242"/>
      <c r="I431" s="242"/>
      <c r="J431" s="242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ht="14.25" customHeight="1">
      <c r="A432" s="240"/>
      <c r="B432" s="241"/>
      <c r="C432" s="240"/>
      <c r="D432" s="242"/>
      <c r="E432" s="242"/>
      <c r="F432" s="242"/>
      <c r="G432" s="242"/>
      <c r="H432" s="242"/>
      <c r="I432" s="242"/>
      <c r="J432" s="242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ht="14.25" customHeight="1">
      <c r="A433" s="240"/>
      <c r="B433" s="241"/>
      <c r="C433" s="240"/>
      <c r="D433" s="242"/>
      <c r="E433" s="242"/>
      <c r="F433" s="242"/>
      <c r="G433" s="242"/>
      <c r="H433" s="242"/>
      <c r="I433" s="242"/>
      <c r="J433" s="242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ht="14.25" customHeight="1">
      <c r="A434" s="240"/>
      <c r="B434" s="241"/>
      <c r="C434" s="240"/>
      <c r="D434" s="242"/>
      <c r="E434" s="242"/>
      <c r="F434" s="242"/>
      <c r="G434" s="242"/>
      <c r="H434" s="242"/>
      <c r="I434" s="242"/>
      <c r="J434" s="242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ht="14.25" customHeight="1">
      <c r="A435" s="240"/>
      <c r="B435" s="241"/>
      <c r="C435" s="240"/>
      <c r="D435" s="242"/>
      <c r="E435" s="242"/>
      <c r="F435" s="242"/>
      <c r="G435" s="242"/>
      <c r="H435" s="242"/>
      <c r="I435" s="242"/>
      <c r="J435" s="242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ht="14.25" customHeight="1">
      <c r="A436" s="240"/>
      <c r="B436" s="241"/>
      <c r="C436" s="240"/>
      <c r="D436" s="242"/>
      <c r="E436" s="242"/>
      <c r="F436" s="242"/>
      <c r="G436" s="242"/>
      <c r="H436" s="242"/>
      <c r="I436" s="242"/>
      <c r="J436" s="242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ht="14.25" customHeight="1">
      <c r="A437" s="240"/>
      <c r="B437" s="241"/>
      <c r="C437" s="240"/>
      <c r="D437" s="242"/>
      <c r="E437" s="242"/>
      <c r="F437" s="242"/>
      <c r="G437" s="242"/>
      <c r="H437" s="242"/>
      <c r="I437" s="242"/>
      <c r="J437" s="242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ht="14.25" customHeight="1">
      <c r="A438" s="240"/>
      <c r="B438" s="241"/>
      <c r="C438" s="240"/>
      <c r="D438" s="242"/>
      <c r="E438" s="242"/>
      <c r="F438" s="242"/>
      <c r="G438" s="242"/>
      <c r="H438" s="242"/>
      <c r="I438" s="242"/>
      <c r="J438" s="242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ht="14.25" customHeight="1">
      <c r="A439" s="240"/>
      <c r="B439" s="241"/>
      <c r="C439" s="240"/>
      <c r="D439" s="242"/>
      <c r="E439" s="242"/>
      <c r="F439" s="242"/>
      <c r="G439" s="242"/>
      <c r="H439" s="242"/>
      <c r="I439" s="242"/>
      <c r="J439" s="242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ht="14.25" customHeight="1">
      <c r="A440" s="240"/>
      <c r="B440" s="241"/>
      <c r="C440" s="240"/>
      <c r="D440" s="242"/>
      <c r="E440" s="242"/>
      <c r="F440" s="242"/>
      <c r="G440" s="242"/>
      <c r="H440" s="242"/>
      <c r="I440" s="242"/>
      <c r="J440" s="242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ht="14.25" customHeight="1">
      <c r="A441" s="240"/>
      <c r="B441" s="241"/>
      <c r="C441" s="240"/>
      <c r="D441" s="242"/>
      <c r="E441" s="242"/>
      <c r="F441" s="242"/>
      <c r="G441" s="242"/>
      <c r="H441" s="242"/>
      <c r="I441" s="242"/>
      <c r="J441" s="242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ht="14.25" customHeight="1">
      <c r="A442" s="240"/>
      <c r="B442" s="241"/>
      <c r="C442" s="240"/>
      <c r="D442" s="242"/>
      <c r="E442" s="242"/>
      <c r="F442" s="242"/>
      <c r="G442" s="242"/>
      <c r="H442" s="242"/>
      <c r="I442" s="242"/>
      <c r="J442" s="242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ht="14.25" customHeight="1">
      <c r="A443" s="240"/>
      <c r="B443" s="241"/>
      <c r="C443" s="240"/>
      <c r="D443" s="242"/>
      <c r="E443" s="242"/>
      <c r="F443" s="242"/>
      <c r="G443" s="242"/>
      <c r="H443" s="242"/>
      <c r="I443" s="242"/>
      <c r="J443" s="242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ht="14.25" customHeight="1">
      <c r="A444" s="240"/>
      <c r="B444" s="241"/>
      <c r="C444" s="240"/>
      <c r="D444" s="242"/>
      <c r="E444" s="242"/>
      <c r="F444" s="242"/>
      <c r="G444" s="242"/>
      <c r="H444" s="242"/>
      <c r="I444" s="242"/>
      <c r="J444" s="242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ht="14.25" customHeight="1">
      <c r="A445" s="240"/>
      <c r="B445" s="241"/>
      <c r="C445" s="240"/>
      <c r="D445" s="242"/>
      <c r="E445" s="242"/>
      <c r="F445" s="242"/>
      <c r="G445" s="242"/>
      <c r="H445" s="242"/>
      <c r="I445" s="242"/>
      <c r="J445" s="242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ht="14.25" customHeight="1">
      <c r="A446" s="240"/>
      <c r="B446" s="241"/>
      <c r="C446" s="240"/>
      <c r="D446" s="242"/>
      <c r="E446" s="242"/>
      <c r="F446" s="242"/>
      <c r="G446" s="242"/>
      <c r="H446" s="242"/>
      <c r="I446" s="242"/>
      <c r="J446" s="242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ht="14.25" customHeight="1">
      <c r="A447" s="240"/>
      <c r="B447" s="241"/>
      <c r="C447" s="240"/>
      <c r="D447" s="242"/>
      <c r="E447" s="242"/>
      <c r="F447" s="242"/>
      <c r="G447" s="242"/>
      <c r="H447" s="242"/>
      <c r="I447" s="242"/>
      <c r="J447" s="242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ht="14.25" customHeight="1">
      <c r="A448" s="240"/>
      <c r="B448" s="241"/>
      <c r="C448" s="240"/>
      <c r="D448" s="242"/>
      <c r="E448" s="242"/>
      <c r="F448" s="242"/>
      <c r="G448" s="242"/>
      <c r="H448" s="242"/>
      <c r="I448" s="242"/>
      <c r="J448" s="242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ht="14.25" customHeight="1">
      <c r="A449" s="240"/>
      <c r="B449" s="241"/>
      <c r="C449" s="240"/>
      <c r="D449" s="242"/>
      <c r="E449" s="242"/>
      <c r="F449" s="242"/>
      <c r="G449" s="242"/>
      <c r="H449" s="242"/>
      <c r="I449" s="242"/>
      <c r="J449" s="242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ht="14.25" customHeight="1">
      <c r="A450" s="240"/>
      <c r="B450" s="241"/>
      <c r="C450" s="240"/>
      <c r="D450" s="242"/>
      <c r="E450" s="242"/>
      <c r="F450" s="242"/>
      <c r="G450" s="242"/>
      <c r="H450" s="242"/>
      <c r="I450" s="242"/>
      <c r="J450" s="242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ht="14.25" customHeight="1">
      <c r="A451" s="240"/>
      <c r="B451" s="241"/>
      <c r="C451" s="240"/>
      <c r="D451" s="242"/>
      <c r="E451" s="242"/>
      <c r="F451" s="242"/>
      <c r="G451" s="242"/>
      <c r="H451" s="242"/>
      <c r="I451" s="242"/>
      <c r="J451" s="242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ht="14.25" customHeight="1">
      <c r="A452" s="240"/>
      <c r="B452" s="241"/>
      <c r="C452" s="240"/>
      <c r="D452" s="242"/>
      <c r="E452" s="242"/>
      <c r="F452" s="242"/>
      <c r="G452" s="242"/>
      <c r="H452" s="242"/>
      <c r="I452" s="242"/>
      <c r="J452" s="242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ht="14.25" customHeight="1">
      <c r="A453" s="240"/>
      <c r="B453" s="241"/>
      <c r="C453" s="240"/>
      <c r="D453" s="242"/>
      <c r="E453" s="242"/>
      <c r="F453" s="242"/>
      <c r="G453" s="242"/>
      <c r="H453" s="242"/>
      <c r="I453" s="242"/>
      <c r="J453" s="242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ht="14.25" customHeight="1">
      <c r="A454" s="240"/>
      <c r="B454" s="241"/>
      <c r="C454" s="240"/>
      <c r="D454" s="242"/>
      <c r="E454" s="242"/>
      <c r="F454" s="242"/>
      <c r="G454" s="242"/>
      <c r="H454" s="242"/>
      <c r="I454" s="242"/>
      <c r="J454" s="242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ht="14.25" customHeight="1">
      <c r="A455" s="240"/>
      <c r="B455" s="241"/>
      <c r="C455" s="240"/>
      <c r="D455" s="242"/>
      <c r="E455" s="242"/>
      <c r="F455" s="242"/>
      <c r="G455" s="242"/>
      <c r="H455" s="242"/>
      <c r="I455" s="242"/>
      <c r="J455" s="242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ht="14.25" customHeight="1">
      <c r="A456" s="240"/>
      <c r="B456" s="241"/>
      <c r="C456" s="240"/>
      <c r="D456" s="242"/>
      <c r="E456" s="242"/>
      <c r="F456" s="242"/>
      <c r="G456" s="242"/>
      <c r="H456" s="242"/>
      <c r="I456" s="242"/>
      <c r="J456" s="242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ht="14.25" customHeight="1">
      <c r="A457" s="240"/>
      <c r="B457" s="241"/>
      <c r="C457" s="240"/>
      <c r="D457" s="242"/>
      <c r="E457" s="242"/>
      <c r="F457" s="242"/>
      <c r="G457" s="242"/>
      <c r="H457" s="242"/>
      <c r="I457" s="242"/>
      <c r="J457" s="242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ht="14.25" customHeight="1">
      <c r="A458" s="240"/>
      <c r="B458" s="241"/>
      <c r="C458" s="240"/>
      <c r="D458" s="242"/>
      <c r="E458" s="242"/>
      <c r="F458" s="242"/>
      <c r="G458" s="242"/>
      <c r="H458" s="242"/>
      <c r="I458" s="242"/>
      <c r="J458" s="242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ht="14.25" customHeight="1">
      <c r="A459" s="240"/>
      <c r="B459" s="241"/>
      <c r="C459" s="240"/>
      <c r="D459" s="242"/>
      <c r="E459" s="242"/>
      <c r="F459" s="242"/>
      <c r="G459" s="242"/>
      <c r="H459" s="242"/>
      <c r="I459" s="242"/>
      <c r="J459" s="242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ht="14.25" customHeight="1">
      <c r="A460" s="240"/>
      <c r="B460" s="241"/>
      <c r="C460" s="240"/>
      <c r="D460" s="242"/>
      <c r="E460" s="242"/>
      <c r="F460" s="242"/>
      <c r="G460" s="242"/>
      <c r="H460" s="242"/>
      <c r="I460" s="242"/>
      <c r="J460" s="242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ht="14.25" customHeight="1">
      <c r="A461" s="240"/>
      <c r="B461" s="241"/>
      <c r="C461" s="240"/>
      <c r="D461" s="242"/>
      <c r="E461" s="242"/>
      <c r="F461" s="242"/>
      <c r="G461" s="242"/>
      <c r="H461" s="242"/>
      <c r="I461" s="242"/>
      <c r="J461" s="242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ht="14.25" customHeight="1">
      <c r="A462" s="240"/>
      <c r="B462" s="241"/>
      <c r="C462" s="240"/>
      <c r="D462" s="242"/>
      <c r="E462" s="242"/>
      <c r="F462" s="242"/>
      <c r="G462" s="242"/>
      <c r="H462" s="242"/>
      <c r="I462" s="242"/>
      <c r="J462" s="242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ht="14.25" customHeight="1">
      <c r="A463" s="240"/>
      <c r="B463" s="241"/>
      <c r="C463" s="240"/>
      <c r="D463" s="242"/>
      <c r="E463" s="242"/>
      <c r="F463" s="242"/>
      <c r="G463" s="242"/>
      <c r="H463" s="242"/>
      <c r="I463" s="242"/>
      <c r="J463" s="242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ht="14.25" customHeight="1">
      <c r="A464" s="240"/>
      <c r="B464" s="241"/>
      <c r="C464" s="240"/>
      <c r="D464" s="242"/>
      <c r="E464" s="242"/>
      <c r="F464" s="242"/>
      <c r="G464" s="242"/>
      <c r="H464" s="242"/>
      <c r="I464" s="242"/>
      <c r="J464" s="242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ht="14.25" customHeight="1">
      <c r="A465" s="240"/>
      <c r="B465" s="241"/>
      <c r="C465" s="240"/>
      <c r="D465" s="242"/>
      <c r="E465" s="242"/>
      <c r="F465" s="242"/>
      <c r="G465" s="242"/>
      <c r="H465" s="242"/>
      <c r="I465" s="242"/>
      <c r="J465" s="242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ht="14.25" customHeight="1">
      <c r="A466" s="240"/>
      <c r="B466" s="241"/>
      <c r="C466" s="240"/>
      <c r="D466" s="242"/>
      <c r="E466" s="242"/>
      <c r="F466" s="242"/>
      <c r="G466" s="242"/>
      <c r="H466" s="242"/>
      <c r="I466" s="242"/>
      <c r="J466" s="242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ht="14.25" customHeight="1">
      <c r="A467" s="240"/>
      <c r="B467" s="241"/>
      <c r="C467" s="240"/>
      <c r="D467" s="242"/>
      <c r="E467" s="242"/>
      <c r="F467" s="242"/>
      <c r="G467" s="242"/>
      <c r="H467" s="242"/>
      <c r="I467" s="242"/>
      <c r="J467" s="242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ht="14.25" customHeight="1">
      <c r="A468" s="240"/>
      <c r="B468" s="241"/>
      <c r="C468" s="240"/>
      <c r="D468" s="242"/>
      <c r="E468" s="242"/>
      <c r="F468" s="242"/>
      <c r="G468" s="242"/>
      <c r="H468" s="242"/>
      <c r="I468" s="242"/>
      <c r="J468" s="242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ht="14.25" customHeight="1">
      <c r="A469" s="240"/>
      <c r="B469" s="241"/>
      <c r="C469" s="240"/>
      <c r="D469" s="242"/>
      <c r="E469" s="242"/>
      <c r="F469" s="242"/>
      <c r="G469" s="242"/>
      <c r="H469" s="242"/>
      <c r="I469" s="242"/>
      <c r="J469" s="242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ht="14.25" customHeight="1">
      <c r="A470" s="240"/>
      <c r="B470" s="241"/>
      <c r="C470" s="240"/>
      <c r="D470" s="242"/>
      <c r="E470" s="242"/>
      <c r="F470" s="242"/>
      <c r="G470" s="242"/>
      <c r="H470" s="242"/>
      <c r="I470" s="242"/>
      <c r="J470" s="242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ht="14.25" customHeight="1">
      <c r="A471" s="240"/>
      <c r="B471" s="241"/>
      <c r="C471" s="240"/>
      <c r="D471" s="242"/>
      <c r="E471" s="242"/>
      <c r="F471" s="242"/>
      <c r="G471" s="242"/>
      <c r="H471" s="242"/>
      <c r="I471" s="242"/>
      <c r="J471" s="242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ht="14.25" customHeight="1">
      <c r="A472" s="240"/>
      <c r="B472" s="241"/>
      <c r="C472" s="240"/>
      <c r="D472" s="242"/>
      <c r="E472" s="242"/>
      <c r="F472" s="242"/>
      <c r="G472" s="242"/>
      <c r="H472" s="242"/>
      <c r="I472" s="242"/>
      <c r="J472" s="242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ht="14.25" customHeight="1">
      <c r="A473" s="240"/>
      <c r="B473" s="241"/>
      <c r="C473" s="240"/>
      <c r="D473" s="242"/>
      <c r="E473" s="242"/>
      <c r="F473" s="242"/>
      <c r="G473" s="242"/>
      <c r="H473" s="242"/>
      <c r="I473" s="242"/>
      <c r="J473" s="242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ht="14.25" customHeight="1">
      <c r="A474" s="240"/>
      <c r="B474" s="241"/>
      <c r="C474" s="240"/>
      <c r="D474" s="242"/>
      <c r="E474" s="242"/>
      <c r="F474" s="242"/>
      <c r="G474" s="242"/>
      <c r="H474" s="242"/>
      <c r="I474" s="242"/>
      <c r="J474" s="242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ht="14.25" customHeight="1">
      <c r="A475" s="240"/>
      <c r="B475" s="241"/>
      <c r="C475" s="240"/>
      <c r="D475" s="242"/>
      <c r="E475" s="242"/>
      <c r="F475" s="242"/>
      <c r="G475" s="242"/>
      <c r="H475" s="242"/>
      <c r="I475" s="242"/>
      <c r="J475" s="242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ht="14.25" customHeight="1">
      <c r="A476" s="240"/>
      <c r="B476" s="241"/>
      <c r="C476" s="240"/>
      <c r="D476" s="242"/>
      <c r="E476" s="242"/>
      <c r="F476" s="242"/>
      <c r="G476" s="242"/>
      <c r="H476" s="242"/>
      <c r="I476" s="242"/>
      <c r="J476" s="242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ht="14.25" customHeight="1">
      <c r="A477" s="240"/>
      <c r="B477" s="241"/>
      <c r="C477" s="240"/>
      <c r="D477" s="242"/>
      <c r="E477" s="242"/>
      <c r="F477" s="242"/>
      <c r="G477" s="242"/>
      <c r="H477" s="242"/>
      <c r="I477" s="242"/>
      <c r="J477" s="242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ht="14.25" customHeight="1">
      <c r="A478" s="240"/>
      <c r="B478" s="241"/>
      <c r="C478" s="240"/>
      <c r="D478" s="242"/>
      <c r="E478" s="242"/>
      <c r="F478" s="242"/>
      <c r="G478" s="242"/>
      <c r="H478" s="242"/>
      <c r="I478" s="242"/>
      <c r="J478" s="242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ht="14.25" customHeight="1">
      <c r="A479" s="240"/>
      <c r="B479" s="241"/>
      <c r="C479" s="240"/>
      <c r="D479" s="242"/>
      <c r="E479" s="242"/>
      <c r="F479" s="242"/>
      <c r="G479" s="242"/>
      <c r="H479" s="242"/>
      <c r="I479" s="242"/>
      <c r="J479" s="242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ht="14.25" customHeight="1">
      <c r="A480" s="240"/>
      <c r="B480" s="241"/>
      <c r="C480" s="240"/>
      <c r="D480" s="242"/>
      <c r="E480" s="242"/>
      <c r="F480" s="242"/>
      <c r="G480" s="242"/>
      <c r="H480" s="242"/>
      <c r="I480" s="242"/>
      <c r="J480" s="242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ht="14.25" customHeight="1">
      <c r="A481" s="240"/>
      <c r="B481" s="241"/>
      <c r="C481" s="240"/>
      <c r="D481" s="242"/>
      <c r="E481" s="242"/>
      <c r="F481" s="242"/>
      <c r="G481" s="242"/>
      <c r="H481" s="242"/>
      <c r="I481" s="242"/>
      <c r="J481" s="242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ht="14.25" customHeight="1">
      <c r="A482" s="240"/>
      <c r="B482" s="241"/>
      <c r="C482" s="240"/>
      <c r="D482" s="242"/>
      <c r="E482" s="242"/>
      <c r="F482" s="242"/>
      <c r="G482" s="242"/>
      <c r="H482" s="242"/>
      <c r="I482" s="242"/>
      <c r="J482" s="242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ht="14.25" customHeight="1">
      <c r="A483" s="240"/>
      <c r="B483" s="241"/>
      <c r="C483" s="240"/>
      <c r="D483" s="242"/>
      <c r="E483" s="242"/>
      <c r="F483" s="242"/>
      <c r="G483" s="242"/>
      <c r="H483" s="242"/>
      <c r="I483" s="242"/>
      <c r="J483" s="242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ht="14.25" customHeight="1">
      <c r="A484" s="240"/>
      <c r="B484" s="241"/>
      <c r="C484" s="240"/>
      <c r="D484" s="242"/>
      <c r="E484" s="242"/>
      <c r="F484" s="242"/>
      <c r="G484" s="242"/>
      <c r="H484" s="242"/>
      <c r="I484" s="242"/>
      <c r="J484" s="242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ht="14.25" customHeight="1">
      <c r="A485" s="240"/>
      <c r="B485" s="241"/>
      <c r="C485" s="240"/>
      <c r="D485" s="242"/>
      <c r="E485" s="242"/>
      <c r="F485" s="242"/>
      <c r="G485" s="242"/>
      <c r="H485" s="242"/>
      <c r="I485" s="242"/>
      <c r="J485" s="242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ht="14.25" customHeight="1">
      <c r="A486" s="240"/>
      <c r="B486" s="241"/>
      <c r="C486" s="240"/>
      <c r="D486" s="242"/>
      <c r="E486" s="242"/>
      <c r="F486" s="242"/>
      <c r="G486" s="242"/>
      <c r="H486" s="242"/>
      <c r="I486" s="242"/>
      <c r="J486" s="242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ht="14.25" customHeight="1">
      <c r="A487" s="240"/>
      <c r="B487" s="241"/>
      <c r="C487" s="240"/>
      <c r="D487" s="242"/>
      <c r="E487" s="242"/>
      <c r="F487" s="242"/>
      <c r="G487" s="242"/>
      <c r="H487" s="242"/>
      <c r="I487" s="242"/>
      <c r="J487" s="242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ht="14.25" customHeight="1">
      <c r="A488" s="240"/>
      <c r="B488" s="241"/>
      <c r="C488" s="240"/>
      <c r="D488" s="242"/>
      <c r="E488" s="242"/>
      <c r="F488" s="242"/>
      <c r="G488" s="242"/>
      <c r="H488" s="242"/>
      <c r="I488" s="242"/>
      <c r="J488" s="242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ht="14.25" customHeight="1">
      <c r="A489" s="240"/>
      <c r="B489" s="241"/>
      <c r="C489" s="240"/>
      <c r="D489" s="242"/>
      <c r="E489" s="242"/>
      <c r="F489" s="242"/>
      <c r="G489" s="242"/>
      <c r="H489" s="242"/>
      <c r="I489" s="242"/>
      <c r="J489" s="242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ht="14.25" customHeight="1">
      <c r="A490" s="240"/>
      <c r="B490" s="241"/>
      <c r="C490" s="240"/>
      <c r="D490" s="242"/>
      <c r="E490" s="242"/>
      <c r="F490" s="242"/>
      <c r="G490" s="242"/>
      <c r="H490" s="242"/>
      <c r="I490" s="242"/>
      <c r="J490" s="242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ht="14.25" customHeight="1">
      <c r="A491" s="240"/>
      <c r="B491" s="241"/>
      <c r="C491" s="240"/>
      <c r="D491" s="242"/>
      <c r="E491" s="242"/>
      <c r="F491" s="242"/>
      <c r="G491" s="242"/>
      <c r="H491" s="242"/>
      <c r="I491" s="242"/>
      <c r="J491" s="242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ht="14.25" customHeight="1">
      <c r="A492" s="240"/>
      <c r="B492" s="241"/>
      <c r="C492" s="240"/>
      <c r="D492" s="242"/>
      <c r="E492" s="242"/>
      <c r="F492" s="242"/>
      <c r="G492" s="242"/>
      <c r="H492" s="242"/>
      <c r="I492" s="242"/>
      <c r="J492" s="242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ht="14.25" customHeight="1">
      <c r="A493" s="240"/>
      <c r="B493" s="241"/>
      <c r="C493" s="240"/>
      <c r="D493" s="242"/>
      <c r="E493" s="242"/>
      <c r="F493" s="242"/>
      <c r="G493" s="242"/>
      <c r="H493" s="242"/>
      <c r="I493" s="242"/>
      <c r="J493" s="242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ht="14.25" customHeight="1">
      <c r="A494" s="240"/>
      <c r="B494" s="241"/>
      <c r="C494" s="240"/>
      <c r="D494" s="242"/>
      <c r="E494" s="242"/>
      <c r="F494" s="242"/>
      <c r="G494" s="242"/>
      <c r="H494" s="242"/>
      <c r="I494" s="242"/>
      <c r="J494" s="242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ht="14.25" customHeight="1">
      <c r="A495" s="240"/>
      <c r="B495" s="241"/>
      <c r="C495" s="240"/>
      <c r="D495" s="242"/>
      <c r="E495" s="242"/>
      <c r="F495" s="242"/>
      <c r="G495" s="242"/>
      <c r="H495" s="242"/>
      <c r="I495" s="242"/>
      <c r="J495" s="242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ht="14.25" customHeight="1">
      <c r="A496" s="240"/>
      <c r="B496" s="241"/>
      <c r="C496" s="240"/>
      <c r="D496" s="242"/>
      <c r="E496" s="242"/>
      <c r="F496" s="242"/>
      <c r="G496" s="242"/>
      <c r="H496" s="242"/>
      <c r="I496" s="242"/>
      <c r="J496" s="242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ht="14.25" customHeight="1">
      <c r="A497" s="240"/>
      <c r="B497" s="241"/>
      <c r="C497" s="240"/>
      <c r="D497" s="242"/>
      <c r="E497" s="242"/>
      <c r="F497" s="242"/>
      <c r="G497" s="242"/>
      <c r="H497" s="242"/>
      <c r="I497" s="242"/>
      <c r="J497" s="242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ht="14.25" customHeight="1">
      <c r="A498" s="240"/>
      <c r="B498" s="241"/>
      <c r="C498" s="240"/>
      <c r="D498" s="242"/>
      <c r="E498" s="242"/>
      <c r="F498" s="242"/>
      <c r="G498" s="242"/>
      <c r="H498" s="242"/>
      <c r="I498" s="242"/>
      <c r="J498" s="242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ht="14.25" customHeight="1">
      <c r="A499" s="240"/>
      <c r="B499" s="241"/>
      <c r="C499" s="240"/>
      <c r="D499" s="242"/>
      <c r="E499" s="242"/>
      <c r="F499" s="242"/>
      <c r="G499" s="242"/>
      <c r="H499" s="242"/>
      <c r="I499" s="242"/>
      <c r="J499" s="242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ht="14.25" customHeight="1">
      <c r="A500" s="240"/>
      <c r="B500" s="241"/>
      <c r="C500" s="240"/>
      <c r="D500" s="242"/>
      <c r="E500" s="242"/>
      <c r="F500" s="242"/>
      <c r="G500" s="242"/>
      <c r="H500" s="242"/>
      <c r="I500" s="242"/>
      <c r="J500" s="242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ht="14.25" customHeight="1">
      <c r="A501" s="240"/>
      <c r="B501" s="241"/>
      <c r="C501" s="240"/>
      <c r="D501" s="242"/>
      <c r="E501" s="242"/>
      <c r="F501" s="242"/>
      <c r="G501" s="242"/>
      <c r="H501" s="242"/>
      <c r="I501" s="242"/>
      <c r="J501" s="242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ht="14.25" customHeight="1">
      <c r="A502" s="240"/>
      <c r="B502" s="241"/>
      <c r="C502" s="240"/>
      <c r="D502" s="242"/>
      <c r="E502" s="242"/>
      <c r="F502" s="242"/>
      <c r="G502" s="242"/>
      <c r="H502" s="242"/>
      <c r="I502" s="242"/>
      <c r="J502" s="242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ht="14.25" customHeight="1">
      <c r="A503" s="240"/>
      <c r="B503" s="241"/>
      <c r="C503" s="240"/>
      <c r="D503" s="242"/>
      <c r="E503" s="242"/>
      <c r="F503" s="242"/>
      <c r="G503" s="242"/>
      <c r="H503" s="242"/>
      <c r="I503" s="242"/>
      <c r="J503" s="242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ht="14.25" customHeight="1">
      <c r="A504" s="240"/>
      <c r="B504" s="241"/>
      <c r="C504" s="240"/>
      <c r="D504" s="242"/>
      <c r="E504" s="242"/>
      <c r="F504" s="242"/>
      <c r="G504" s="242"/>
      <c r="H504" s="242"/>
      <c r="I504" s="242"/>
      <c r="J504" s="242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ht="14.25" customHeight="1">
      <c r="A505" s="240"/>
      <c r="B505" s="241"/>
      <c r="C505" s="240"/>
      <c r="D505" s="242"/>
      <c r="E505" s="242"/>
      <c r="F505" s="242"/>
      <c r="G505" s="242"/>
      <c r="H505" s="242"/>
      <c r="I505" s="242"/>
      <c r="J505" s="242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ht="14.25" customHeight="1">
      <c r="A506" s="240"/>
      <c r="B506" s="241"/>
      <c r="C506" s="240"/>
      <c r="D506" s="242"/>
      <c r="E506" s="242"/>
      <c r="F506" s="242"/>
      <c r="G506" s="242"/>
      <c r="H506" s="242"/>
      <c r="I506" s="242"/>
      <c r="J506" s="242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ht="14.25" customHeight="1">
      <c r="A507" s="240"/>
      <c r="B507" s="241"/>
      <c r="C507" s="240"/>
      <c r="D507" s="242"/>
      <c r="E507" s="242"/>
      <c r="F507" s="242"/>
      <c r="G507" s="242"/>
      <c r="H507" s="242"/>
      <c r="I507" s="242"/>
      <c r="J507" s="242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ht="14.25" customHeight="1">
      <c r="A508" s="240"/>
      <c r="B508" s="241"/>
      <c r="C508" s="240"/>
      <c r="D508" s="242"/>
      <c r="E508" s="242"/>
      <c r="F508" s="242"/>
      <c r="G508" s="242"/>
      <c r="H508" s="242"/>
      <c r="I508" s="242"/>
      <c r="J508" s="242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ht="14.25" customHeight="1">
      <c r="A509" s="240"/>
      <c r="B509" s="241"/>
      <c r="C509" s="240"/>
      <c r="D509" s="242"/>
      <c r="E509" s="242"/>
      <c r="F509" s="242"/>
      <c r="G509" s="242"/>
      <c r="H509" s="242"/>
      <c r="I509" s="242"/>
      <c r="J509" s="242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ht="14.25" customHeight="1">
      <c r="A510" s="240"/>
      <c r="B510" s="241"/>
      <c r="C510" s="240"/>
      <c r="D510" s="242"/>
      <c r="E510" s="242"/>
      <c r="F510" s="242"/>
      <c r="G510" s="242"/>
      <c r="H510" s="242"/>
      <c r="I510" s="242"/>
      <c r="J510" s="242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ht="14.25" customHeight="1">
      <c r="A511" s="240"/>
      <c r="B511" s="241"/>
      <c r="C511" s="240"/>
      <c r="D511" s="242"/>
      <c r="E511" s="242"/>
      <c r="F511" s="242"/>
      <c r="G511" s="242"/>
      <c r="H511" s="242"/>
      <c r="I511" s="242"/>
      <c r="J511" s="242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ht="14.25" customHeight="1">
      <c r="A512" s="240"/>
      <c r="B512" s="241"/>
      <c r="C512" s="240"/>
      <c r="D512" s="242"/>
      <c r="E512" s="242"/>
      <c r="F512" s="242"/>
      <c r="G512" s="242"/>
      <c r="H512" s="242"/>
      <c r="I512" s="242"/>
      <c r="J512" s="242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ht="14.25" customHeight="1">
      <c r="A513" s="240"/>
      <c r="B513" s="241"/>
      <c r="C513" s="240"/>
      <c r="D513" s="242"/>
      <c r="E513" s="242"/>
      <c r="F513" s="242"/>
      <c r="G513" s="242"/>
      <c r="H513" s="242"/>
      <c r="I513" s="242"/>
      <c r="J513" s="242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ht="14.25" customHeight="1">
      <c r="A514" s="240"/>
      <c r="B514" s="241"/>
      <c r="C514" s="240"/>
      <c r="D514" s="242"/>
      <c r="E514" s="242"/>
      <c r="F514" s="242"/>
      <c r="G514" s="242"/>
      <c r="H514" s="242"/>
      <c r="I514" s="242"/>
      <c r="J514" s="242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ht="14.25" customHeight="1">
      <c r="A515" s="240"/>
      <c r="B515" s="241"/>
      <c r="C515" s="240"/>
      <c r="D515" s="242"/>
      <c r="E515" s="242"/>
      <c r="F515" s="242"/>
      <c r="G515" s="242"/>
      <c r="H515" s="242"/>
      <c r="I515" s="242"/>
      <c r="J515" s="242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ht="14.25" customHeight="1">
      <c r="A516" s="240"/>
      <c r="B516" s="241"/>
      <c r="C516" s="240"/>
      <c r="D516" s="242"/>
      <c r="E516" s="242"/>
      <c r="F516" s="242"/>
      <c r="G516" s="242"/>
      <c r="H516" s="242"/>
      <c r="I516" s="242"/>
      <c r="J516" s="242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ht="14.25" customHeight="1">
      <c r="A517" s="240"/>
      <c r="B517" s="241"/>
      <c r="C517" s="240"/>
      <c r="D517" s="242"/>
      <c r="E517" s="242"/>
      <c r="F517" s="242"/>
      <c r="G517" s="242"/>
      <c r="H517" s="242"/>
      <c r="I517" s="242"/>
      <c r="J517" s="242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ht="14.25" customHeight="1">
      <c r="A518" s="240"/>
      <c r="B518" s="241"/>
      <c r="C518" s="240"/>
      <c r="D518" s="242"/>
      <c r="E518" s="242"/>
      <c r="F518" s="242"/>
      <c r="G518" s="242"/>
      <c r="H518" s="242"/>
      <c r="I518" s="242"/>
      <c r="J518" s="242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ht="14.25" customHeight="1">
      <c r="A519" s="240"/>
      <c r="B519" s="241"/>
      <c r="C519" s="240"/>
      <c r="D519" s="242"/>
      <c r="E519" s="242"/>
      <c r="F519" s="242"/>
      <c r="G519" s="242"/>
      <c r="H519" s="242"/>
      <c r="I519" s="242"/>
      <c r="J519" s="242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ht="14.25" customHeight="1">
      <c r="A520" s="240"/>
      <c r="B520" s="241"/>
      <c r="C520" s="240"/>
      <c r="D520" s="242"/>
      <c r="E520" s="242"/>
      <c r="F520" s="242"/>
      <c r="G520" s="242"/>
      <c r="H520" s="242"/>
      <c r="I520" s="242"/>
      <c r="J520" s="242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ht="14.25" customHeight="1">
      <c r="A521" s="240"/>
      <c r="B521" s="241"/>
      <c r="C521" s="240"/>
      <c r="D521" s="242"/>
      <c r="E521" s="242"/>
      <c r="F521" s="242"/>
      <c r="G521" s="242"/>
      <c r="H521" s="242"/>
      <c r="I521" s="242"/>
      <c r="J521" s="242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ht="14.25" customHeight="1">
      <c r="A522" s="240"/>
      <c r="B522" s="241"/>
      <c r="C522" s="240"/>
      <c r="D522" s="242"/>
      <c r="E522" s="242"/>
      <c r="F522" s="242"/>
      <c r="G522" s="242"/>
      <c r="H522" s="242"/>
      <c r="I522" s="242"/>
      <c r="J522" s="242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ht="14.25" customHeight="1">
      <c r="A523" s="240"/>
      <c r="B523" s="241"/>
      <c r="C523" s="240"/>
      <c r="D523" s="242"/>
      <c r="E523" s="242"/>
      <c r="F523" s="242"/>
      <c r="G523" s="242"/>
      <c r="H523" s="242"/>
      <c r="I523" s="242"/>
      <c r="J523" s="242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ht="14.25" customHeight="1">
      <c r="A524" s="240"/>
      <c r="B524" s="241"/>
      <c r="C524" s="240"/>
      <c r="D524" s="242"/>
      <c r="E524" s="242"/>
      <c r="F524" s="242"/>
      <c r="G524" s="242"/>
      <c r="H524" s="242"/>
      <c r="I524" s="242"/>
      <c r="J524" s="242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ht="14.25" customHeight="1">
      <c r="A525" s="240"/>
      <c r="B525" s="241"/>
      <c r="C525" s="240"/>
      <c r="D525" s="242"/>
      <c r="E525" s="242"/>
      <c r="F525" s="242"/>
      <c r="G525" s="242"/>
      <c r="H525" s="242"/>
      <c r="I525" s="242"/>
      <c r="J525" s="242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ht="14.25" customHeight="1">
      <c r="A526" s="240"/>
      <c r="B526" s="241"/>
      <c r="C526" s="240"/>
      <c r="D526" s="242"/>
      <c r="E526" s="242"/>
      <c r="F526" s="242"/>
      <c r="G526" s="242"/>
      <c r="H526" s="242"/>
      <c r="I526" s="242"/>
      <c r="J526" s="242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ht="14.25" customHeight="1">
      <c r="A527" s="240"/>
      <c r="B527" s="241"/>
      <c r="C527" s="240"/>
      <c r="D527" s="242"/>
      <c r="E527" s="242"/>
      <c r="F527" s="242"/>
      <c r="G527" s="242"/>
      <c r="H527" s="242"/>
      <c r="I527" s="242"/>
      <c r="J527" s="242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ht="14.25" customHeight="1">
      <c r="A528" s="240"/>
      <c r="B528" s="241"/>
      <c r="C528" s="240"/>
      <c r="D528" s="242"/>
      <c r="E528" s="242"/>
      <c r="F528" s="242"/>
      <c r="G528" s="242"/>
      <c r="H528" s="242"/>
      <c r="I528" s="242"/>
      <c r="J528" s="242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ht="14.25" customHeight="1">
      <c r="A529" s="240"/>
      <c r="B529" s="241"/>
      <c r="C529" s="240"/>
      <c r="D529" s="242"/>
      <c r="E529" s="242"/>
      <c r="F529" s="242"/>
      <c r="G529" s="242"/>
      <c r="H529" s="242"/>
      <c r="I529" s="242"/>
      <c r="J529" s="242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ht="14.25" customHeight="1">
      <c r="A530" s="240"/>
      <c r="B530" s="241"/>
      <c r="C530" s="240"/>
      <c r="D530" s="242"/>
      <c r="E530" s="242"/>
      <c r="F530" s="242"/>
      <c r="G530" s="242"/>
      <c r="H530" s="242"/>
      <c r="I530" s="242"/>
      <c r="J530" s="242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ht="14.25" customHeight="1">
      <c r="A531" s="240"/>
      <c r="B531" s="241"/>
      <c r="C531" s="240"/>
      <c r="D531" s="242"/>
      <c r="E531" s="242"/>
      <c r="F531" s="242"/>
      <c r="G531" s="242"/>
      <c r="H531" s="242"/>
      <c r="I531" s="242"/>
      <c r="J531" s="242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ht="14.25" customHeight="1">
      <c r="A532" s="240"/>
      <c r="B532" s="241"/>
      <c r="C532" s="240"/>
      <c r="D532" s="242"/>
      <c r="E532" s="242"/>
      <c r="F532" s="242"/>
      <c r="G532" s="242"/>
      <c r="H532" s="242"/>
      <c r="I532" s="242"/>
      <c r="J532" s="242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ht="14.25" customHeight="1">
      <c r="A533" s="240"/>
      <c r="B533" s="241"/>
      <c r="C533" s="240"/>
      <c r="D533" s="242"/>
      <c r="E533" s="242"/>
      <c r="F533" s="242"/>
      <c r="G533" s="242"/>
      <c r="H533" s="242"/>
      <c r="I533" s="242"/>
      <c r="J533" s="242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ht="14.25" customHeight="1">
      <c r="A534" s="240"/>
      <c r="B534" s="241"/>
      <c r="C534" s="240"/>
      <c r="D534" s="242"/>
      <c r="E534" s="242"/>
      <c r="F534" s="242"/>
      <c r="G534" s="242"/>
      <c r="H534" s="242"/>
      <c r="I534" s="242"/>
      <c r="J534" s="242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ht="14.25" customHeight="1">
      <c r="A535" s="240"/>
      <c r="B535" s="241"/>
      <c r="C535" s="240"/>
      <c r="D535" s="242"/>
      <c r="E535" s="242"/>
      <c r="F535" s="242"/>
      <c r="G535" s="242"/>
      <c r="H535" s="242"/>
      <c r="I535" s="242"/>
      <c r="J535" s="242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ht="14.25" customHeight="1">
      <c r="A536" s="240"/>
      <c r="B536" s="241"/>
      <c r="C536" s="240"/>
      <c r="D536" s="242"/>
      <c r="E536" s="242"/>
      <c r="F536" s="242"/>
      <c r="G536" s="242"/>
      <c r="H536" s="242"/>
      <c r="I536" s="242"/>
      <c r="J536" s="242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ht="14.25" customHeight="1">
      <c r="A537" s="240"/>
      <c r="B537" s="241"/>
      <c r="C537" s="240"/>
      <c r="D537" s="242"/>
      <c r="E537" s="242"/>
      <c r="F537" s="242"/>
      <c r="G537" s="242"/>
      <c r="H537" s="242"/>
      <c r="I537" s="242"/>
      <c r="J537" s="242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ht="14.25" customHeight="1">
      <c r="A538" s="240"/>
      <c r="B538" s="241"/>
      <c r="C538" s="240"/>
      <c r="D538" s="242"/>
      <c r="E538" s="242"/>
      <c r="F538" s="242"/>
      <c r="G538" s="242"/>
      <c r="H538" s="242"/>
      <c r="I538" s="242"/>
      <c r="J538" s="242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ht="14.25" customHeight="1">
      <c r="A539" s="240"/>
      <c r="B539" s="241"/>
      <c r="C539" s="240"/>
      <c r="D539" s="242"/>
      <c r="E539" s="242"/>
      <c r="F539" s="242"/>
      <c r="G539" s="242"/>
      <c r="H539" s="242"/>
      <c r="I539" s="242"/>
      <c r="J539" s="242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ht="14.25" customHeight="1">
      <c r="A540" s="240"/>
      <c r="B540" s="241"/>
      <c r="C540" s="240"/>
      <c r="D540" s="242"/>
      <c r="E540" s="242"/>
      <c r="F540" s="242"/>
      <c r="G540" s="242"/>
      <c r="H540" s="242"/>
      <c r="I540" s="242"/>
      <c r="J540" s="242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ht="14.25" customHeight="1">
      <c r="A541" s="240"/>
      <c r="B541" s="241"/>
      <c r="C541" s="240"/>
      <c r="D541" s="242"/>
      <c r="E541" s="242"/>
      <c r="F541" s="242"/>
      <c r="G541" s="242"/>
      <c r="H541" s="242"/>
      <c r="I541" s="242"/>
      <c r="J541" s="242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ht="14.25" customHeight="1">
      <c r="A542" s="240"/>
      <c r="B542" s="241"/>
      <c r="C542" s="240"/>
      <c r="D542" s="242"/>
      <c r="E542" s="242"/>
      <c r="F542" s="242"/>
      <c r="G542" s="242"/>
      <c r="H542" s="242"/>
      <c r="I542" s="242"/>
      <c r="J542" s="242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ht="14.25" customHeight="1">
      <c r="A543" s="240"/>
      <c r="B543" s="241"/>
      <c r="C543" s="240"/>
      <c r="D543" s="242"/>
      <c r="E543" s="242"/>
      <c r="F543" s="242"/>
      <c r="G543" s="242"/>
      <c r="H543" s="242"/>
      <c r="I543" s="242"/>
      <c r="J543" s="242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ht="14.25" customHeight="1">
      <c r="A544" s="240"/>
      <c r="B544" s="241"/>
      <c r="C544" s="240"/>
      <c r="D544" s="242"/>
      <c r="E544" s="242"/>
      <c r="F544" s="242"/>
      <c r="G544" s="242"/>
      <c r="H544" s="242"/>
      <c r="I544" s="242"/>
      <c r="J544" s="242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ht="14.25" customHeight="1">
      <c r="A545" s="240"/>
      <c r="B545" s="241"/>
      <c r="C545" s="240"/>
      <c r="D545" s="242"/>
      <c r="E545" s="242"/>
      <c r="F545" s="242"/>
      <c r="G545" s="242"/>
      <c r="H545" s="242"/>
      <c r="I545" s="242"/>
      <c r="J545" s="242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ht="14.25" customHeight="1">
      <c r="A546" s="240"/>
      <c r="B546" s="241"/>
      <c r="C546" s="240"/>
      <c r="D546" s="242"/>
      <c r="E546" s="242"/>
      <c r="F546" s="242"/>
      <c r="G546" s="242"/>
      <c r="H546" s="242"/>
      <c r="I546" s="242"/>
      <c r="J546" s="242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ht="14.25" customHeight="1">
      <c r="A547" s="240"/>
      <c r="B547" s="241"/>
      <c r="C547" s="240"/>
      <c r="D547" s="242"/>
      <c r="E547" s="242"/>
      <c r="F547" s="242"/>
      <c r="G547" s="242"/>
      <c r="H547" s="242"/>
      <c r="I547" s="242"/>
      <c r="J547" s="242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ht="14.25" customHeight="1">
      <c r="A548" s="240"/>
      <c r="B548" s="241"/>
      <c r="C548" s="240"/>
      <c r="D548" s="242"/>
      <c r="E548" s="242"/>
      <c r="F548" s="242"/>
      <c r="G548" s="242"/>
      <c r="H548" s="242"/>
      <c r="I548" s="242"/>
      <c r="J548" s="242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ht="14.25" customHeight="1">
      <c r="A549" s="240"/>
      <c r="B549" s="241"/>
      <c r="C549" s="240"/>
      <c r="D549" s="242"/>
      <c r="E549" s="242"/>
      <c r="F549" s="242"/>
      <c r="G549" s="242"/>
      <c r="H549" s="242"/>
      <c r="I549" s="242"/>
      <c r="J549" s="242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ht="14.25" customHeight="1">
      <c r="A550" s="240"/>
      <c r="B550" s="241"/>
      <c r="C550" s="240"/>
      <c r="D550" s="242"/>
      <c r="E550" s="242"/>
      <c r="F550" s="242"/>
      <c r="G550" s="242"/>
      <c r="H550" s="242"/>
      <c r="I550" s="242"/>
      <c r="J550" s="242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ht="14.25" customHeight="1">
      <c r="A551" s="240"/>
      <c r="B551" s="241"/>
      <c r="C551" s="240"/>
      <c r="D551" s="242"/>
      <c r="E551" s="242"/>
      <c r="F551" s="242"/>
      <c r="G551" s="242"/>
      <c r="H551" s="242"/>
      <c r="I551" s="242"/>
      <c r="J551" s="242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ht="14.25" customHeight="1">
      <c r="A552" s="240"/>
      <c r="B552" s="241"/>
      <c r="C552" s="240"/>
      <c r="D552" s="242"/>
      <c r="E552" s="242"/>
      <c r="F552" s="242"/>
      <c r="G552" s="242"/>
      <c r="H552" s="242"/>
      <c r="I552" s="242"/>
      <c r="J552" s="242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ht="14.25" customHeight="1">
      <c r="A553" s="240"/>
      <c r="B553" s="241"/>
      <c r="C553" s="240"/>
      <c r="D553" s="242"/>
      <c r="E553" s="242"/>
      <c r="F553" s="242"/>
      <c r="G553" s="242"/>
      <c r="H553" s="242"/>
      <c r="I553" s="242"/>
      <c r="J553" s="242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ht="14.25" customHeight="1">
      <c r="A554" s="240"/>
      <c r="B554" s="241"/>
      <c r="C554" s="240"/>
      <c r="D554" s="242"/>
      <c r="E554" s="242"/>
      <c r="F554" s="242"/>
      <c r="G554" s="242"/>
      <c r="H554" s="242"/>
      <c r="I554" s="242"/>
      <c r="J554" s="242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ht="14.25" customHeight="1">
      <c r="A555" s="240"/>
      <c r="B555" s="241"/>
      <c r="C555" s="240"/>
      <c r="D555" s="242"/>
      <c r="E555" s="242"/>
      <c r="F555" s="242"/>
      <c r="G555" s="242"/>
      <c r="H555" s="242"/>
      <c r="I555" s="242"/>
      <c r="J555" s="242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ht="14.25" customHeight="1">
      <c r="A556" s="240"/>
      <c r="B556" s="241"/>
      <c r="C556" s="240"/>
      <c r="D556" s="242"/>
      <c r="E556" s="242"/>
      <c r="F556" s="242"/>
      <c r="G556" s="242"/>
      <c r="H556" s="242"/>
      <c r="I556" s="242"/>
      <c r="J556" s="242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ht="14.25" customHeight="1">
      <c r="A557" s="240"/>
      <c r="B557" s="241"/>
      <c r="C557" s="240"/>
      <c r="D557" s="242"/>
      <c r="E557" s="242"/>
      <c r="F557" s="242"/>
      <c r="G557" s="242"/>
      <c r="H557" s="242"/>
      <c r="I557" s="242"/>
      <c r="J557" s="242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ht="14.25" customHeight="1">
      <c r="A558" s="240"/>
      <c r="B558" s="241"/>
      <c r="C558" s="240"/>
      <c r="D558" s="242"/>
      <c r="E558" s="242"/>
      <c r="F558" s="242"/>
      <c r="G558" s="242"/>
      <c r="H558" s="242"/>
      <c r="I558" s="242"/>
      <c r="J558" s="242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ht="14.25" customHeight="1">
      <c r="A559" s="240"/>
      <c r="B559" s="241"/>
      <c r="C559" s="240"/>
      <c r="D559" s="242"/>
      <c r="E559" s="242"/>
      <c r="F559" s="242"/>
      <c r="G559" s="242"/>
      <c r="H559" s="242"/>
      <c r="I559" s="242"/>
      <c r="J559" s="242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ht="14.25" customHeight="1">
      <c r="A560" s="240"/>
      <c r="B560" s="241"/>
      <c r="C560" s="240"/>
      <c r="D560" s="242"/>
      <c r="E560" s="242"/>
      <c r="F560" s="242"/>
      <c r="G560" s="242"/>
      <c r="H560" s="242"/>
      <c r="I560" s="242"/>
      <c r="J560" s="242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ht="14.25" customHeight="1">
      <c r="A561" s="240"/>
      <c r="B561" s="241"/>
      <c r="C561" s="240"/>
      <c r="D561" s="242"/>
      <c r="E561" s="242"/>
      <c r="F561" s="242"/>
      <c r="G561" s="242"/>
      <c r="H561" s="242"/>
      <c r="I561" s="242"/>
      <c r="J561" s="242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ht="14.25" customHeight="1">
      <c r="A562" s="240"/>
      <c r="B562" s="241"/>
      <c r="C562" s="240"/>
      <c r="D562" s="242"/>
      <c r="E562" s="242"/>
      <c r="F562" s="242"/>
      <c r="G562" s="242"/>
      <c r="H562" s="242"/>
      <c r="I562" s="242"/>
      <c r="J562" s="242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ht="14.25" customHeight="1">
      <c r="A563" s="240"/>
      <c r="B563" s="241"/>
      <c r="C563" s="240"/>
      <c r="D563" s="242"/>
      <c r="E563" s="242"/>
      <c r="F563" s="242"/>
      <c r="G563" s="242"/>
      <c r="H563" s="242"/>
      <c r="I563" s="242"/>
      <c r="J563" s="242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ht="14.25" customHeight="1">
      <c r="A564" s="240"/>
      <c r="B564" s="241"/>
      <c r="C564" s="240"/>
      <c r="D564" s="242"/>
      <c r="E564" s="242"/>
      <c r="F564" s="242"/>
      <c r="G564" s="242"/>
      <c r="H564" s="242"/>
      <c r="I564" s="242"/>
      <c r="J564" s="242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ht="14.25" customHeight="1">
      <c r="A565" s="240"/>
      <c r="B565" s="241"/>
      <c r="C565" s="240"/>
      <c r="D565" s="242"/>
      <c r="E565" s="242"/>
      <c r="F565" s="242"/>
      <c r="G565" s="242"/>
      <c r="H565" s="242"/>
      <c r="I565" s="242"/>
      <c r="J565" s="242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ht="14.25" customHeight="1">
      <c r="A566" s="240"/>
      <c r="B566" s="241"/>
      <c r="C566" s="240"/>
      <c r="D566" s="242"/>
      <c r="E566" s="242"/>
      <c r="F566" s="242"/>
      <c r="G566" s="242"/>
      <c r="H566" s="242"/>
      <c r="I566" s="242"/>
      <c r="J566" s="242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ht="14.25" customHeight="1">
      <c r="A567" s="240"/>
      <c r="B567" s="241"/>
      <c r="C567" s="240"/>
      <c r="D567" s="242"/>
      <c r="E567" s="242"/>
      <c r="F567" s="242"/>
      <c r="G567" s="242"/>
      <c r="H567" s="242"/>
      <c r="I567" s="242"/>
      <c r="J567" s="242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ht="14.25" customHeight="1">
      <c r="A568" s="240"/>
      <c r="B568" s="241"/>
      <c r="C568" s="240"/>
      <c r="D568" s="242"/>
      <c r="E568" s="242"/>
      <c r="F568" s="242"/>
      <c r="G568" s="242"/>
      <c r="H568" s="242"/>
      <c r="I568" s="242"/>
      <c r="J568" s="242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ht="14.25" customHeight="1">
      <c r="A569" s="240"/>
      <c r="B569" s="241"/>
      <c r="C569" s="240"/>
      <c r="D569" s="242"/>
      <c r="E569" s="242"/>
      <c r="F569" s="242"/>
      <c r="G569" s="242"/>
      <c r="H569" s="242"/>
      <c r="I569" s="242"/>
      <c r="J569" s="242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ht="14.25" customHeight="1">
      <c r="A570" s="240"/>
      <c r="B570" s="241"/>
      <c r="C570" s="240"/>
      <c r="D570" s="242"/>
      <c r="E570" s="242"/>
      <c r="F570" s="242"/>
      <c r="G570" s="242"/>
      <c r="H570" s="242"/>
      <c r="I570" s="242"/>
      <c r="J570" s="242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ht="14.25" customHeight="1">
      <c r="A571" s="240"/>
      <c r="B571" s="241"/>
      <c r="C571" s="240"/>
      <c r="D571" s="242"/>
      <c r="E571" s="242"/>
      <c r="F571" s="242"/>
      <c r="G571" s="242"/>
      <c r="H571" s="242"/>
      <c r="I571" s="242"/>
      <c r="J571" s="242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ht="14.25" customHeight="1">
      <c r="A572" s="240"/>
      <c r="B572" s="241"/>
      <c r="C572" s="240"/>
      <c r="D572" s="242"/>
      <c r="E572" s="242"/>
      <c r="F572" s="242"/>
      <c r="G572" s="242"/>
      <c r="H572" s="242"/>
      <c r="I572" s="242"/>
      <c r="J572" s="242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ht="14.25" customHeight="1">
      <c r="A573" s="240"/>
      <c r="B573" s="241"/>
      <c r="C573" s="240"/>
      <c r="D573" s="242"/>
      <c r="E573" s="242"/>
      <c r="F573" s="242"/>
      <c r="G573" s="242"/>
      <c r="H573" s="242"/>
      <c r="I573" s="242"/>
      <c r="J573" s="242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ht="14.25" customHeight="1">
      <c r="A574" s="240"/>
      <c r="B574" s="241"/>
      <c r="C574" s="240"/>
      <c r="D574" s="242"/>
      <c r="E574" s="242"/>
      <c r="F574" s="242"/>
      <c r="G574" s="242"/>
      <c r="H574" s="242"/>
      <c r="I574" s="242"/>
      <c r="J574" s="242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ht="14.25" customHeight="1">
      <c r="A575" s="240"/>
      <c r="B575" s="241"/>
      <c r="C575" s="240"/>
      <c r="D575" s="242"/>
      <c r="E575" s="242"/>
      <c r="F575" s="242"/>
      <c r="G575" s="242"/>
      <c r="H575" s="242"/>
      <c r="I575" s="242"/>
      <c r="J575" s="242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ht="14.25" customHeight="1">
      <c r="A576" s="240"/>
      <c r="B576" s="241"/>
      <c r="C576" s="240"/>
      <c r="D576" s="242"/>
      <c r="E576" s="242"/>
      <c r="F576" s="242"/>
      <c r="G576" s="242"/>
      <c r="H576" s="242"/>
      <c r="I576" s="242"/>
      <c r="J576" s="242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ht="14.25" customHeight="1">
      <c r="A577" s="240"/>
      <c r="B577" s="241"/>
      <c r="C577" s="240"/>
      <c r="D577" s="242"/>
      <c r="E577" s="242"/>
      <c r="F577" s="242"/>
      <c r="G577" s="242"/>
      <c r="H577" s="242"/>
      <c r="I577" s="242"/>
      <c r="J577" s="242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ht="14.25" customHeight="1">
      <c r="A578" s="240"/>
      <c r="B578" s="241"/>
      <c r="C578" s="240"/>
      <c r="D578" s="242"/>
      <c r="E578" s="242"/>
      <c r="F578" s="242"/>
      <c r="G578" s="242"/>
      <c r="H578" s="242"/>
      <c r="I578" s="242"/>
      <c r="J578" s="242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ht="14.25" customHeight="1">
      <c r="A579" s="240"/>
      <c r="B579" s="241"/>
      <c r="C579" s="240"/>
      <c r="D579" s="242"/>
      <c r="E579" s="242"/>
      <c r="F579" s="242"/>
      <c r="G579" s="242"/>
      <c r="H579" s="242"/>
      <c r="I579" s="242"/>
      <c r="J579" s="242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ht="14.25" customHeight="1">
      <c r="A580" s="240"/>
      <c r="B580" s="241"/>
      <c r="C580" s="240"/>
      <c r="D580" s="242"/>
      <c r="E580" s="242"/>
      <c r="F580" s="242"/>
      <c r="G580" s="242"/>
      <c r="H580" s="242"/>
      <c r="I580" s="242"/>
      <c r="J580" s="242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ht="14.25" customHeight="1">
      <c r="A581" s="240"/>
      <c r="B581" s="241"/>
      <c r="C581" s="240"/>
      <c r="D581" s="242"/>
      <c r="E581" s="242"/>
      <c r="F581" s="242"/>
      <c r="G581" s="242"/>
      <c r="H581" s="242"/>
      <c r="I581" s="242"/>
      <c r="J581" s="242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ht="14.25" customHeight="1">
      <c r="A582" s="240"/>
      <c r="B582" s="241"/>
      <c r="C582" s="240"/>
      <c r="D582" s="242"/>
      <c r="E582" s="242"/>
      <c r="F582" s="242"/>
      <c r="G582" s="242"/>
      <c r="H582" s="242"/>
      <c r="I582" s="242"/>
      <c r="J582" s="242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ht="14.25" customHeight="1">
      <c r="A583" s="240"/>
      <c r="B583" s="241"/>
      <c r="C583" s="240"/>
      <c r="D583" s="242"/>
      <c r="E583" s="242"/>
      <c r="F583" s="242"/>
      <c r="G583" s="242"/>
      <c r="H583" s="242"/>
      <c r="I583" s="242"/>
      <c r="J583" s="242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ht="14.25" customHeight="1">
      <c r="A584" s="240"/>
      <c r="B584" s="241"/>
      <c r="C584" s="240"/>
      <c r="D584" s="242"/>
      <c r="E584" s="242"/>
      <c r="F584" s="242"/>
      <c r="G584" s="242"/>
      <c r="H584" s="242"/>
      <c r="I584" s="242"/>
      <c r="J584" s="242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ht="14.25" customHeight="1">
      <c r="A585" s="240"/>
      <c r="B585" s="241"/>
      <c r="C585" s="240"/>
      <c r="D585" s="242"/>
      <c r="E585" s="242"/>
      <c r="F585" s="242"/>
      <c r="G585" s="242"/>
      <c r="H585" s="242"/>
      <c r="I585" s="242"/>
      <c r="J585" s="242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ht="14.25" customHeight="1">
      <c r="A586" s="240"/>
      <c r="B586" s="241"/>
      <c r="C586" s="240"/>
      <c r="D586" s="242"/>
      <c r="E586" s="242"/>
      <c r="F586" s="242"/>
      <c r="G586" s="242"/>
      <c r="H586" s="242"/>
      <c r="I586" s="242"/>
      <c r="J586" s="242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ht="14.25" customHeight="1">
      <c r="A587" s="240"/>
      <c r="B587" s="241"/>
      <c r="C587" s="240"/>
      <c r="D587" s="242"/>
      <c r="E587" s="242"/>
      <c r="F587" s="242"/>
      <c r="G587" s="242"/>
      <c r="H587" s="242"/>
      <c r="I587" s="242"/>
      <c r="J587" s="242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ht="14.25" customHeight="1">
      <c r="A588" s="240"/>
      <c r="B588" s="241"/>
      <c r="C588" s="240"/>
      <c r="D588" s="242"/>
      <c r="E588" s="242"/>
      <c r="F588" s="242"/>
      <c r="G588" s="242"/>
      <c r="H588" s="242"/>
      <c r="I588" s="242"/>
      <c r="J588" s="242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ht="14.25" customHeight="1">
      <c r="A589" s="240"/>
      <c r="B589" s="241"/>
      <c r="C589" s="240"/>
      <c r="D589" s="242"/>
      <c r="E589" s="242"/>
      <c r="F589" s="242"/>
      <c r="G589" s="242"/>
      <c r="H589" s="242"/>
      <c r="I589" s="242"/>
      <c r="J589" s="242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ht="14.25" customHeight="1">
      <c r="A590" s="240"/>
      <c r="B590" s="241"/>
      <c r="C590" s="240"/>
      <c r="D590" s="242"/>
      <c r="E590" s="242"/>
      <c r="F590" s="242"/>
      <c r="G590" s="242"/>
      <c r="H590" s="242"/>
      <c r="I590" s="242"/>
      <c r="J590" s="242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ht="14.25" customHeight="1">
      <c r="A591" s="240"/>
      <c r="B591" s="241"/>
      <c r="C591" s="240"/>
      <c r="D591" s="242"/>
      <c r="E591" s="242"/>
      <c r="F591" s="242"/>
      <c r="G591" s="242"/>
      <c r="H591" s="242"/>
      <c r="I591" s="242"/>
      <c r="J591" s="242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ht="14.25" customHeight="1">
      <c r="A592" s="240"/>
      <c r="B592" s="241"/>
      <c r="C592" s="240"/>
      <c r="D592" s="242"/>
      <c r="E592" s="242"/>
      <c r="F592" s="242"/>
      <c r="G592" s="242"/>
      <c r="H592" s="242"/>
      <c r="I592" s="242"/>
      <c r="J592" s="242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ht="14.25" customHeight="1">
      <c r="A593" s="240"/>
      <c r="B593" s="241"/>
      <c r="C593" s="240"/>
      <c r="D593" s="242"/>
      <c r="E593" s="242"/>
      <c r="F593" s="242"/>
      <c r="G593" s="242"/>
      <c r="H593" s="242"/>
      <c r="I593" s="242"/>
      <c r="J593" s="242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ht="14.25" customHeight="1">
      <c r="A594" s="240"/>
      <c r="B594" s="241"/>
      <c r="C594" s="240"/>
      <c r="D594" s="242"/>
      <c r="E594" s="242"/>
      <c r="F594" s="242"/>
      <c r="G594" s="242"/>
      <c r="H594" s="242"/>
      <c r="I594" s="242"/>
      <c r="J594" s="242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ht="14.25" customHeight="1">
      <c r="A595" s="240"/>
      <c r="B595" s="241"/>
      <c r="C595" s="240"/>
      <c r="D595" s="242"/>
      <c r="E595" s="242"/>
      <c r="F595" s="242"/>
      <c r="G595" s="242"/>
      <c r="H595" s="242"/>
      <c r="I595" s="242"/>
      <c r="J595" s="242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ht="14.25" customHeight="1">
      <c r="A596" s="240"/>
      <c r="B596" s="241"/>
      <c r="C596" s="240"/>
      <c r="D596" s="242"/>
      <c r="E596" s="242"/>
      <c r="F596" s="242"/>
      <c r="G596" s="242"/>
      <c r="H596" s="242"/>
      <c r="I596" s="242"/>
      <c r="J596" s="242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ht="14.25" customHeight="1">
      <c r="A597" s="240"/>
      <c r="B597" s="241"/>
      <c r="C597" s="240"/>
      <c r="D597" s="242"/>
      <c r="E597" s="242"/>
      <c r="F597" s="242"/>
      <c r="G597" s="242"/>
      <c r="H597" s="242"/>
      <c r="I597" s="242"/>
      <c r="J597" s="242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ht="14.25" customHeight="1">
      <c r="A598" s="240"/>
      <c r="B598" s="241"/>
      <c r="C598" s="240"/>
      <c r="D598" s="242"/>
      <c r="E598" s="242"/>
      <c r="F598" s="242"/>
      <c r="G598" s="242"/>
      <c r="H598" s="242"/>
      <c r="I598" s="242"/>
      <c r="J598" s="242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ht="14.25" customHeight="1">
      <c r="A599" s="240"/>
      <c r="B599" s="241"/>
      <c r="C599" s="240"/>
      <c r="D599" s="242"/>
      <c r="E599" s="242"/>
      <c r="F599" s="242"/>
      <c r="G599" s="242"/>
      <c r="H599" s="242"/>
      <c r="I599" s="242"/>
      <c r="J599" s="242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ht="14.25" customHeight="1">
      <c r="A600" s="240"/>
      <c r="B600" s="241"/>
      <c r="C600" s="240"/>
      <c r="D600" s="242"/>
      <c r="E600" s="242"/>
      <c r="F600" s="242"/>
      <c r="G600" s="242"/>
      <c r="H600" s="242"/>
      <c r="I600" s="242"/>
      <c r="J600" s="242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ht="14.25" customHeight="1">
      <c r="A601" s="240"/>
      <c r="B601" s="241"/>
      <c r="C601" s="240"/>
      <c r="D601" s="242"/>
      <c r="E601" s="242"/>
      <c r="F601" s="242"/>
      <c r="G601" s="242"/>
      <c r="H601" s="242"/>
      <c r="I601" s="242"/>
      <c r="J601" s="242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ht="14.25" customHeight="1">
      <c r="A602" s="240"/>
      <c r="B602" s="241"/>
      <c r="C602" s="240"/>
      <c r="D602" s="242"/>
      <c r="E602" s="242"/>
      <c r="F602" s="242"/>
      <c r="G602" s="242"/>
      <c r="H602" s="242"/>
      <c r="I602" s="242"/>
      <c r="J602" s="242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ht="14.25" customHeight="1">
      <c r="A603" s="240"/>
      <c r="B603" s="241"/>
      <c r="C603" s="240"/>
      <c r="D603" s="242"/>
      <c r="E603" s="242"/>
      <c r="F603" s="242"/>
      <c r="G603" s="242"/>
      <c r="H603" s="242"/>
      <c r="I603" s="242"/>
      <c r="J603" s="242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ht="14.25" customHeight="1">
      <c r="A604" s="240"/>
      <c r="B604" s="241"/>
      <c r="C604" s="240"/>
      <c r="D604" s="242"/>
      <c r="E604" s="242"/>
      <c r="F604" s="242"/>
      <c r="G604" s="242"/>
      <c r="H604" s="242"/>
      <c r="I604" s="242"/>
      <c r="J604" s="242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ht="14.25" customHeight="1">
      <c r="A605" s="240"/>
      <c r="B605" s="241"/>
      <c r="C605" s="240"/>
      <c r="D605" s="242"/>
      <c r="E605" s="242"/>
      <c r="F605" s="242"/>
      <c r="G605" s="242"/>
      <c r="H605" s="242"/>
      <c r="I605" s="242"/>
      <c r="J605" s="242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ht="14.25" customHeight="1">
      <c r="A606" s="240"/>
      <c r="B606" s="241"/>
      <c r="C606" s="240"/>
      <c r="D606" s="242"/>
      <c r="E606" s="242"/>
      <c r="F606" s="242"/>
      <c r="G606" s="242"/>
      <c r="H606" s="242"/>
      <c r="I606" s="242"/>
      <c r="J606" s="242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ht="14.25" customHeight="1">
      <c r="A607" s="240"/>
      <c r="B607" s="241"/>
      <c r="C607" s="240"/>
      <c r="D607" s="242"/>
      <c r="E607" s="242"/>
      <c r="F607" s="242"/>
      <c r="G607" s="242"/>
      <c r="H607" s="242"/>
      <c r="I607" s="242"/>
      <c r="J607" s="242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ht="14.25" customHeight="1">
      <c r="A608" s="240"/>
      <c r="B608" s="241"/>
      <c r="C608" s="240"/>
      <c r="D608" s="242"/>
      <c r="E608" s="242"/>
      <c r="F608" s="242"/>
      <c r="G608" s="242"/>
      <c r="H608" s="242"/>
      <c r="I608" s="242"/>
      <c r="J608" s="242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ht="14.25" customHeight="1">
      <c r="A609" s="240"/>
      <c r="B609" s="241"/>
      <c r="C609" s="240"/>
      <c r="D609" s="242"/>
      <c r="E609" s="242"/>
      <c r="F609" s="242"/>
      <c r="G609" s="242"/>
      <c r="H609" s="242"/>
      <c r="I609" s="242"/>
      <c r="J609" s="242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ht="14.25" customHeight="1">
      <c r="A610" s="240"/>
      <c r="B610" s="241"/>
      <c r="C610" s="240"/>
      <c r="D610" s="242"/>
      <c r="E610" s="242"/>
      <c r="F610" s="242"/>
      <c r="G610" s="242"/>
      <c r="H610" s="242"/>
      <c r="I610" s="242"/>
      <c r="J610" s="242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ht="14.25" customHeight="1">
      <c r="A611" s="240"/>
      <c r="B611" s="241"/>
      <c r="C611" s="240"/>
      <c r="D611" s="242"/>
      <c r="E611" s="242"/>
      <c r="F611" s="242"/>
      <c r="G611" s="242"/>
      <c r="H611" s="242"/>
      <c r="I611" s="242"/>
      <c r="J611" s="242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ht="14.25" customHeight="1">
      <c r="A612" s="240"/>
      <c r="B612" s="241"/>
      <c r="C612" s="240"/>
      <c r="D612" s="242"/>
      <c r="E612" s="242"/>
      <c r="F612" s="242"/>
      <c r="G612" s="242"/>
      <c r="H612" s="242"/>
      <c r="I612" s="242"/>
      <c r="J612" s="242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ht="14.25" customHeight="1">
      <c r="A613" s="240"/>
      <c r="B613" s="241"/>
      <c r="C613" s="240"/>
      <c r="D613" s="242"/>
      <c r="E613" s="242"/>
      <c r="F613" s="242"/>
      <c r="G613" s="242"/>
      <c r="H613" s="242"/>
      <c r="I613" s="242"/>
      <c r="J613" s="242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ht="14.25" customHeight="1">
      <c r="A614" s="240"/>
      <c r="B614" s="241"/>
      <c r="C614" s="240"/>
      <c r="D614" s="242"/>
      <c r="E614" s="242"/>
      <c r="F614" s="242"/>
      <c r="G614" s="242"/>
      <c r="H614" s="242"/>
      <c r="I614" s="242"/>
      <c r="J614" s="242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ht="14.25" customHeight="1">
      <c r="A615" s="240"/>
      <c r="B615" s="241"/>
      <c r="C615" s="240"/>
      <c r="D615" s="242"/>
      <c r="E615" s="242"/>
      <c r="F615" s="242"/>
      <c r="G615" s="242"/>
      <c r="H615" s="242"/>
      <c r="I615" s="242"/>
      <c r="J615" s="242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ht="14.25" customHeight="1">
      <c r="A616" s="240"/>
      <c r="B616" s="241"/>
      <c r="C616" s="240"/>
      <c r="D616" s="242"/>
      <c r="E616" s="242"/>
      <c r="F616" s="242"/>
      <c r="G616" s="242"/>
      <c r="H616" s="242"/>
      <c r="I616" s="242"/>
      <c r="J616" s="242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ht="14.25" customHeight="1">
      <c r="A617" s="240"/>
      <c r="B617" s="241"/>
      <c r="C617" s="240"/>
      <c r="D617" s="242"/>
      <c r="E617" s="242"/>
      <c r="F617" s="242"/>
      <c r="G617" s="242"/>
      <c r="H617" s="242"/>
      <c r="I617" s="242"/>
      <c r="J617" s="242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ht="14.25" customHeight="1">
      <c r="A618" s="240"/>
      <c r="B618" s="241"/>
      <c r="C618" s="240"/>
      <c r="D618" s="242"/>
      <c r="E618" s="242"/>
      <c r="F618" s="242"/>
      <c r="G618" s="242"/>
      <c r="H618" s="242"/>
      <c r="I618" s="242"/>
      <c r="J618" s="242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ht="14.25" customHeight="1">
      <c r="A619" s="240"/>
      <c r="B619" s="241"/>
      <c r="C619" s="240"/>
      <c r="D619" s="242"/>
      <c r="E619" s="242"/>
      <c r="F619" s="242"/>
      <c r="G619" s="242"/>
      <c r="H619" s="242"/>
      <c r="I619" s="242"/>
      <c r="J619" s="242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ht="14.25" customHeight="1">
      <c r="A620" s="240"/>
      <c r="B620" s="241"/>
      <c r="C620" s="240"/>
      <c r="D620" s="242"/>
      <c r="E620" s="242"/>
      <c r="F620" s="242"/>
      <c r="G620" s="242"/>
      <c r="H620" s="242"/>
      <c r="I620" s="242"/>
      <c r="J620" s="242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ht="14.25" customHeight="1">
      <c r="A621" s="240"/>
      <c r="B621" s="241"/>
      <c r="C621" s="240"/>
      <c r="D621" s="242"/>
      <c r="E621" s="242"/>
      <c r="F621" s="242"/>
      <c r="G621" s="242"/>
      <c r="H621" s="242"/>
      <c r="I621" s="242"/>
      <c r="J621" s="242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ht="14.25" customHeight="1">
      <c r="A622" s="240"/>
      <c r="B622" s="241"/>
      <c r="C622" s="240"/>
      <c r="D622" s="242"/>
      <c r="E622" s="242"/>
      <c r="F622" s="242"/>
      <c r="G622" s="242"/>
      <c r="H622" s="242"/>
      <c r="I622" s="242"/>
      <c r="J622" s="242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ht="14.25" customHeight="1">
      <c r="A623" s="240"/>
      <c r="B623" s="241"/>
      <c r="C623" s="240"/>
      <c r="D623" s="242"/>
      <c r="E623" s="242"/>
      <c r="F623" s="242"/>
      <c r="G623" s="242"/>
      <c r="H623" s="242"/>
      <c r="I623" s="242"/>
      <c r="J623" s="242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ht="14.25" customHeight="1">
      <c r="A624" s="240"/>
      <c r="B624" s="241"/>
      <c r="C624" s="240"/>
      <c r="D624" s="242"/>
      <c r="E624" s="242"/>
      <c r="F624" s="242"/>
      <c r="G624" s="242"/>
      <c r="H624" s="242"/>
      <c r="I624" s="242"/>
      <c r="J624" s="242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ht="14.25" customHeight="1">
      <c r="A625" s="240"/>
      <c r="B625" s="241"/>
      <c r="C625" s="240"/>
      <c r="D625" s="242"/>
      <c r="E625" s="242"/>
      <c r="F625" s="242"/>
      <c r="G625" s="242"/>
      <c r="H625" s="242"/>
      <c r="I625" s="242"/>
      <c r="J625" s="242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ht="14.25" customHeight="1">
      <c r="A626" s="240"/>
      <c r="B626" s="241"/>
      <c r="C626" s="240"/>
      <c r="D626" s="242"/>
      <c r="E626" s="242"/>
      <c r="F626" s="242"/>
      <c r="G626" s="242"/>
      <c r="H626" s="242"/>
      <c r="I626" s="242"/>
      <c r="J626" s="242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ht="14.25" customHeight="1">
      <c r="A627" s="240"/>
      <c r="B627" s="241"/>
      <c r="C627" s="240"/>
      <c r="D627" s="242"/>
      <c r="E627" s="242"/>
      <c r="F627" s="242"/>
      <c r="G627" s="242"/>
      <c r="H627" s="242"/>
      <c r="I627" s="242"/>
      <c r="J627" s="242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ht="14.25" customHeight="1">
      <c r="A628" s="240"/>
      <c r="B628" s="241"/>
      <c r="C628" s="240"/>
      <c r="D628" s="242"/>
      <c r="E628" s="242"/>
      <c r="F628" s="242"/>
      <c r="G628" s="242"/>
      <c r="H628" s="242"/>
      <c r="I628" s="242"/>
      <c r="J628" s="242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ht="14.25" customHeight="1">
      <c r="A629" s="240"/>
      <c r="B629" s="241"/>
      <c r="C629" s="240"/>
      <c r="D629" s="242"/>
      <c r="E629" s="242"/>
      <c r="F629" s="242"/>
      <c r="G629" s="242"/>
      <c r="H629" s="242"/>
      <c r="I629" s="242"/>
      <c r="J629" s="242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ht="14.25" customHeight="1">
      <c r="A630" s="240"/>
      <c r="B630" s="241"/>
      <c r="C630" s="240"/>
      <c r="D630" s="242"/>
      <c r="E630" s="242"/>
      <c r="F630" s="242"/>
      <c r="G630" s="242"/>
      <c r="H630" s="242"/>
      <c r="I630" s="242"/>
      <c r="J630" s="242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ht="14.25" customHeight="1">
      <c r="A631" s="240"/>
      <c r="B631" s="241"/>
      <c r="C631" s="240"/>
      <c r="D631" s="242"/>
      <c r="E631" s="242"/>
      <c r="F631" s="242"/>
      <c r="G631" s="242"/>
      <c r="H631" s="242"/>
      <c r="I631" s="242"/>
      <c r="J631" s="242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ht="14.25" customHeight="1">
      <c r="A632" s="240"/>
      <c r="B632" s="241"/>
      <c r="C632" s="240"/>
      <c r="D632" s="242"/>
      <c r="E632" s="242"/>
      <c r="F632" s="242"/>
      <c r="G632" s="242"/>
      <c r="H632" s="242"/>
      <c r="I632" s="242"/>
      <c r="J632" s="242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ht="14.25" customHeight="1">
      <c r="A633" s="240"/>
      <c r="B633" s="241"/>
      <c r="C633" s="240"/>
      <c r="D633" s="242"/>
      <c r="E633" s="242"/>
      <c r="F633" s="242"/>
      <c r="G633" s="242"/>
      <c r="H633" s="242"/>
      <c r="I633" s="242"/>
      <c r="J633" s="242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ht="14.25" customHeight="1">
      <c r="A634" s="240"/>
      <c r="B634" s="241"/>
      <c r="C634" s="240"/>
      <c r="D634" s="242"/>
      <c r="E634" s="242"/>
      <c r="F634" s="242"/>
      <c r="G634" s="242"/>
      <c r="H634" s="242"/>
      <c r="I634" s="242"/>
      <c r="J634" s="242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ht="14.25" customHeight="1">
      <c r="A635" s="240"/>
      <c r="B635" s="241"/>
      <c r="C635" s="240"/>
      <c r="D635" s="242"/>
      <c r="E635" s="242"/>
      <c r="F635" s="242"/>
      <c r="G635" s="242"/>
      <c r="H635" s="242"/>
      <c r="I635" s="242"/>
      <c r="J635" s="242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ht="14.25" customHeight="1">
      <c r="A636" s="240"/>
      <c r="B636" s="241"/>
      <c r="C636" s="240"/>
      <c r="D636" s="242"/>
      <c r="E636" s="242"/>
      <c r="F636" s="242"/>
      <c r="G636" s="242"/>
      <c r="H636" s="242"/>
      <c r="I636" s="242"/>
      <c r="J636" s="242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ht="14.25" customHeight="1">
      <c r="A637" s="240"/>
      <c r="B637" s="241"/>
      <c r="C637" s="240"/>
      <c r="D637" s="242"/>
      <c r="E637" s="242"/>
      <c r="F637" s="242"/>
      <c r="G637" s="242"/>
      <c r="H637" s="242"/>
      <c r="I637" s="242"/>
      <c r="J637" s="242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ht="14.25" customHeight="1">
      <c r="A638" s="240"/>
      <c r="B638" s="241"/>
      <c r="C638" s="240"/>
      <c r="D638" s="242"/>
      <c r="E638" s="242"/>
      <c r="F638" s="242"/>
      <c r="G638" s="242"/>
      <c r="H638" s="242"/>
      <c r="I638" s="242"/>
      <c r="J638" s="242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ht="14.25" customHeight="1">
      <c r="A639" s="240"/>
      <c r="B639" s="241"/>
      <c r="C639" s="240"/>
      <c r="D639" s="242"/>
      <c r="E639" s="242"/>
      <c r="F639" s="242"/>
      <c r="G639" s="242"/>
      <c r="H639" s="242"/>
      <c r="I639" s="242"/>
      <c r="J639" s="242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ht="14.25" customHeight="1">
      <c r="A640" s="240"/>
      <c r="B640" s="241"/>
      <c r="C640" s="240"/>
      <c r="D640" s="242"/>
      <c r="E640" s="242"/>
      <c r="F640" s="242"/>
      <c r="G640" s="242"/>
      <c r="H640" s="242"/>
      <c r="I640" s="242"/>
      <c r="J640" s="242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ht="14.25" customHeight="1">
      <c r="A641" s="240"/>
      <c r="B641" s="241"/>
      <c r="C641" s="240"/>
      <c r="D641" s="242"/>
      <c r="E641" s="242"/>
      <c r="F641" s="242"/>
      <c r="G641" s="242"/>
      <c r="H641" s="242"/>
      <c r="I641" s="242"/>
      <c r="J641" s="242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ht="14.25" customHeight="1">
      <c r="A642" s="240"/>
      <c r="B642" s="241"/>
      <c r="C642" s="240"/>
      <c r="D642" s="242"/>
      <c r="E642" s="242"/>
      <c r="F642" s="242"/>
      <c r="G642" s="242"/>
      <c r="H642" s="242"/>
      <c r="I642" s="242"/>
      <c r="J642" s="242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ht="14.25" customHeight="1">
      <c r="A643" s="240"/>
      <c r="B643" s="241"/>
      <c r="C643" s="240"/>
      <c r="D643" s="242"/>
      <c r="E643" s="242"/>
      <c r="F643" s="242"/>
      <c r="G643" s="242"/>
      <c r="H643" s="242"/>
      <c r="I643" s="242"/>
      <c r="J643" s="242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ht="14.25" customHeight="1">
      <c r="A644" s="240"/>
      <c r="B644" s="241"/>
      <c r="C644" s="240"/>
      <c r="D644" s="242"/>
      <c r="E644" s="242"/>
      <c r="F644" s="242"/>
      <c r="G644" s="242"/>
      <c r="H644" s="242"/>
      <c r="I644" s="242"/>
      <c r="J644" s="242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ht="14.25" customHeight="1">
      <c r="A645" s="240"/>
      <c r="B645" s="241"/>
      <c r="C645" s="240"/>
      <c r="D645" s="242"/>
      <c r="E645" s="242"/>
      <c r="F645" s="242"/>
      <c r="G645" s="242"/>
      <c r="H645" s="242"/>
      <c r="I645" s="242"/>
      <c r="J645" s="242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ht="14.25" customHeight="1">
      <c r="A646" s="240"/>
      <c r="B646" s="241"/>
      <c r="C646" s="240"/>
      <c r="D646" s="242"/>
      <c r="E646" s="242"/>
      <c r="F646" s="242"/>
      <c r="G646" s="242"/>
      <c r="H646" s="242"/>
      <c r="I646" s="242"/>
      <c r="J646" s="242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ht="14.25" customHeight="1">
      <c r="A647" s="240"/>
      <c r="B647" s="241"/>
      <c r="C647" s="240"/>
      <c r="D647" s="242"/>
      <c r="E647" s="242"/>
      <c r="F647" s="242"/>
      <c r="G647" s="242"/>
      <c r="H647" s="242"/>
      <c r="I647" s="242"/>
      <c r="J647" s="242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ht="14.25" customHeight="1">
      <c r="A648" s="240"/>
      <c r="B648" s="241"/>
      <c r="C648" s="240"/>
      <c r="D648" s="242"/>
      <c r="E648" s="242"/>
      <c r="F648" s="242"/>
      <c r="G648" s="242"/>
      <c r="H648" s="242"/>
      <c r="I648" s="242"/>
      <c r="J648" s="242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ht="14.25" customHeight="1">
      <c r="A649" s="240"/>
      <c r="B649" s="241"/>
      <c r="C649" s="240"/>
      <c r="D649" s="242"/>
      <c r="E649" s="242"/>
      <c r="F649" s="242"/>
      <c r="G649" s="242"/>
      <c r="H649" s="242"/>
      <c r="I649" s="242"/>
      <c r="J649" s="242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ht="14.25" customHeight="1">
      <c r="A650" s="240"/>
      <c r="B650" s="241"/>
      <c r="C650" s="240"/>
      <c r="D650" s="242"/>
      <c r="E650" s="242"/>
      <c r="F650" s="242"/>
      <c r="G650" s="242"/>
      <c r="H650" s="242"/>
      <c r="I650" s="242"/>
      <c r="J650" s="242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ht="14.25" customHeight="1">
      <c r="A651" s="240"/>
      <c r="B651" s="241"/>
      <c r="C651" s="240"/>
      <c r="D651" s="242"/>
      <c r="E651" s="242"/>
      <c r="F651" s="242"/>
      <c r="G651" s="242"/>
      <c r="H651" s="242"/>
      <c r="I651" s="242"/>
      <c r="J651" s="242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ht="14.25" customHeight="1">
      <c r="A652" s="240"/>
      <c r="B652" s="241"/>
      <c r="C652" s="240"/>
      <c r="D652" s="242"/>
      <c r="E652" s="242"/>
      <c r="F652" s="242"/>
      <c r="G652" s="242"/>
      <c r="H652" s="242"/>
      <c r="I652" s="242"/>
      <c r="J652" s="242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ht="14.25" customHeight="1">
      <c r="A653" s="240"/>
      <c r="B653" s="241"/>
      <c r="C653" s="240"/>
      <c r="D653" s="242"/>
      <c r="E653" s="242"/>
      <c r="F653" s="242"/>
      <c r="G653" s="242"/>
      <c r="H653" s="242"/>
      <c r="I653" s="242"/>
      <c r="J653" s="242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ht="14.25" customHeight="1">
      <c r="A654" s="240"/>
      <c r="B654" s="241"/>
      <c r="C654" s="240"/>
      <c r="D654" s="242"/>
      <c r="E654" s="242"/>
      <c r="F654" s="242"/>
      <c r="G654" s="242"/>
      <c r="H654" s="242"/>
      <c r="I654" s="242"/>
      <c r="J654" s="242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ht="14.25" customHeight="1">
      <c r="A655" s="240"/>
      <c r="B655" s="241"/>
      <c r="C655" s="240"/>
      <c r="D655" s="242"/>
      <c r="E655" s="242"/>
      <c r="F655" s="242"/>
      <c r="G655" s="242"/>
      <c r="H655" s="242"/>
      <c r="I655" s="242"/>
      <c r="J655" s="242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ht="14.25" customHeight="1">
      <c r="A656" s="240"/>
      <c r="B656" s="241"/>
      <c r="C656" s="240"/>
      <c r="D656" s="242"/>
      <c r="E656" s="242"/>
      <c r="F656" s="242"/>
      <c r="G656" s="242"/>
      <c r="H656" s="242"/>
      <c r="I656" s="242"/>
      <c r="J656" s="242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ht="14.25" customHeight="1">
      <c r="A657" s="240"/>
      <c r="B657" s="241"/>
      <c r="C657" s="240"/>
      <c r="D657" s="242"/>
      <c r="E657" s="242"/>
      <c r="F657" s="242"/>
      <c r="G657" s="242"/>
      <c r="H657" s="242"/>
      <c r="I657" s="242"/>
      <c r="J657" s="242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ht="14.25" customHeight="1">
      <c r="A658" s="240"/>
      <c r="B658" s="241"/>
      <c r="C658" s="240"/>
      <c r="D658" s="242"/>
      <c r="E658" s="242"/>
      <c r="F658" s="242"/>
      <c r="G658" s="242"/>
      <c r="H658" s="242"/>
      <c r="I658" s="242"/>
      <c r="J658" s="242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ht="14.25" customHeight="1">
      <c r="A659" s="240"/>
      <c r="B659" s="241"/>
      <c r="C659" s="240"/>
      <c r="D659" s="242"/>
      <c r="E659" s="242"/>
      <c r="F659" s="242"/>
      <c r="G659" s="242"/>
      <c r="H659" s="242"/>
      <c r="I659" s="242"/>
      <c r="J659" s="242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ht="14.25" customHeight="1">
      <c r="A660" s="240"/>
      <c r="B660" s="241"/>
      <c r="C660" s="240"/>
      <c r="D660" s="242"/>
      <c r="E660" s="242"/>
      <c r="F660" s="242"/>
      <c r="G660" s="242"/>
      <c r="H660" s="242"/>
      <c r="I660" s="242"/>
      <c r="J660" s="242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ht="14.25" customHeight="1">
      <c r="A661" s="240"/>
      <c r="B661" s="241"/>
      <c r="C661" s="240"/>
      <c r="D661" s="242"/>
      <c r="E661" s="242"/>
      <c r="F661" s="242"/>
      <c r="G661" s="242"/>
      <c r="H661" s="242"/>
      <c r="I661" s="242"/>
      <c r="J661" s="242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ht="14.25" customHeight="1">
      <c r="A662" s="240"/>
      <c r="B662" s="241"/>
      <c r="C662" s="240"/>
      <c r="D662" s="242"/>
      <c r="E662" s="242"/>
      <c r="F662" s="242"/>
      <c r="G662" s="242"/>
      <c r="H662" s="242"/>
      <c r="I662" s="242"/>
      <c r="J662" s="242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ht="14.25" customHeight="1">
      <c r="A663" s="240"/>
      <c r="B663" s="241"/>
      <c r="C663" s="240"/>
      <c r="D663" s="242"/>
      <c r="E663" s="242"/>
      <c r="F663" s="242"/>
      <c r="G663" s="242"/>
      <c r="H663" s="242"/>
      <c r="I663" s="242"/>
      <c r="J663" s="242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ht="14.25" customHeight="1">
      <c r="A664" s="240"/>
      <c r="B664" s="241"/>
      <c r="C664" s="240"/>
      <c r="D664" s="242"/>
      <c r="E664" s="242"/>
      <c r="F664" s="242"/>
      <c r="G664" s="242"/>
      <c r="H664" s="242"/>
      <c r="I664" s="242"/>
      <c r="J664" s="242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ht="14.25" customHeight="1">
      <c r="A665" s="240"/>
      <c r="B665" s="241"/>
      <c r="C665" s="240"/>
      <c r="D665" s="242"/>
      <c r="E665" s="242"/>
      <c r="F665" s="242"/>
      <c r="G665" s="242"/>
      <c r="H665" s="242"/>
      <c r="I665" s="242"/>
      <c r="J665" s="242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ht="14.25" customHeight="1">
      <c r="A666" s="240"/>
      <c r="B666" s="241"/>
      <c r="C666" s="240"/>
      <c r="D666" s="242"/>
      <c r="E666" s="242"/>
      <c r="F666" s="242"/>
      <c r="G666" s="242"/>
      <c r="H666" s="242"/>
      <c r="I666" s="242"/>
      <c r="J666" s="242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ht="14.25" customHeight="1">
      <c r="A667" s="240"/>
      <c r="B667" s="241"/>
      <c r="C667" s="240"/>
      <c r="D667" s="242"/>
      <c r="E667" s="242"/>
      <c r="F667" s="242"/>
      <c r="G667" s="242"/>
      <c r="H667" s="242"/>
      <c r="I667" s="242"/>
      <c r="J667" s="242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ht="14.25" customHeight="1">
      <c r="A668" s="240"/>
      <c r="B668" s="241"/>
      <c r="C668" s="240"/>
      <c r="D668" s="242"/>
      <c r="E668" s="242"/>
      <c r="F668" s="242"/>
      <c r="G668" s="242"/>
      <c r="H668" s="242"/>
      <c r="I668" s="242"/>
      <c r="J668" s="242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ht="14.25" customHeight="1">
      <c r="A669" s="240"/>
      <c r="B669" s="241"/>
      <c r="C669" s="240"/>
      <c r="D669" s="242"/>
      <c r="E669" s="242"/>
      <c r="F669" s="242"/>
      <c r="G669" s="242"/>
      <c r="H669" s="242"/>
      <c r="I669" s="242"/>
      <c r="J669" s="242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ht="14.25" customHeight="1">
      <c r="A670" s="240"/>
      <c r="B670" s="241"/>
      <c r="C670" s="240"/>
      <c r="D670" s="242"/>
      <c r="E670" s="242"/>
      <c r="F670" s="242"/>
      <c r="G670" s="242"/>
      <c r="H670" s="242"/>
      <c r="I670" s="242"/>
      <c r="J670" s="242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ht="14.25" customHeight="1">
      <c r="A671" s="240"/>
      <c r="B671" s="241"/>
      <c r="C671" s="240"/>
      <c r="D671" s="242"/>
      <c r="E671" s="242"/>
      <c r="F671" s="242"/>
      <c r="G671" s="242"/>
      <c r="H671" s="242"/>
      <c r="I671" s="242"/>
      <c r="J671" s="242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ht="14.25" customHeight="1">
      <c r="A672" s="240"/>
      <c r="B672" s="241"/>
      <c r="C672" s="240"/>
      <c r="D672" s="242"/>
      <c r="E672" s="242"/>
      <c r="F672" s="242"/>
      <c r="G672" s="242"/>
      <c r="H672" s="242"/>
      <c r="I672" s="242"/>
      <c r="J672" s="242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ht="14.25" customHeight="1">
      <c r="A673" s="240"/>
      <c r="B673" s="241"/>
      <c r="C673" s="240"/>
      <c r="D673" s="242"/>
      <c r="E673" s="242"/>
      <c r="F673" s="242"/>
      <c r="G673" s="242"/>
      <c r="H673" s="242"/>
      <c r="I673" s="242"/>
      <c r="J673" s="242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ht="14.25" customHeight="1">
      <c r="A674" s="240"/>
      <c r="B674" s="241"/>
      <c r="C674" s="240"/>
      <c r="D674" s="242"/>
      <c r="E674" s="242"/>
      <c r="F674" s="242"/>
      <c r="G674" s="242"/>
      <c r="H674" s="242"/>
      <c r="I674" s="242"/>
      <c r="J674" s="242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ht="14.25" customHeight="1">
      <c r="A675" s="240"/>
      <c r="B675" s="241"/>
      <c r="C675" s="240"/>
      <c r="D675" s="242"/>
      <c r="E675" s="242"/>
      <c r="F675" s="242"/>
      <c r="G675" s="242"/>
      <c r="H675" s="242"/>
      <c r="I675" s="242"/>
      <c r="J675" s="242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ht="14.25" customHeight="1">
      <c r="A676" s="240"/>
      <c r="B676" s="241"/>
      <c r="C676" s="240"/>
      <c r="D676" s="242"/>
      <c r="E676" s="242"/>
      <c r="F676" s="242"/>
      <c r="G676" s="242"/>
      <c r="H676" s="242"/>
      <c r="I676" s="242"/>
      <c r="J676" s="242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ht="14.25" customHeight="1">
      <c r="A677" s="240"/>
      <c r="B677" s="241"/>
      <c r="C677" s="240"/>
      <c r="D677" s="242"/>
      <c r="E677" s="242"/>
      <c r="F677" s="242"/>
      <c r="G677" s="242"/>
      <c r="H677" s="242"/>
      <c r="I677" s="242"/>
      <c r="J677" s="242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ht="14.25" customHeight="1">
      <c r="A678" s="240"/>
      <c r="B678" s="241"/>
      <c r="C678" s="240"/>
      <c r="D678" s="242"/>
      <c r="E678" s="242"/>
      <c r="F678" s="242"/>
      <c r="G678" s="242"/>
      <c r="H678" s="242"/>
      <c r="I678" s="242"/>
      <c r="J678" s="242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ht="14.25" customHeight="1">
      <c r="A679" s="240"/>
      <c r="B679" s="241"/>
      <c r="C679" s="240"/>
      <c r="D679" s="242"/>
      <c r="E679" s="242"/>
      <c r="F679" s="242"/>
      <c r="G679" s="242"/>
      <c r="H679" s="242"/>
      <c r="I679" s="242"/>
      <c r="J679" s="242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ht="14.25" customHeight="1">
      <c r="A680" s="240"/>
      <c r="B680" s="241"/>
      <c r="C680" s="240"/>
      <c r="D680" s="242"/>
      <c r="E680" s="242"/>
      <c r="F680" s="242"/>
      <c r="G680" s="242"/>
      <c r="H680" s="242"/>
      <c r="I680" s="242"/>
      <c r="J680" s="242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ht="14.25" customHeight="1">
      <c r="A681" s="240"/>
      <c r="B681" s="241"/>
      <c r="C681" s="240"/>
      <c r="D681" s="242"/>
      <c r="E681" s="242"/>
      <c r="F681" s="242"/>
      <c r="G681" s="242"/>
      <c r="H681" s="242"/>
      <c r="I681" s="242"/>
      <c r="J681" s="242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ht="14.25" customHeight="1">
      <c r="A682" s="240"/>
      <c r="B682" s="241"/>
      <c r="C682" s="240"/>
      <c r="D682" s="242"/>
      <c r="E682" s="242"/>
      <c r="F682" s="242"/>
      <c r="G682" s="242"/>
      <c r="H682" s="242"/>
      <c r="I682" s="242"/>
      <c r="J682" s="242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ht="14.25" customHeight="1">
      <c r="A683" s="240"/>
      <c r="B683" s="241"/>
      <c r="C683" s="240"/>
      <c r="D683" s="242"/>
      <c r="E683" s="242"/>
      <c r="F683" s="242"/>
      <c r="G683" s="242"/>
      <c r="H683" s="242"/>
      <c r="I683" s="242"/>
      <c r="J683" s="242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ht="14.25" customHeight="1">
      <c r="A684" s="240"/>
      <c r="B684" s="241"/>
      <c r="C684" s="240"/>
      <c r="D684" s="242"/>
      <c r="E684" s="242"/>
      <c r="F684" s="242"/>
      <c r="G684" s="242"/>
      <c r="H684" s="242"/>
      <c r="I684" s="242"/>
      <c r="J684" s="242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ht="14.25" customHeight="1">
      <c r="A685" s="240"/>
      <c r="B685" s="241"/>
      <c r="C685" s="240"/>
      <c r="D685" s="242"/>
      <c r="E685" s="242"/>
      <c r="F685" s="242"/>
      <c r="G685" s="242"/>
      <c r="H685" s="242"/>
      <c r="I685" s="242"/>
      <c r="J685" s="242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ht="14.25" customHeight="1">
      <c r="A686" s="240"/>
      <c r="B686" s="241"/>
      <c r="C686" s="240"/>
      <c r="D686" s="242"/>
      <c r="E686" s="242"/>
      <c r="F686" s="242"/>
      <c r="G686" s="242"/>
      <c r="H686" s="242"/>
      <c r="I686" s="242"/>
      <c r="J686" s="242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ht="14.25" customHeight="1">
      <c r="A687" s="240"/>
      <c r="B687" s="241"/>
      <c r="C687" s="240"/>
      <c r="D687" s="242"/>
      <c r="E687" s="242"/>
      <c r="F687" s="242"/>
      <c r="G687" s="242"/>
      <c r="H687" s="242"/>
      <c r="I687" s="242"/>
      <c r="J687" s="242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ht="14.25" customHeight="1">
      <c r="A688" s="240"/>
      <c r="B688" s="241"/>
      <c r="C688" s="240"/>
      <c r="D688" s="242"/>
      <c r="E688" s="242"/>
      <c r="F688" s="242"/>
      <c r="G688" s="242"/>
      <c r="H688" s="242"/>
      <c r="I688" s="242"/>
      <c r="J688" s="242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ht="14.25" customHeight="1">
      <c r="A689" s="240"/>
      <c r="B689" s="241"/>
      <c r="C689" s="240"/>
      <c r="D689" s="242"/>
      <c r="E689" s="242"/>
      <c r="F689" s="242"/>
      <c r="G689" s="242"/>
      <c r="H689" s="242"/>
      <c r="I689" s="242"/>
      <c r="J689" s="242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ht="14.25" customHeight="1">
      <c r="A690" s="240"/>
      <c r="B690" s="241"/>
      <c r="C690" s="240"/>
      <c r="D690" s="242"/>
      <c r="E690" s="242"/>
      <c r="F690" s="242"/>
      <c r="G690" s="242"/>
      <c r="H690" s="242"/>
      <c r="I690" s="242"/>
      <c r="J690" s="242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ht="14.25" customHeight="1">
      <c r="A691" s="240"/>
      <c r="B691" s="241"/>
      <c r="C691" s="240"/>
      <c r="D691" s="242"/>
      <c r="E691" s="242"/>
      <c r="F691" s="242"/>
      <c r="G691" s="242"/>
      <c r="H691" s="242"/>
      <c r="I691" s="242"/>
      <c r="J691" s="242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ht="14.25" customHeight="1">
      <c r="A692" s="240"/>
      <c r="B692" s="241"/>
      <c r="C692" s="240"/>
      <c r="D692" s="242"/>
      <c r="E692" s="242"/>
      <c r="F692" s="242"/>
      <c r="G692" s="242"/>
      <c r="H692" s="242"/>
      <c r="I692" s="242"/>
      <c r="J692" s="242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ht="14.25" customHeight="1">
      <c r="A693" s="240"/>
      <c r="B693" s="241"/>
      <c r="C693" s="240"/>
      <c r="D693" s="242"/>
      <c r="E693" s="242"/>
      <c r="F693" s="242"/>
      <c r="G693" s="242"/>
      <c r="H693" s="242"/>
      <c r="I693" s="242"/>
      <c r="J693" s="242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ht="14.25" customHeight="1">
      <c r="A694" s="240"/>
      <c r="B694" s="241"/>
      <c r="C694" s="240"/>
      <c r="D694" s="242"/>
      <c r="E694" s="242"/>
      <c r="F694" s="242"/>
      <c r="G694" s="242"/>
      <c r="H694" s="242"/>
      <c r="I694" s="242"/>
      <c r="J694" s="242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ht="14.25" customHeight="1">
      <c r="A695" s="240"/>
      <c r="B695" s="241"/>
      <c r="C695" s="240"/>
      <c r="D695" s="242"/>
      <c r="E695" s="242"/>
      <c r="F695" s="242"/>
      <c r="G695" s="242"/>
      <c r="H695" s="242"/>
      <c r="I695" s="242"/>
      <c r="J695" s="242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ht="14.25" customHeight="1">
      <c r="A696" s="240"/>
      <c r="B696" s="241"/>
      <c r="C696" s="240"/>
      <c r="D696" s="242"/>
      <c r="E696" s="242"/>
      <c r="F696" s="242"/>
      <c r="G696" s="242"/>
      <c r="H696" s="242"/>
      <c r="I696" s="242"/>
      <c r="J696" s="242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ht="14.25" customHeight="1">
      <c r="A697" s="240"/>
      <c r="B697" s="241"/>
      <c r="C697" s="240"/>
      <c r="D697" s="242"/>
      <c r="E697" s="242"/>
      <c r="F697" s="242"/>
      <c r="G697" s="242"/>
      <c r="H697" s="242"/>
      <c r="I697" s="242"/>
      <c r="J697" s="242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ht="14.25" customHeight="1">
      <c r="A698" s="240"/>
      <c r="B698" s="241"/>
      <c r="C698" s="240"/>
      <c r="D698" s="242"/>
      <c r="E698" s="242"/>
      <c r="F698" s="242"/>
      <c r="G698" s="242"/>
      <c r="H698" s="242"/>
      <c r="I698" s="242"/>
      <c r="J698" s="242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ht="14.25" customHeight="1">
      <c r="A699" s="240"/>
      <c r="B699" s="241"/>
      <c r="C699" s="240"/>
      <c r="D699" s="242"/>
      <c r="E699" s="242"/>
      <c r="F699" s="242"/>
      <c r="G699" s="242"/>
      <c r="H699" s="242"/>
      <c r="I699" s="242"/>
      <c r="J699" s="242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ht="14.25" customHeight="1">
      <c r="A700" s="240"/>
      <c r="B700" s="241"/>
      <c r="C700" s="240"/>
      <c r="D700" s="242"/>
      <c r="E700" s="242"/>
      <c r="F700" s="242"/>
      <c r="G700" s="242"/>
      <c r="H700" s="242"/>
      <c r="I700" s="242"/>
      <c r="J700" s="242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ht="14.25" customHeight="1">
      <c r="A701" s="240"/>
      <c r="B701" s="241"/>
      <c r="C701" s="240"/>
      <c r="D701" s="242"/>
      <c r="E701" s="242"/>
      <c r="F701" s="242"/>
      <c r="G701" s="242"/>
      <c r="H701" s="242"/>
      <c r="I701" s="242"/>
      <c r="J701" s="242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ht="14.25" customHeight="1">
      <c r="A702" s="240"/>
      <c r="B702" s="241"/>
      <c r="C702" s="240"/>
      <c r="D702" s="242"/>
      <c r="E702" s="242"/>
      <c r="F702" s="242"/>
      <c r="G702" s="242"/>
      <c r="H702" s="242"/>
      <c r="I702" s="242"/>
      <c r="J702" s="242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ht="14.25" customHeight="1">
      <c r="A703" s="240"/>
      <c r="B703" s="241"/>
      <c r="C703" s="240"/>
      <c r="D703" s="242"/>
      <c r="E703" s="242"/>
      <c r="F703" s="242"/>
      <c r="G703" s="242"/>
      <c r="H703" s="242"/>
      <c r="I703" s="242"/>
      <c r="J703" s="242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ht="14.25" customHeight="1">
      <c r="A704" s="240"/>
      <c r="B704" s="241"/>
      <c r="C704" s="240"/>
      <c r="D704" s="242"/>
      <c r="E704" s="242"/>
      <c r="F704" s="242"/>
      <c r="G704" s="242"/>
      <c r="H704" s="242"/>
      <c r="I704" s="242"/>
      <c r="J704" s="242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ht="14.25" customHeight="1">
      <c r="A705" s="240"/>
      <c r="B705" s="241"/>
      <c r="C705" s="240"/>
      <c r="D705" s="242"/>
      <c r="E705" s="242"/>
      <c r="F705" s="242"/>
      <c r="G705" s="242"/>
      <c r="H705" s="242"/>
      <c r="I705" s="242"/>
      <c r="J705" s="242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ht="14.25" customHeight="1">
      <c r="A706" s="240"/>
      <c r="B706" s="241"/>
      <c r="C706" s="240"/>
      <c r="D706" s="242"/>
      <c r="E706" s="242"/>
      <c r="F706" s="242"/>
      <c r="G706" s="242"/>
      <c r="H706" s="242"/>
      <c r="I706" s="242"/>
      <c r="J706" s="242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ht="14.25" customHeight="1">
      <c r="A707" s="240"/>
      <c r="B707" s="241"/>
      <c r="C707" s="240"/>
      <c r="D707" s="242"/>
      <c r="E707" s="242"/>
      <c r="F707" s="242"/>
      <c r="G707" s="242"/>
      <c r="H707" s="242"/>
      <c r="I707" s="242"/>
      <c r="J707" s="242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ht="14.25" customHeight="1">
      <c r="A708" s="240"/>
      <c r="B708" s="241"/>
      <c r="C708" s="240"/>
      <c r="D708" s="242"/>
      <c r="E708" s="242"/>
      <c r="F708" s="242"/>
      <c r="G708" s="242"/>
      <c r="H708" s="242"/>
      <c r="I708" s="242"/>
      <c r="J708" s="242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ht="14.25" customHeight="1">
      <c r="A709" s="240"/>
      <c r="B709" s="241"/>
      <c r="C709" s="240"/>
      <c r="D709" s="242"/>
      <c r="E709" s="242"/>
      <c r="F709" s="242"/>
      <c r="G709" s="242"/>
      <c r="H709" s="242"/>
      <c r="I709" s="242"/>
      <c r="J709" s="242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ht="14.25" customHeight="1">
      <c r="A710" s="240"/>
      <c r="B710" s="241"/>
      <c r="C710" s="240"/>
      <c r="D710" s="242"/>
      <c r="E710" s="242"/>
      <c r="F710" s="242"/>
      <c r="G710" s="242"/>
      <c r="H710" s="242"/>
      <c r="I710" s="242"/>
      <c r="J710" s="242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ht="14.25" customHeight="1">
      <c r="A711" s="240"/>
      <c r="B711" s="241"/>
      <c r="C711" s="240"/>
      <c r="D711" s="242"/>
      <c r="E711" s="242"/>
      <c r="F711" s="242"/>
      <c r="G711" s="242"/>
      <c r="H711" s="242"/>
      <c r="I711" s="242"/>
      <c r="J711" s="242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ht="14.25" customHeight="1">
      <c r="A712" s="240"/>
      <c r="B712" s="241"/>
      <c r="C712" s="240"/>
      <c r="D712" s="242"/>
      <c r="E712" s="242"/>
      <c r="F712" s="242"/>
      <c r="G712" s="242"/>
      <c r="H712" s="242"/>
      <c r="I712" s="242"/>
      <c r="J712" s="242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ht="14.25" customHeight="1">
      <c r="A713" s="240"/>
      <c r="B713" s="241"/>
      <c r="C713" s="240"/>
      <c r="D713" s="242"/>
      <c r="E713" s="242"/>
      <c r="F713" s="242"/>
      <c r="G713" s="242"/>
      <c r="H713" s="242"/>
      <c r="I713" s="242"/>
      <c r="J713" s="242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ht="14.25" customHeight="1">
      <c r="A714" s="240"/>
      <c r="B714" s="241"/>
      <c r="C714" s="240"/>
      <c r="D714" s="242"/>
      <c r="E714" s="242"/>
      <c r="F714" s="242"/>
      <c r="G714" s="242"/>
      <c r="H714" s="242"/>
      <c r="I714" s="242"/>
      <c r="J714" s="242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ht="14.25" customHeight="1">
      <c r="A715" s="240"/>
      <c r="B715" s="241"/>
      <c r="C715" s="240"/>
      <c r="D715" s="242"/>
      <c r="E715" s="242"/>
      <c r="F715" s="242"/>
      <c r="G715" s="242"/>
      <c r="H715" s="242"/>
      <c r="I715" s="242"/>
      <c r="J715" s="242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ht="14.25" customHeight="1">
      <c r="A716" s="240"/>
      <c r="B716" s="241"/>
      <c r="C716" s="240"/>
      <c r="D716" s="242"/>
      <c r="E716" s="242"/>
      <c r="F716" s="242"/>
      <c r="G716" s="242"/>
      <c r="H716" s="242"/>
      <c r="I716" s="242"/>
      <c r="J716" s="242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ht="14.25" customHeight="1">
      <c r="A717" s="240"/>
      <c r="B717" s="241"/>
      <c r="C717" s="240"/>
      <c r="D717" s="242"/>
      <c r="E717" s="242"/>
      <c r="F717" s="242"/>
      <c r="G717" s="242"/>
      <c r="H717" s="242"/>
      <c r="I717" s="242"/>
      <c r="J717" s="242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ht="14.25" customHeight="1">
      <c r="A718" s="240"/>
      <c r="B718" s="241"/>
      <c r="C718" s="240"/>
      <c r="D718" s="242"/>
      <c r="E718" s="242"/>
      <c r="F718" s="242"/>
      <c r="G718" s="242"/>
      <c r="H718" s="242"/>
      <c r="I718" s="242"/>
      <c r="J718" s="242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ht="14.25" customHeight="1">
      <c r="A719" s="240"/>
      <c r="B719" s="241"/>
      <c r="C719" s="240"/>
      <c r="D719" s="242"/>
      <c r="E719" s="242"/>
      <c r="F719" s="242"/>
      <c r="G719" s="242"/>
      <c r="H719" s="242"/>
      <c r="I719" s="242"/>
      <c r="J719" s="242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ht="14.25" customHeight="1">
      <c r="A720" s="240"/>
      <c r="B720" s="241"/>
      <c r="C720" s="240"/>
      <c r="D720" s="242"/>
      <c r="E720" s="242"/>
      <c r="F720" s="242"/>
      <c r="G720" s="242"/>
      <c r="H720" s="242"/>
      <c r="I720" s="242"/>
      <c r="J720" s="242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ht="14.25" customHeight="1">
      <c r="A721" s="240"/>
      <c r="B721" s="241"/>
      <c r="C721" s="240"/>
      <c r="D721" s="242"/>
      <c r="E721" s="242"/>
      <c r="F721" s="242"/>
      <c r="G721" s="242"/>
      <c r="H721" s="242"/>
      <c r="I721" s="242"/>
      <c r="J721" s="242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ht="14.25" customHeight="1">
      <c r="A722" s="240"/>
      <c r="B722" s="241"/>
      <c r="C722" s="240"/>
      <c r="D722" s="242"/>
      <c r="E722" s="242"/>
      <c r="F722" s="242"/>
      <c r="G722" s="242"/>
      <c r="H722" s="242"/>
      <c r="I722" s="242"/>
      <c r="J722" s="242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ht="14.25" customHeight="1">
      <c r="A723" s="240"/>
      <c r="B723" s="241"/>
      <c r="C723" s="240"/>
      <c r="D723" s="242"/>
      <c r="E723" s="242"/>
      <c r="F723" s="242"/>
      <c r="G723" s="242"/>
      <c r="H723" s="242"/>
      <c r="I723" s="242"/>
      <c r="J723" s="242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ht="14.25" customHeight="1">
      <c r="A724" s="240"/>
      <c r="B724" s="241"/>
      <c r="C724" s="240"/>
      <c r="D724" s="242"/>
      <c r="E724" s="242"/>
      <c r="F724" s="242"/>
      <c r="G724" s="242"/>
      <c r="H724" s="242"/>
      <c r="I724" s="242"/>
      <c r="J724" s="242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ht="14.25" customHeight="1">
      <c r="A725" s="240"/>
      <c r="B725" s="241"/>
      <c r="C725" s="240"/>
      <c r="D725" s="242"/>
      <c r="E725" s="242"/>
      <c r="F725" s="242"/>
      <c r="G725" s="242"/>
      <c r="H725" s="242"/>
      <c r="I725" s="242"/>
      <c r="J725" s="242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ht="14.25" customHeight="1">
      <c r="A726" s="240"/>
      <c r="B726" s="241"/>
      <c r="C726" s="240"/>
      <c r="D726" s="242"/>
      <c r="E726" s="242"/>
      <c r="F726" s="242"/>
      <c r="G726" s="242"/>
      <c r="H726" s="242"/>
      <c r="I726" s="242"/>
      <c r="J726" s="242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ht="14.25" customHeight="1">
      <c r="A727" s="240"/>
      <c r="B727" s="241"/>
      <c r="C727" s="240"/>
      <c r="D727" s="242"/>
      <c r="E727" s="242"/>
      <c r="F727" s="242"/>
      <c r="G727" s="242"/>
      <c r="H727" s="242"/>
      <c r="I727" s="242"/>
      <c r="J727" s="242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ht="14.25" customHeight="1">
      <c r="A728" s="240"/>
      <c r="B728" s="241"/>
      <c r="C728" s="240"/>
      <c r="D728" s="242"/>
      <c r="E728" s="242"/>
      <c r="F728" s="242"/>
      <c r="G728" s="242"/>
      <c r="H728" s="242"/>
      <c r="I728" s="242"/>
      <c r="J728" s="242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ht="14.25" customHeight="1">
      <c r="A729" s="240"/>
      <c r="B729" s="241"/>
      <c r="C729" s="240"/>
      <c r="D729" s="242"/>
      <c r="E729" s="242"/>
      <c r="F729" s="242"/>
      <c r="G729" s="242"/>
      <c r="H729" s="242"/>
      <c r="I729" s="242"/>
      <c r="J729" s="242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ht="14.25" customHeight="1">
      <c r="A730" s="240"/>
      <c r="B730" s="241"/>
      <c r="C730" s="240"/>
      <c r="D730" s="242"/>
      <c r="E730" s="242"/>
      <c r="F730" s="242"/>
      <c r="G730" s="242"/>
      <c r="H730" s="242"/>
      <c r="I730" s="242"/>
      <c r="J730" s="242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ht="14.25" customHeight="1">
      <c r="A731" s="240"/>
      <c r="B731" s="241"/>
      <c r="C731" s="240"/>
      <c r="D731" s="242"/>
      <c r="E731" s="242"/>
      <c r="F731" s="242"/>
      <c r="G731" s="242"/>
      <c r="H731" s="242"/>
      <c r="I731" s="242"/>
      <c r="J731" s="242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ht="14.25" customHeight="1">
      <c r="A732" s="240"/>
      <c r="B732" s="241"/>
      <c r="C732" s="240"/>
      <c r="D732" s="242"/>
      <c r="E732" s="242"/>
      <c r="F732" s="242"/>
      <c r="G732" s="242"/>
      <c r="H732" s="242"/>
      <c r="I732" s="242"/>
      <c r="J732" s="242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ht="14.25" customHeight="1">
      <c r="A733" s="240"/>
      <c r="B733" s="241"/>
      <c r="C733" s="240"/>
      <c r="D733" s="242"/>
      <c r="E733" s="242"/>
      <c r="F733" s="242"/>
      <c r="G733" s="242"/>
      <c r="H733" s="242"/>
      <c r="I733" s="242"/>
      <c r="J733" s="242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ht="14.25" customHeight="1">
      <c r="A734" s="240"/>
      <c r="B734" s="241"/>
      <c r="C734" s="240"/>
      <c r="D734" s="242"/>
      <c r="E734" s="242"/>
      <c r="F734" s="242"/>
      <c r="G734" s="242"/>
      <c r="H734" s="242"/>
      <c r="I734" s="242"/>
      <c r="J734" s="242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ht="14.25" customHeight="1">
      <c r="A735" s="240"/>
      <c r="B735" s="241"/>
      <c r="C735" s="240"/>
      <c r="D735" s="242"/>
      <c r="E735" s="242"/>
      <c r="F735" s="242"/>
      <c r="G735" s="242"/>
      <c r="H735" s="242"/>
      <c r="I735" s="242"/>
      <c r="J735" s="242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ht="14.25" customHeight="1">
      <c r="A736" s="240"/>
      <c r="B736" s="241"/>
      <c r="C736" s="240"/>
      <c r="D736" s="242"/>
      <c r="E736" s="242"/>
      <c r="F736" s="242"/>
      <c r="G736" s="242"/>
      <c r="H736" s="242"/>
      <c r="I736" s="242"/>
      <c r="J736" s="242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ht="14.25" customHeight="1">
      <c r="A737" s="240"/>
      <c r="B737" s="241"/>
      <c r="C737" s="240"/>
      <c r="D737" s="242"/>
      <c r="E737" s="242"/>
      <c r="F737" s="242"/>
      <c r="G737" s="242"/>
      <c r="H737" s="242"/>
      <c r="I737" s="242"/>
      <c r="J737" s="242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ht="14.25" customHeight="1">
      <c r="A738" s="240"/>
      <c r="B738" s="241"/>
      <c r="C738" s="240"/>
      <c r="D738" s="242"/>
      <c r="E738" s="242"/>
      <c r="F738" s="242"/>
      <c r="G738" s="242"/>
      <c r="H738" s="242"/>
      <c r="I738" s="242"/>
      <c r="J738" s="242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ht="14.25" customHeight="1">
      <c r="A739" s="240"/>
      <c r="B739" s="241"/>
      <c r="C739" s="240"/>
      <c r="D739" s="242"/>
      <c r="E739" s="242"/>
      <c r="F739" s="242"/>
      <c r="G739" s="242"/>
      <c r="H739" s="242"/>
      <c r="I739" s="242"/>
      <c r="J739" s="242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ht="14.25" customHeight="1">
      <c r="A740" s="240"/>
      <c r="B740" s="241"/>
      <c r="C740" s="240"/>
      <c r="D740" s="242"/>
      <c r="E740" s="242"/>
      <c r="F740" s="242"/>
      <c r="G740" s="242"/>
      <c r="H740" s="242"/>
      <c r="I740" s="242"/>
      <c r="J740" s="242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ht="14.25" customHeight="1">
      <c r="A741" s="240"/>
      <c r="B741" s="241"/>
      <c r="C741" s="240"/>
      <c r="D741" s="242"/>
      <c r="E741" s="242"/>
      <c r="F741" s="242"/>
      <c r="G741" s="242"/>
      <c r="H741" s="242"/>
      <c r="I741" s="242"/>
      <c r="J741" s="242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ht="14.25" customHeight="1">
      <c r="A742" s="240"/>
      <c r="B742" s="241"/>
      <c r="C742" s="240"/>
      <c r="D742" s="242"/>
      <c r="E742" s="242"/>
      <c r="F742" s="242"/>
      <c r="G742" s="242"/>
      <c r="H742" s="242"/>
      <c r="I742" s="242"/>
      <c r="J742" s="242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ht="14.25" customHeight="1">
      <c r="A743" s="240"/>
      <c r="B743" s="241"/>
      <c r="C743" s="240"/>
      <c r="D743" s="242"/>
      <c r="E743" s="242"/>
      <c r="F743" s="242"/>
      <c r="G743" s="242"/>
      <c r="H743" s="242"/>
      <c r="I743" s="242"/>
      <c r="J743" s="242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ht="14.25" customHeight="1">
      <c r="A744" s="240"/>
      <c r="B744" s="241"/>
      <c r="C744" s="240"/>
      <c r="D744" s="242"/>
      <c r="E744" s="242"/>
      <c r="F744" s="242"/>
      <c r="G744" s="242"/>
      <c r="H744" s="242"/>
      <c r="I744" s="242"/>
      <c r="J744" s="242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ht="14.25" customHeight="1">
      <c r="A745" s="240"/>
      <c r="B745" s="241"/>
      <c r="C745" s="240"/>
      <c r="D745" s="242"/>
      <c r="E745" s="242"/>
      <c r="F745" s="242"/>
      <c r="G745" s="242"/>
      <c r="H745" s="242"/>
      <c r="I745" s="242"/>
      <c r="J745" s="242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ht="14.25" customHeight="1">
      <c r="A746" s="240"/>
      <c r="B746" s="241"/>
      <c r="C746" s="240"/>
      <c r="D746" s="242"/>
      <c r="E746" s="242"/>
      <c r="F746" s="242"/>
      <c r="G746" s="242"/>
      <c r="H746" s="242"/>
      <c r="I746" s="242"/>
      <c r="J746" s="242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ht="14.25" customHeight="1">
      <c r="A747" s="240"/>
      <c r="B747" s="241"/>
      <c r="C747" s="240"/>
      <c r="D747" s="242"/>
      <c r="E747" s="242"/>
      <c r="F747" s="242"/>
      <c r="G747" s="242"/>
      <c r="H747" s="242"/>
      <c r="I747" s="242"/>
      <c r="J747" s="242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ht="14.25" customHeight="1">
      <c r="A748" s="240"/>
      <c r="B748" s="241"/>
      <c r="C748" s="240"/>
      <c r="D748" s="242"/>
      <c r="E748" s="242"/>
      <c r="F748" s="242"/>
      <c r="G748" s="242"/>
      <c r="H748" s="242"/>
      <c r="I748" s="242"/>
      <c r="J748" s="242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ht="14.25" customHeight="1">
      <c r="A749" s="240"/>
      <c r="B749" s="241"/>
      <c r="C749" s="240"/>
      <c r="D749" s="242"/>
      <c r="E749" s="242"/>
      <c r="F749" s="242"/>
      <c r="G749" s="242"/>
      <c r="H749" s="242"/>
      <c r="I749" s="242"/>
      <c r="J749" s="242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ht="14.25" customHeight="1">
      <c r="A750" s="240"/>
      <c r="B750" s="241"/>
      <c r="C750" s="240"/>
      <c r="D750" s="242"/>
      <c r="E750" s="242"/>
      <c r="F750" s="242"/>
      <c r="G750" s="242"/>
      <c r="H750" s="242"/>
      <c r="I750" s="242"/>
      <c r="J750" s="242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ht="14.25" customHeight="1">
      <c r="A751" s="240"/>
      <c r="B751" s="241"/>
      <c r="C751" s="240"/>
      <c r="D751" s="242"/>
      <c r="E751" s="242"/>
      <c r="F751" s="242"/>
      <c r="G751" s="242"/>
      <c r="H751" s="242"/>
      <c r="I751" s="242"/>
      <c r="J751" s="242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ht="14.25" customHeight="1">
      <c r="A752" s="240"/>
      <c r="B752" s="241"/>
      <c r="C752" s="240"/>
      <c r="D752" s="242"/>
      <c r="E752" s="242"/>
      <c r="F752" s="242"/>
      <c r="G752" s="242"/>
      <c r="H752" s="242"/>
      <c r="I752" s="242"/>
      <c r="J752" s="242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ht="14.25" customHeight="1">
      <c r="A753" s="240"/>
      <c r="B753" s="241"/>
      <c r="C753" s="240"/>
      <c r="D753" s="242"/>
      <c r="E753" s="242"/>
      <c r="F753" s="242"/>
      <c r="G753" s="242"/>
      <c r="H753" s="242"/>
      <c r="I753" s="242"/>
      <c r="J753" s="242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ht="14.25" customHeight="1">
      <c r="A754" s="240"/>
      <c r="B754" s="241"/>
      <c r="C754" s="240"/>
      <c r="D754" s="242"/>
      <c r="E754" s="242"/>
      <c r="F754" s="242"/>
      <c r="G754" s="242"/>
      <c r="H754" s="242"/>
      <c r="I754" s="242"/>
      <c r="J754" s="242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ht="14.25" customHeight="1">
      <c r="A755" s="240"/>
      <c r="B755" s="241"/>
      <c r="C755" s="240"/>
      <c r="D755" s="242"/>
      <c r="E755" s="242"/>
      <c r="F755" s="242"/>
      <c r="G755" s="242"/>
      <c r="H755" s="242"/>
      <c r="I755" s="242"/>
      <c r="J755" s="242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ht="14.25" customHeight="1">
      <c r="A756" s="240"/>
      <c r="B756" s="241"/>
      <c r="C756" s="240"/>
      <c r="D756" s="242"/>
      <c r="E756" s="242"/>
      <c r="F756" s="242"/>
      <c r="G756" s="242"/>
      <c r="H756" s="242"/>
      <c r="I756" s="242"/>
      <c r="J756" s="242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ht="14.25" customHeight="1">
      <c r="A757" s="240"/>
      <c r="B757" s="241"/>
      <c r="C757" s="240"/>
      <c r="D757" s="242"/>
      <c r="E757" s="242"/>
      <c r="F757" s="242"/>
      <c r="G757" s="242"/>
      <c r="H757" s="242"/>
      <c r="I757" s="242"/>
      <c r="J757" s="242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ht="14.25" customHeight="1">
      <c r="A758" s="240"/>
      <c r="B758" s="241"/>
      <c r="C758" s="240"/>
      <c r="D758" s="242"/>
      <c r="E758" s="242"/>
      <c r="F758" s="242"/>
      <c r="G758" s="242"/>
      <c r="H758" s="242"/>
      <c r="I758" s="242"/>
      <c r="J758" s="242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ht="14.25" customHeight="1">
      <c r="A759" s="240"/>
      <c r="B759" s="241"/>
      <c r="C759" s="240"/>
      <c r="D759" s="242"/>
      <c r="E759" s="242"/>
      <c r="F759" s="242"/>
      <c r="G759" s="242"/>
      <c r="H759" s="242"/>
      <c r="I759" s="242"/>
      <c r="J759" s="242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ht="14.25" customHeight="1">
      <c r="A760" s="240"/>
      <c r="B760" s="241"/>
      <c r="C760" s="240"/>
      <c r="D760" s="242"/>
      <c r="E760" s="242"/>
      <c r="F760" s="242"/>
      <c r="G760" s="242"/>
      <c r="H760" s="242"/>
      <c r="I760" s="242"/>
      <c r="J760" s="242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ht="14.25" customHeight="1">
      <c r="A761" s="240"/>
      <c r="B761" s="241"/>
      <c r="C761" s="240"/>
      <c r="D761" s="242"/>
      <c r="E761" s="242"/>
      <c r="F761" s="242"/>
      <c r="G761" s="242"/>
      <c r="H761" s="242"/>
      <c r="I761" s="242"/>
      <c r="J761" s="242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ht="14.25" customHeight="1">
      <c r="A762" s="240"/>
      <c r="B762" s="241"/>
      <c r="C762" s="240"/>
      <c r="D762" s="242"/>
      <c r="E762" s="242"/>
      <c r="F762" s="242"/>
      <c r="G762" s="242"/>
      <c r="H762" s="242"/>
      <c r="I762" s="242"/>
      <c r="J762" s="242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ht="14.25" customHeight="1">
      <c r="A763" s="240"/>
      <c r="B763" s="241"/>
      <c r="C763" s="240"/>
      <c r="D763" s="242"/>
      <c r="E763" s="242"/>
      <c r="F763" s="242"/>
      <c r="G763" s="242"/>
      <c r="H763" s="242"/>
      <c r="I763" s="242"/>
      <c r="J763" s="242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ht="14.25" customHeight="1">
      <c r="A764" s="240"/>
      <c r="B764" s="241"/>
      <c r="C764" s="240"/>
      <c r="D764" s="242"/>
      <c r="E764" s="242"/>
      <c r="F764" s="242"/>
      <c r="G764" s="242"/>
      <c r="H764" s="242"/>
      <c r="I764" s="242"/>
      <c r="J764" s="242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ht="14.25" customHeight="1">
      <c r="A765" s="240"/>
      <c r="B765" s="241"/>
      <c r="C765" s="240"/>
      <c r="D765" s="242"/>
      <c r="E765" s="242"/>
      <c r="F765" s="242"/>
      <c r="G765" s="242"/>
      <c r="H765" s="242"/>
      <c r="I765" s="242"/>
      <c r="J765" s="242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ht="14.25" customHeight="1">
      <c r="A766" s="240"/>
      <c r="B766" s="241"/>
      <c r="C766" s="240"/>
      <c r="D766" s="242"/>
      <c r="E766" s="242"/>
      <c r="F766" s="242"/>
      <c r="G766" s="242"/>
      <c r="H766" s="242"/>
      <c r="I766" s="242"/>
      <c r="J766" s="242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ht="14.25" customHeight="1">
      <c r="A767" s="240"/>
      <c r="B767" s="241"/>
      <c r="C767" s="240"/>
      <c r="D767" s="242"/>
      <c r="E767" s="242"/>
      <c r="F767" s="242"/>
      <c r="G767" s="242"/>
      <c r="H767" s="242"/>
      <c r="I767" s="242"/>
      <c r="J767" s="242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ht="14.25" customHeight="1">
      <c r="A768" s="240"/>
      <c r="B768" s="241"/>
      <c r="C768" s="240"/>
      <c r="D768" s="242"/>
      <c r="E768" s="242"/>
      <c r="F768" s="242"/>
      <c r="G768" s="242"/>
      <c r="H768" s="242"/>
      <c r="I768" s="242"/>
      <c r="J768" s="242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ht="14.25" customHeight="1">
      <c r="A769" s="240"/>
      <c r="B769" s="241"/>
      <c r="C769" s="240"/>
      <c r="D769" s="242"/>
      <c r="E769" s="242"/>
      <c r="F769" s="242"/>
      <c r="G769" s="242"/>
      <c r="H769" s="242"/>
      <c r="I769" s="242"/>
      <c r="J769" s="242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ht="14.25" customHeight="1">
      <c r="A770" s="240"/>
      <c r="B770" s="241"/>
      <c r="C770" s="240"/>
      <c r="D770" s="242"/>
      <c r="E770" s="242"/>
      <c r="F770" s="242"/>
      <c r="G770" s="242"/>
      <c r="H770" s="242"/>
      <c r="I770" s="242"/>
      <c r="J770" s="242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ht="14.25" customHeight="1">
      <c r="A771" s="240"/>
      <c r="B771" s="241"/>
      <c r="C771" s="240"/>
      <c r="D771" s="242"/>
      <c r="E771" s="242"/>
      <c r="F771" s="242"/>
      <c r="G771" s="242"/>
      <c r="H771" s="242"/>
      <c r="I771" s="242"/>
      <c r="J771" s="242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ht="14.25" customHeight="1">
      <c r="A772" s="240"/>
      <c r="B772" s="241"/>
      <c r="C772" s="240"/>
      <c r="D772" s="242"/>
      <c r="E772" s="242"/>
      <c r="F772" s="242"/>
      <c r="G772" s="242"/>
      <c r="H772" s="242"/>
      <c r="I772" s="242"/>
      <c r="J772" s="242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ht="14.25" customHeight="1">
      <c r="A773" s="240"/>
      <c r="B773" s="241"/>
      <c r="C773" s="240"/>
      <c r="D773" s="242"/>
      <c r="E773" s="242"/>
      <c r="F773" s="242"/>
      <c r="G773" s="242"/>
      <c r="H773" s="242"/>
      <c r="I773" s="242"/>
      <c r="J773" s="242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ht="14.25" customHeight="1">
      <c r="A774" s="240"/>
      <c r="B774" s="241"/>
      <c r="C774" s="240"/>
      <c r="D774" s="242"/>
      <c r="E774" s="242"/>
      <c r="F774" s="242"/>
      <c r="G774" s="242"/>
      <c r="H774" s="242"/>
      <c r="I774" s="242"/>
      <c r="J774" s="242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ht="14.25" customHeight="1">
      <c r="A775" s="240"/>
      <c r="B775" s="241"/>
      <c r="C775" s="240"/>
      <c r="D775" s="242"/>
      <c r="E775" s="242"/>
      <c r="F775" s="242"/>
      <c r="G775" s="242"/>
      <c r="H775" s="242"/>
      <c r="I775" s="242"/>
      <c r="J775" s="242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ht="14.25" customHeight="1">
      <c r="A776" s="240"/>
      <c r="B776" s="241"/>
      <c r="C776" s="240"/>
      <c r="D776" s="242"/>
      <c r="E776" s="242"/>
      <c r="F776" s="242"/>
      <c r="G776" s="242"/>
      <c r="H776" s="242"/>
      <c r="I776" s="242"/>
      <c r="J776" s="242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ht="14.25" customHeight="1">
      <c r="A777" s="240"/>
      <c r="B777" s="241"/>
      <c r="C777" s="240"/>
      <c r="D777" s="242"/>
      <c r="E777" s="242"/>
      <c r="F777" s="242"/>
      <c r="G777" s="242"/>
      <c r="H777" s="242"/>
      <c r="I777" s="242"/>
      <c r="J777" s="242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ht="14.25" customHeight="1">
      <c r="A778" s="240"/>
      <c r="B778" s="241"/>
      <c r="C778" s="240"/>
      <c r="D778" s="242"/>
      <c r="E778" s="242"/>
      <c r="F778" s="242"/>
      <c r="G778" s="242"/>
      <c r="H778" s="242"/>
      <c r="I778" s="242"/>
      <c r="J778" s="242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ht="14.25" customHeight="1">
      <c r="A779" s="240"/>
      <c r="B779" s="241"/>
      <c r="C779" s="240"/>
      <c r="D779" s="242"/>
      <c r="E779" s="242"/>
      <c r="F779" s="242"/>
      <c r="G779" s="242"/>
      <c r="H779" s="242"/>
      <c r="I779" s="242"/>
      <c r="J779" s="242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ht="14.25" customHeight="1">
      <c r="A780" s="240"/>
      <c r="B780" s="241"/>
      <c r="C780" s="240"/>
      <c r="D780" s="242"/>
      <c r="E780" s="242"/>
      <c r="F780" s="242"/>
      <c r="G780" s="242"/>
      <c r="H780" s="242"/>
      <c r="I780" s="242"/>
      <c r="J780" s="242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ht="14.25" customHeight="1">
      <c r="A781" s="240"/>
      <c r="B781" s="241"/>
      <c r="C781" s="240"/>
      <c r="D781" s="242"/>
      <c r="E781" s="242"/>
      <c r="F781" s="242"/>
      <c r="G781" s="242"/>
      <c r="H781" s="242"/>
      <c r="I781" s="242"/>
      <c r="J781" s="242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ht="14.25" customHeight="1">
      <c r="A782" s="240"/>
      <c r="B782" s="241"/>
      <c r="C782" s="240"/>
      <c r="D782" s="242"/>
      <c r="E782" s="242"/>
      <c r="F782" s="242"/>
      <c r="G782" s="242"/>
      <c r="H782" s="242"/>
      <c r="I782" s="242"/>
      <c r="J782" s="242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ht="14.25" customHeight="1">
      <c r="A783" s="240"/>
      <c r="B783" s="241"/>
      <c r="C783" s="240"/>
      <c r="D783" s="242"/>
      <c r="E783" s="242"/>
      <c r="F783" s="242"/>
      <c r="G783" s="242"/>
      <c r="H783" s="242"/>
      <c r="I783" s="242"/>
      <c r="J783" s="242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ht="14.25" customHeight="1">
      <c r="A784" s="240"/>
      <c r="B784" s="241"/>
      <c r="C784" s="240"/>
      <c r="D784" s="242"/>
      <c r="E784" s="242"/>
      <c r="F784" s="242"/>
      <c r="G784" s="242"/>
      <c r="H784" s="242"/>
      <c r="I784" s="242"/>
      <c r="J784" s="242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ht="14.25" customHeight="1">
      <c r="A785" s="240"/>
      <c r="B785" s="241"/>
      <c r="C785" s="240"/>
      <c r="D785" s="242"/>
      <c r="E785" s="242"/>
      <c r="F785" s="242"/>
      <c r="G785" s="242"/>
      <c r="H785" s="242"/>
      <c r="I785" s="242"/>
      <c r="J785" s="242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ht="14.25" customHeight="1">
      <c r="A786" s="240"/>
      <c r="B786" s="241"/>
      <c r="C786" s="240"/>
      <c r="D786" s="242"/>
      <c r="E786" s="242"/>
      <c r="F786" s="242"/>
      <c r="G786" s="242"/>
      <c r="H786" s="242"/>
      <c r="I786" s="242"/>
      <c r="J786" s="242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ht="14.25" customHeight="1">
      <c r="A787" s="240"/>
      <c r="B787" s="241"/>
      <c r="C787" s="240"/>
      <c r="D787" s="242"/>
      <c r="E787" s="242"/>
      <c r="F787" s="242"/>
      <c r="G787" s="242"/>
      <c r="H787" s="242"/>
      <c r="I787" s="242"/>
      <c r="J787" s="242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ht="14.25" customHeight="1">
      <c r="A788" s="240"/>
      <c r="B788" s="241"/>
      <c r="C788" s="240"/>
      <c r="D788" s="242"/>
      <c r="E788" s="242"/>
      <c r="F788" s="242"/>
      <c r="G788" s="242"/>
      <c r="H788" s="242"/>
      <c r="I788" s="242"/>
      <c r="J788" s="242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ht="14.25" customHeight="1">
      <c r="A789" s="240"/>
      <c r="B789" s="241"/>
      <c r="C789" s="240"/>
      <c r="D789" s="242"/>
      <c r="E789" s="242"/>
      <c r="F789" s="242"/>
      <c r="G789" s="242"/>
      <c r="H789" s="242"/>
      <c r="I789" s="242"/>
      <c r="J789" s="242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ht="14.25" customHeight="1">
      <c r="A790" s="240"/>
      <c r="B790" s="241"/>
      <c r="C790" s="240"/>
      <c r="D790" s="242"/>
      <c r="E790" s="242"/>
      <c r="F790" s="242"/>
      <c r="G790" s="242"/>
      <c r="H790" s="242"/>
      <c r="I790" s="242"/>
      <c r="J790" s="242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ht="14.25" customHeight="1">
      <c r="A791" s="240"/>
      <c r="B791" s="241"/>
      <c r="C791" s="240"/>
      <c r="D791" s="242"/>
      <c r="E791" s="242"/>
      <c r="F791" s="242"/>
      <c r="G791" s="242"/>
      <c r="H791" s="242"/>
      <c r="I791" s="242"/>
      <c r="J791" s="242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ht="14.25" customHeight="1">
      <c r="A792" s="240"/>
      <c r="B792" s="241"/>
      <c r="C792" s="240"/>
      <c r="D792" s="242"/>
      <c r="E792" s="242"/>
      <c r="F792" s="242"/>
      <c r="G792" s="242"/>
      <c r="H792" s="242"/>
      <c r="I792" s="242"/>
      <c r="J792" s="242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ht="14.25" customHeight="1">
      <c r="A793" s="240"/>
      <c r="B793" s="241"/>
      <c r="C793" s="240"/>
      <c r="D793" s="242"/>
      <c r="E793" s="242"/>
      <c r="F793" s="242"/>
      <c r="G793" s="242"/>
      <c r="H793" s="242"/>
      <c r="I793" s="242"/>
      <c r="J793" s="242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ht="14.25" customHeight="1">
      <c r="A794" s="240"/>
      <c r="B794" s="241"/>
      <c r="C794" s="240"/>
      <c r="D794" s="242"/>
      <c r="E794" s="242"/>
      <c r="F794" s="242"/>
      <c r="G794" s="242"/>
      <c r="H794" s="242"/>
      <c r="I794" s="242"/>
      <c r="J794" s="242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ht="14.25" customHeight="1">
      <c r="A795" s="240"/>
      <c r="B795" s="241"/>
      <c r="C795" s="240"/>
      <c r="D795" s="242"/>
      <c r="E795" s="242"/>
      <c r="F795" s="242"/>
      <c r="G795" s="242"/>
      <c r="H795" s="242"/>
      <c r="I795" s="242"/>
      <c r="J795" s="242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ht="14.25" customHeight="1">
      <c r="A796" s="240"/>
      <c r="B796" s="241"/>
      <c r="C796" s="240"/>
      <c r="D796" s="242"/>
      <c r="E796" s="242"/>
      <c r="F796" s="242"/>
      <c r="G796" s="242"/>
      <c r="H796" s="242"/>
      <c r="I796" s="242"/>
      <c r="J796" s="242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ht="14.25" customHeight="1">
      <c r="A797" s="240"/>
      <c r="B797" s="241"/>
      <c r="C797" s="240"/>
      <c r="D797" s="242"/>
      <c r="E797" s="242"/>
      <c r="F797" s="242"/>
      <c r="G797" s="242"/>
      <c r="H797" s="242"/>
      <c r="I797" s="242"/>
      <c r="J797" s="242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ht="14.25" customHeight="1">
      <c r="A798" s="240"/>
      <c r="B798" s="241"/>
      <c r="C798" s="240"/>
      <c r="D798" s="242"/>
      <c r="E798" s="242"/>
      <c r="F798" s="242"/>
      <c r="G798" s="242"/>
      <c r="H798" s="242"/>
      <c r="I798" s="242"/>
      <c r="J798" s="242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ht="14.25" customHeight="1">
      <c r="A799" s="240"/>
      <c r="B799" s="241"/>
      <c r="C799" s="240"/>
      <c r="D799" s="242"/>
      <c r="E799" s="242"/>
      <c r="F799" s="242"/>
      <c r="G799" s="242"/>
      <c r="H799" s="242"/>
      <c r="I799" s="242"/>
      <c r="J799" s="242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ht="14.25" customHeight="1">
      <c r="A800" s="240"/>
      <c r="B800" s="241"/>
      <c r="C800" s="240"/>
      <c r="D800" s="242"/>
      <c r="E800" s="242"/>
      <c r="F800" s="242"/>
      <c r="G800" s="242"/>
      <c r="H800" s="242"/>
      <c r="I800" s="242"/>
      <c r="J800" s="242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ht="14.25" customHeight="1">
      <c r="A801" s="240"/>
      <c r="B801" s="241"/>
      <c r="C801" s="240"/>
      <c r="D801" s="242"/>
      <c r="E801" s="242"/>
      <c r="F801" s="242"/>
      <c r="G801" s="242"/>
      <c r="H801" s="242"/>
      <c r="I801" s="242"/>
      <c r="J801" s="242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ht="14.25" customHeight="1">
      <c r="A802" s="240"/>
      <c r="B802" s="241"/>
      <c r="C802" s="240"/>
      <c r="D802" s="242"/>
      <c r="E802" s="242"/>
      <c r="F802" s="242"/>
      <c r="G802" s="242"/>
      <c r="H802" s="242"/>
      <c r="I802" s="242"/>
      <c r="J802" s="242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ht="14.25" customHeight="1">
      <c r="A803" s="240"/>
      <c r="B803" s="241"/>
      <c r="C803" s="240"/>
      <c r="D803" s="242"/>
      <c r="E803" s="242"/>
      <c r="F803" s="242"/>
      <c r="G803" s="242"/>
      <c r="H803" s="242"/>
      <c r="I803" s="242"/>
      <c r="J803" s="242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ht="14.25" customHeight="1">
      <c r="A804" s="240"/>
      <c r="B804" s="241"/>
      <c r="C804" s="240"/>
      <c r="D804" s="242"/>
      <c r="E804" s="242"/>
      <c r="F804" s="242"/>
      <c r="G804" s="242"/>
      <c r="H804" s="242"/>
      <c r="I804" s="242"/>
      <c r="J804" s="242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ht="14.25" customHeight="1">
      <c r="A805" s="240"/>
      <c r="B805" s="241"/>
      <c r="C805" s="240"/>
      <c r="D805" s="242"/>
      <c r="E805" s="242"/>
      <c r="F805" s="242"/>
      <c r="G805" s="242"/>
      <c r="H805" s="242"/>
      <c r="I805" s="242"/>
      <c r="J805" s="242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ht="14.25" customHeight="1">
      <c r="A806" s="240"/>
      <c r="B806" s="241"/>
      <c r="C806" s="240"/>
      <c r="D806" s="242"/>
      <c r="E806" s="242"/>
      <c r="F806" s="242"/>
      <c r="G806" s="242"/>
      <c r="H806" s="242"/>
      <c r="I806" s="242"/>
      <c r="J806" s="242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ht="14.25" customHeight="1">
      <c r="A807" s="240"/>
      <c r="B807" s="241"/>
      <c r="C807" s="240"/>
      <c r="D807" s="242"/>
      <c r="E807" s="242"/>
      <c r="F807" s="242"/>
      <c r="G807" s="242"/>
      <c r="H807" s="242"/>
      <c r="I807" s="242"/>
      <c r="J807" s="242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ht="14.25" customHeight="1">
      <c r="A808" s="240"/>
      <c r="B808" s="241"/>
      <c r="C808" s="240"/>
      <c r="D808" s="242"/>
      <c r="E808" s="242"/>
      <c r="F808" s="242"/>
      <c r="G808" s="242"/>
      <c r="H808" s="242"/>
      <c r="I808" s="242"/>
      <c r="J808" s="242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ht="14.25" customHeight="1">
      <c r="A809" s="240"/>
      <c r="B809" s="241"/>
      <c r="C809" s="240"/>
      <c r="D809" s="242"/>
      <c r="E809" s="242"/>
      <c r="F809" s="242"/>
      <c r="G809" s="242"/>
      <c r="H809" s="242"/>
      <c r="I809" s="242"/>
      <c r="J809" s="242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ht="14.25" customHeight="1">
      <c r="A810" s="240"/>
      <c r="B810" s="241"/>
      <c r="C810" s="240"/>
      <c r="D810" s="242"/>
      <c r="E810" s="242"/>
      <c r="F810" s="242"/>
      <c r="G810" s="242"/>
      <c r="H810" s="242"/>
      <c r="I810" s="242"/>
      <c r="J810" s="242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ht="14.25" customHeight="1">
      <c r="A811" s="240"/>
      <c r="B811" s="241"/>
      <c r="C811" s="240"/>
      <c r="D811" s="242"/>
      <c r="E811" s="242"/>
      <c r="F811" s="242"/>
      <c r="G811" s="242"/>
      <c r="H811" s="242"/>
      <c r="I811" s="242"/>
      <c r="J811" s="242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ht="14.25" customHeight="1">
      <c r="A812" s="240"/>
      <c r="B812" s="241"/>
      <c r="C812" s="240"/>
      <c r="D812" s="242"/>
      <c r="E812" s="242"/>
      <c r="F812" s="242"/>
      <c r="G812" s="242"/>
      <c r="H812" s="242"/>
      <c r="I812" s="242"/>
      <c r="J812" s="242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ht="14.25" customHeight="1">
      <c r="A813" s="240"/>
      <c r="B813" s="241"/>
      <c r="C813" s="240"/>
      <c r="D813" s="242"/>
      <c r="E813" s="242"/>
      <c r="F813" s="242"/>
      <c r="G813" s="242"/>
      <c r="H813" s="242"/>
      <c r="I813" s="242"/>
      <c r="J813" s="242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ht="14.25" customHeight="1">
      <c r="A814" s="240"/>
      <c r="B814" s="241"/>
      <c r="C814" s="240"/>
      <c r="D814" s="242"/>
      <c r="E814" s="242"/>
      <c r="F814" s="242"/>
      <c r="G814" s="242"/>
      <c r="H814" s="242"/>
      <c r="I814" s="242"/>
      <c r="J814" s="242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ht="14.25" customHeight="1">
      <c r="A815" s="240"/>
      <c r="B815" s="241"/>
      <c r="C815" s="240"/>
      <c r="D815" s="242"/>
      <c r="E815" s="242"/>
      <c r="F815" s="242"/>
      <c r="G815" s="242"/>
      <c r="H815" s="242"/>
      <c r="I815" s="242"/>
      <c r="J815" s="242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ht="14.25" customHeight="1">
      <c r="A816" s="240"/>
      <c r="B816" s="241"/>
      <c r="C816" s="240"/>
      <c r="D816" s="242"/>
      <c r="E816" s="242"/>
      <c r="F816" s="242"/>
      <c r="G816" s="242"/>
      <c r="H816" s="242"/>
      <c r="I816" s="242"/>
      <c r="J816" s="242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ht="14.25" customHeight="1">
      <c r="A817" s="240"/>
      <c r="B817" s="241"/>
      <c r="C817" s="240"/>
      <c r="D817" s="242"/>
      <c r="E817" s="242"/>
      <c r="F817" s="242"/>
      <c r="G817" s="242"/>
      <c r="H817" s="242"/>
      <c r="I817" s="242"/>
      <c r="J817" s="242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ht="14.25" customHeight="1">
      <c r="A818" s="240"/>
      <c r="B818" s="241"/>
      <c r="C818" s="240"/>
      <c r="D818" s="242"/>
      <c r="E818" s="242"/>
      <c r="F818" s="242"/>
      <c r="G818" s="242"/>
      <c r="H818" s="242"/>
      <c r="I818" s="242"/>
      <c r="J818" s="242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ht="14.25" customHeight="1">
      <c r="A819" s="240"/>
      <c r="B819" s="241"/>
      <c r="C819" s="240"/>
      <c r="D819" s="242"/>
      <c r="E819" s="242"/>
      <c r="F819" s="242"/>
      <c r="G819" s="242"/>
      <c r="H819" s="242"/>
      <c r="I819" s="242"/>
      <c r="J819" s="242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ht="14.25" customHeight="1">
      <c r="A820" s="240"/>
      <c r="B820" s="241"/>
      <c r="C820" s="240"/>
      <c r="D820" s="242"/>
      <c r="E820" s="242"/>
      <c r="F820" s="242"/>
      <c r="G820" s="242"/>
      <c r="H820" s="242"/>
      <c r="I820" s="242"/>
      <c r="J820" s="242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ht="14.25" customHeight="1">
      <c r="A821" s="240"/>
      <c r="B821" s="241"/>
      <c r="C821" s="240"/>
      <c r="D821" s="242"/>
      <c r="E821" s="242"/>
      <c r="F821" s="242"/>
      <c r="G821" s="242"/>
      <c r="H821" s="242"/>
      <c r="I821" s="242"/>
      <c r="J821" s="242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ht="14.25" customHeight="1">
      <c r="A822" s="240"/>
      <c r="B822" s="241"/>
      <c r="C822" s="240"/>
      <c r="D822" s="242"/>
      <c r="E822" s="242"/>
      <c r="F822" s="242"/>
      <c r="G822" s="242"/>
      <c r="H822" s="242"/>
      <c r="I822" s="242"/>
      <c r="J822" s="242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ht="14.25" customHeight="1">
      <c r="A823" s="240"/>
      <c r="B823" s="241"/>
      <c r="C823" s="240"/>
      <c r="D823" s="242"/>
      <c r="E823" s="242"/>
      <c r="F823" s="242"/>
      <c r="G823" s="242"/>
      <c r="H823" s="242"/>
      <c r="I823" s="242"/>
      <c r="J823" s="242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ht="14.25" customHeight="1">
      <c r="A824" s="240"/>
      <c r="B824" s="241"/>
      <c r="C824" s="240"/>
      <c r="D824" s="242"/>
      <c r="E824" s="242"/>
      <c r="F824" s="242"/>
      <c r="G824" s="242"/>
      <c r="H824" s="242"/>
      <c r="I824" s="242"/>
      <c r="J824" s="242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ht="14.25" customHeight="1">
      <c r="A825" s="240"/>
      <c r="B825" s="241"/>
      <c r="C825" s="240"/>
      <c r="D825" s="242"/>
      <c r="E825" s="242"/>
      <c r="F825" s="242"/>
      <c r="G825" s="242"/>
      <c r="H825" s="242"/>
      <c r="I825" s="242"/>
      <c r="J825" s="242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ht="14.25" customHeight="1">
      <c r="A826" s="240"/>
      <c r="B826" s="241"/>
      <c r="C826" s="240"/>
      <c r="D826" s="242"/>
      <c r="E826" s="242"/>
      <c r="F826" s="242"/>
      <c r="G826" s="242"/>
      <c r="H826" s="242"/>
      <c r="I826" s="242"/>
      <c r="J826" s="242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ht="14.25" customHeight="1">
      <c r="A827" s="240"/>
      <c r="B827" s="241"/>
      <c r="C827" s="240"/>
      <c r="D827" s="242"/>
      <c r="E827" s="242"/>
      <c r="F827" s="242"/>
      <c r="G827" s="242"/>
      <c r="H827" s="242"/>
      <c r="I827" s="242"/>
      <c r="J827" s="242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ht="14.25" customHeight="1">
      <c r="A828" s="240"/>
      <c r="B828" s="241"/>
      <c r="C828" s="240"/>
      <c r="D828" s="242"/>
      <c r="E828" s="242"/>
      <c r="F828" s="242"/>
      <c r="G828" s="242"/>
      <c r="H828" s="242"/>
      <c r="I828" s="242"/>
      <c r="J828" s="242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ht="14.25" customHeight="1">
      <c r="A829" s="240"/>
      <c r="B829" s="241"/>
      <c r="C829" s="240"/>
      <c r="D829" s="242"/>
      <c r="E829" s="242"/>
      <c r="F829" s="242"/>
      <c r="G829" s="242"/>
      <c r="H829" s="242"/>
      <c r="I829" s="242"/>
      <c r="J829" s="242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ht="14.25" customHeight="1">
      <c r="A830" s="240"/>
      <c r="B830" s="241"/>
      <c r="C830" s="240"/>
      <c r="D830" s="242"/>
      <c r="E830" s="242"/>
      <c r="F830" s="242"/>
      <c r="G830" s="242"/>
      <c r="H830" s="242"/>
      <c r="I830" s="242"/>
      <c r="J830" s="242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ht="14.25" customHeight="1">
      <c r="A831" s="240"/>
      <c r="B831" s="241"/>
      <c r="C831" s="240"/>
      <c r="D831" s="242"/>
      <c r="E831" s="242"/>
      <c r="F831" s="242"/>
      <c r="G831" s="242"/>
      <c r="H831" s="242"/>
      <c r="I831" s="242"/>
      <c r="J831" s="242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ht="14.25" customHeight="1">
      <c r="A832" s="240"/>
      <c r="B832" s="241"/>
      <c r="C832" s="240"/>
      <c r="D832" s="242"/>
      <c r="E832" s="242"/>
      <c r="F832" s="242"/>
      <c r="G832" s="242"/>
      <c r="H832" s="242"/>
      <c r="I832" s="242"/>
      <c r="J832" s="242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ht="14.25" customHeight="1">
      <c r="A833" s="240"/>
      <c r="B833" s="241"/>
      <c r="C833" s="240"/>
      <c r="D833" s="242"/>
      <c r="E833" s="242"/>
      <c r="F833" s="242"/>
      <c r="G833" s="242"/>
      <c r="H833" s="242"/>
      <c r="I833" s="242"/>
      <c r="J833" s="242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ht="14.25" customHeight="1">
      <c r="A834" s="240"/>
      <c r="B834" s="241"/>
      <c r="C834" s="240"/>
      <c r="D834" s="242"/>
      <c r="E834" s="242"/>
      <c r="F834" s="242"/>
      <c r="G834" s="242"/>
      <c r="H834" s="242"/>
      <c r="I834" s="242"/>
      <c r="J834" s="242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ht="14.25" customHeight="1">
      <c r="A835" s="240"/>
      <c r="B835" s="241"/>
      <c r="C835" s="240"/>
      <c r="D835" s="242"/>
      <c r="E835" s="242"/>
      <c r="F835" s="242"/>
      <c r="G835" s="242"/>
      <c r="H835" s="242"/>
      <c r="I835" s="242"/>
      <c r="J835" s="242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ht="14.25" customHeight="1">
      <c r="A836" s="240"/>
      <c r="B836" s="241"/>
      <c r="C836" s="240"/>
      <c r="D836" s="242"/>
      <c r="E836" s="242"/>
      <c r="F836" s="242"/>
      <c r="G836" s="242"/>
      <c r="H836" s="242"/>
      <c r="I836" s="242"/>
      <c r="J836" s="242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ht="14.25" customHeight="1">
      <c r="A837" s="240"/>
      <c r="B837" s="241"/>
      <c r="C837" s="240"/>
      <c r="D837" s="242"/>
      <c r="E837" s="242"/>
      <c r="F837" s="242"/>
      <c r="G837" s="242"/>
      <c r="H837" s="242"/>
      <c r="I837" s="242"/>
      <c r="J837" s="242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ht="14.25" customHeight="1">
      <c r="A838" s="240"/>
      <c r="B838" s="241"/>
      <c r="C838" s="240"/>
      <c r="D838" s="242"/>
      <c r="E838" s="242"/>
      <c r="F838" s="242"/>
      <c r="G838" s="242"/>
      <c r="H838" s="242"/>
      <c r="I838" s="242"/>
      <c r="J838" s="242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ht="14.25" customHeight="1">
      <c r="A839" s="240"/>
      <c r="B839" s="241"/>
      <c r="C839" s="240"/>
      <c r="D839" s="242"/>
      <c r="E839" s="242"/>
      <c r="F839" s="242"/>
      <c r="G839" s="242"/>
      <c r="H839" s="242"/>
      <c r="I839" s="242"/>
      <c r="J839" s="242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ht="14.25" customHeight="1">
      <c r="A840" s="240"/>
      <c r="B840" s="241"/>
      <c r="C840" s="240"/>
      <c r="D840" s="242"/>
      <c r="E840" s="242"/>
      <c r="F840" s="242"/>
      <c r="G840" s="242"/>
      <c r="H840" s="242"/>
      <c r="I840" s="242"/>
      <c r="J840" s="242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ht="14.25" customHeight="1">
      <c r="A841" s="240"/>
      <c r="B841" s="241"/>
      <c r="C841" s="240"/>
      <c r="D841" s="242"/>
      <c r="E841" s="242"/>
      <c r="F841" s="242"/>
      <c r="G841" s="242"/>
      <c r="H841" s="242"/>
      <c r="I841" s="242"/>
      <c r="J841" s="242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ht="14.25" customHeight="1">
      <c r="A842" s="240"/>
      <c r="B842" s="241"/>
      <c r="C842" s="240"/>
      <c r="D842" s="242"/>
      <c r="E842" s="242"/>
      <c r="F842" s="242"/>
      <c r="G842" s="242"/>
      <c r="H842" s="242"/>
      <c r="I842" s="242"/>
      <c r="J842" s="242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ht="14.25" customHeight="1">
      <c r="A843" s="240"/>
      <c r="B843" s="241"/>
      <c r="C843" s="240"/>
      <c r="D843" s="242"/>
      <c r="E843" s="242"/>
      <c r="F843" s="242"/>
      <c r="G843" s="242"/>
      <c r="H843" s="242"/>
      <c r="I843" s="242"/>
      <c r="J843" s="242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ht="14.25" customHeight="1">
      <c r="A844" s="240"/>
      <c r="B844" s="241"/>
      <c r="C844" s="240"/>
      <c r="D844" s="242"/>
      <c r="E844" s="242"/>
      <c r="F844" s="242"/>
      <c r="G844" s="242"/>
      <c r="H844" s="242"/>
      <c r="I844" s="242"/>
      <c r="J844" s="242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ht="14.25" customHeight="1">
      <c r="A845" s="240"/>
      <c r="B845" s="241"/>
      <c r="C845" s="240"/>
      <c r="D845" s="242"/>
      <c r="E845" s="242"/>
      <c r="F845" s="242"/>
      <c r="G845" s="242"/>
      <c r="H845" s="242"/>
      <c r="I845" s="242"/>
      <c r="J845" s="242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ht="14.25" customHeight="1">
      <c r="A846" s="240"/>
      <c r="B846" s="241"/>
      <c r="C846" s="240"/>
      <c r="D846" s="242"/>
      <c r="E846" s="242"/>
      <c r="F846" s="242"/>
      <c r="G846" s="242"/>
      <c r="H846" s="242"/>
      <c r="I846" s="242"/>
      <c r="J846" s="242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ht="14.25" customHeight="1">
      <c r="A847" s="240"/>
      <c r="B847" s="241"/>
      <c r="C847" s="240"/>
      <c r="D847" s="242"/>
      <c r="E847" s="242"/>
      <c r="F847" s="242"/>
      <c r="G847" s="242"/>
      <c r="H847" s="242"/>
      <c r="I847" s="242"/>
      <c r="J847" s="242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ht="14.25" customHeight="1">
      <c r="A848" s="240"/>
      <c r="B848" s="241"/>
      <c r="C848" s="240"/>
      <c r="D848" s="242"/>
      <c r="E848" s="242"/>
      <c r="F848" s="242"/>
      <c r="G848" s="242"/>
      <c r="H848" s="242"/>
      <c r="I848" s="242"/>
      <c r="J848" s="242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ht="14.25" customHeight="1">
      <c r="A849" s="240"/>
      <c r="B849" s="241"/>
      <c r="C849" s="240"/>
      <c r="D849" s="242"/>
      <c r="E849" s="242"/>
      <c r="F849" s="242"/>
      <c r="G849" s="242"/>
      <c r="H849" s="242"/>
      <c r="I849" s="242"/>
      <c r="J849" s="242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ht="14.25" customHeight="1">
      <c r="A850" s="240"/>
      <c r="B850" s="241"/>
      <c r="C850" s="240"/>
      <c r="D850" s="242"/>
      <c r="E850" s="242"/>
      <c r="F850" s="242"/>
      <c r="G850" s="242"/>
      <c r="H850" s="242"/>
      <c r="I850" s="242"/>
      <c r="J850" s="242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ht="14.25" customHeight="1">
      <c r="A851" s="240"/>
      <c r="B851" s="241"/>
      <c r="C851" s="240"/>
      <c r="D851" s="242"/>
      <c r="E851" s="242"/>
      <c r="F851" s="242"/>
      <c r="G851" s="242"/>
      <c r="H851" s="242"/>
      <c r="I851" s="242"/>
      <c r="J851" s="242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ht="14.25" customHeight="1">
      <c r="A852" s="240"/>
      <c r="B852" s="241"/>
      <c r="C852" s="240"/>
      <c r="D852" s="242"/>
      <c r="E852" s="242"/>
      <c r="F852" s="242"/>
      <c r="G852" s="242"/>
      <c r="H852" s="242"/>
      <c r="I852" s="242"/>
      <c r="J852" s="242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ht="14.25" customHeight="1">
      <c r="A853" s="240"/>
      <c r="B853" s="241"/>
      <c r="C853" s="240"/>
      <c r="D853" s="242"/>
      <c r="E853" s="242"/>
      <c r="F853" s="242"/>
      <c r="G853" s="242"/>
      <c r="H853" s="242"/>
      <c r="I853" s="242"/>
      <c r="J853" s="242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ht="14.25" customHeight="1">
      <c r="A854" s="240"/>
      <c r="B854" s="241"/>
      <c r="C854" s="240"/>
      <c r="D854" s="242"/>
      <c r="E854" s="242"/>
      <c r="F854" s="242"/>
      <c r="G854" s="242"/>
      <c r="H854" s="242"/>
      <c r="I854" s="242"/>
      <c r="J854" s="242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ht="14.25" customHeight="1">
      <c r="A855" s="240"/>
      <c r="B855" s="241"/>
      <c r="C855" s="240"/>
      <c r="D855" s="242"/>
      <c r="E855" s="242"/>
      <c r="F855" s="242"/>
      <c r="G855" s="242"/>
      <c r="H855" s="242"/>
      <c r="I855" s="242"/>
      <c r="J855" s="242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ht="14.25" customHeight="1">
      <c r="A856" s="240"/>
      <c r="B856" s="241"/>
      <c r="C856" s="240"/>
      <c r="D856" s="242"/>
      <c r="E856" s="242"/>
      <c r="F856" s="242"/>
      <c r="G856" s="242"/>
      <c r="H856" s="242"/>
      <c r="I856" s="242"/>
      <c r="J856" s="242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ht="14.25" customHeight="1">
      <c r="A857" s="240"/>
      <c r="B857" s="241"/>
      <c r="C857" s="240"/>
      <c r="D857" s="242"/>
      <c r="E857" s="242"/>
      <c r="F857" s="242"/>
      <c r="G857" s="242"/>
      <c r="H857" s="242"/>
      <c r="I857" s="242"/>
      <c r="J857" s="242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ht="14.25" customHeight="1">
      <c r="A858" s="240"/>
      <c r="B858" s="241"/>
      <c r="C858" s="240"/>
      <c r="D858" s="242"/>
      <c r="E858" s="242"/>
      <c r="F858" s="242"/>
      <c r="G858" s="242"/>
      <c r="H858" s="242"/>
      <c r="I858" s="242"/>
      <c r="J858" s="242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ht="14.25" customHeight="1">
      <c r="A859" s="240"/>
      <c r="B859" s="241"/>
      <c r="C859" s="240"/>
      <c r="D859" s="242"/>
      <c r="E859" s="242"/>
      <c r="F859" s="242"/>
      <c r="G859" s="242"/>
      <c r="H859" s="242"/>
      <c r="I859" s="242"/>
      <c r="J859" s="242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ht="14.25" customHeight="1">
      <c r="A860" s="240"/>
      <c r="B860" s="241"/>
      <c r="C860" s="240"/>
      <c r="D860" s="242"/>
      <c r="E860" s="242"/>
      <c r="F860" s="242"/>
      <c r="G860" s="242"/>
      <c r="H860" s="242"/>
      <c r="I860" s="242"/>
      <c r="J860" s="242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ht="14.25" customHeight="1">
      <c r="A861" s="240"/>
      <c r="B861" s="241"/>
      <c r="C861" s="240"/>
      <c r="D861" s="242"/>
      <c r="E861" s="242"/>
      <c r="F861" s="242"/>
      <c r="G861" s="242"/>
      <c r="H861" s="242"/>
      <c r="I861" s="242"/>
      <c r="J861" s="242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ht="14.25" customHeight="1">
      <c r="A862" s="240"/>
      <c r="B862" s="241"/>
      <c r="C862" s="240"/>
      <c r="D862" s="242"/>
      <c r="E862" s="242"/>
      <c r="F862" s="242"/>
      <c r="G862" s="242"/>
      <c r="H862" s="242"/>
      <c r="I862" s="242"/>
      <c r="J862" s="242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ht="14.25" customHeight="1">
      <c r="A863" s="240"/>
      <c r="B863" s="241"/>
      <c r="C863" s="240"/>
      <c r="D863" s="242"/>
      <c r="E863" s="242"/>
      <c r="F863" s="242"/>
      <c r="G863" s="242"/>
      <c r="H863" s="242"/>
      <c r="I863" s="242"/>
      <c r="J863" s="242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ht="14.25" customHeight="1">
      <c r="A864" s="240"/>
      <c r="B864" s="241"/>
      <c r="C864" s="240"/>
      <c r="D864" s="242"/>
      <c r="E864" s="242"/>
      <c r="F864" s="242"/>
      <c r="G864" s="242"/>
      <c r="H864" s="242"/>
      <c r="I864" s="242"/>
      <c r="J864" s="242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ht="14.25" customHeight="1">
      <c r="A865" s="240"/>
      <c r="B865" s="241"/>
      <c r="C865" s="240"/>
      <c r="D865" s="242"/>
      <c r="E865" s="242"/>
      <c r="F865" s="242"/>
      <c r="G865" s="242"/>
      <c r="H865" s="242"/>
      <c r="I865" s="242"/>
      <c r="J865" s="242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ht="14.25" customHeight="1">
      <c r="A866" s="240"/>
      <c r="B866" s="241"/>
      <c r="C866" s="240"/>
      <c r="D866" s="242"/>
      <c r="E866" s="242"/>
      <c r="F866" s="242"/>
      <c r="G866" s="242"/>
      <c r="H866" s="242"/>
      <c r="I866" s="242"/>
      <c r="J866" s="242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ht="14.25" customHeight="1">
      <c r="A867" s="240"/>
      <c r="B867" s="241"/>
      <c r="C867" s="240"/>
      <c r="D867" s="242"/>
      <c r="E867" s="242"/>
      <c r="F867" s="242"/>
      <c r="G867" s="242"/>
      <c r="H867" s="242"/>
      <c r="I867" s="242"/>
      <c r="J867" s="242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ht="14.25" customHeight="1">
      <c r="A868" s="240"/>
      <c r="B868" s="241"/>
      <c r="C868" s="240"/>
      <c r="D868" s="242"/>
      <c r="E868" s="242"/>
      <c r="F868" s="242"/>
      <c r="G868" s="242"/>
      <c r="H868" s="242"/>
      <c r="I868" s="242"/>
      <c r="J868" s="242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ht="14.25" customHeight="1">
      <c r="A869" s="240"/>
      <c r="B869" s="241"/>
      <c r="C869" s="240"/>
      <c r="D869" s="242"/>
      <c r="E869" s="242"/>
      <c r="F869" s="242"/>
      <c r="G869" s="242"/>
      <c r="H869" s="242"/>
      <c r="I869" s="242"/>
      <c r="J869" s="242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ht="14.25" customHeight="1">
      <c r="A870" s="240"/>
      <c r="B870" s="241"/>
      <c r="C870" s="240"/>
      <c r="D870" s="242"/>
      <c r="E870" s="242"/>
      <c r="F870" s="242"/>
      <c r="G870" s="242"/>
      <c r="H870" s="242"/>
      <c r="I870" s="242"/>
      <c r="J870" s="242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ht="14.25" customHeight="1">
      <c r="A871" s="240"/>
      <c r="B871" s="241"/>
      <c r="C871" s="240"/>
      <c r="D871" s="242"/>
      <c r="E871" s="242"/>
      <c r="F871" s="242"/>
      <c r="G871" s="242"/>
      <c r="H871" s="242"/>
      <c r="I871" s="242"/>
      <c r="J871" s="242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ht="14.25" customHeight="1">
      <c r="A872" s="240"/>
      <c r="B872" s="241"/>
      <c r="C872" s="240"/>
      <c r="D872" s="242"/>
      <c r="E872" s="242"/>
      <c r="F872" s="242"/>
      <c r="G872" s="242"/>
      <c r="H872" s="242"/>
      <c r="I872" s="242"/>
      <c r="J872" s="242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ht="14.25" customHeight="1">
      <c r="A873" s="240"/>
      <c r="B873" s="241"/>
      <c r="C873" s="240"/>
      <c r="D873" s="242"/>
      <c r="E873" s="242"/>
      <c r="F873" s="242"/>
      <c r="G873" s="242"/>
      <c r="H873" s="242"/>
      <c r="I873" s="242"/>
      <c r="J873" s="242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ht="14.25" customHeight="1">
      <c r="A874" s="240"/>
      <c r="B874" s="241"/>
      <c r="C874" s="240"/>
      <c r="D874" s="242"/>
      <c r="E874" s="242"/>
      <c r="F874" s="242"/>
      <c r="G874" s="242"/>
      <c r="H874" s="242"/>
      <c r="I874" s="242"/>
      <c r="J874" s="242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ht="14.25" customHeight="1">
      <c r="A875" s="240"/>
      <c r="B875" s="241"/>
      <c r="C875" s="240"/>
      <c r="D875" s="242"/>
      <c r="E875" s="242"/>
      <c r="F875" s="242"/>
      <c r="G875" s="242"/>
      <c r="H875" s="242"/>
      <c r="I875" s="242"/>
      <c r="J875" s="242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ht="14.25" customHeight="1">
      <c r="A876" s="240"/>
      <c r="B876" s="241"/>
      <c r="C876" s="240"/>
      <c r="D876" s="242"/>
      <c r="E876" s="242"/>
      <c r="F876" s="242"/>
      <c r="G876" s="242"/>
      <c r="H876" s="242"/>
      <c r="I876" s="242"/>
      <c r="J876" s="242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ht="14.25" customHeight="1">
      <c r="A877" s="240"/>
      <c r="B877" s="241"/>
      <c r="C877" s="240"/>
      <c r="D877" s="242"/>
      <c r="E877" s="242"/>
      <c r="F877" s="242"/>
      <c r="G877" s="242"/>
      <c r="H877" s="242"/>
      <c r="I877" s="242"/>
      <c r="J877" s="242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ht="14.25" customHeight="1">
      <c r="A878" s="240"/>
      <c r="B878" s="241"/>
      <c r="C878" s="240"/>
      <c r="D878" s="242"/>
      <c r="E878" s="242"/>
      <c r="F878" s="242"/>
      <c r="G878" s="242"/>
      <c r="H878" s="242"/>
      <c r="I878" s="242"/>
      <c r="J878" s="242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ht="14.25" customHeight="1">
      <c r="A879" s="240"/>
      <c r="B879" s="241"/>
      <c r="C879" s="240"/>
      <c r="D879" s="242"/>
      <c r="E879" s="242"/>
      <c r="F879" s="242"/>
      <c r="G879" s="242"/>
      <c r="H879" s="242"/>
      <c r="I879" s="242"/>
      <c r="J879" s="242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ht="14.25" customHeight="1">
      <c r="A880" s="240"/>
      <c r="B880" s="241"/>
      <c r="C880" s="240"/>
      <c r="D880" s="242"/>
      <c r="E880" s="242"/>
      <c r="F880" s="242"/>
      <c r="G880" s="242"/>
      <c r="H880" s="242"/>
      <c r="I880" s="242"/>
      <c r="J880" s="242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ht="14.25" customHeight="1">
      <c r="A881" s="240"/>
      <c r="B881" s="241"/>
      <c r="C881" s="240"/>
      <c r="D881" s="242"/>
      <c r="E881" s="242"/>
      <c r="F881" s="242"/>
      <c r="G881" s="242"/>
      <c r="H881" s="242"/>
      <c r="I881" s="242"/>
      <c r="J881" s="242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ht="14.25" customHeight="1">
      <c r="A882" s="240"/>
      <c r="B882" s="241"/>
      <c r="C882" s="240"/>
      <c r="D882" s="242"/>
      <c r="E882" s="242"/>
      <c r="F882" s="242"/>
      <c r="G882" s="242"/>
      <c r="H882" s="242"/>
      <c r="I882" s="242"/>
      <c r="J882" s="242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ht="14.25" customHeight="1">
      <c r="A883" s="240"/>
      <c r="B883" s="241"/>
      <c r="C883" s="240"/>
      <c r="D883" s="242"/>
      <c r="E883" s="242"/>
      <c r="F883" s="242"/>
      <c r="G883" s="242"/>
      <c r="H883" s="242"/>
      <c r="I883" s="242"/>
      <c r="J883" s="242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ht="14.25" customHeight="1">
      <c r="A884" s="240"/>
      <c r="B884" s="241"/>
      <c r="C884" s="240"/>
      <c r="D884" s="242"/>
      <c r="E884" s="242"/>
      <c r="F884" s="242"/>
      <c r="G884" s="242"/>
      <c r="H884" s="242"/>
      <c r="I884" s="242"/>
      <c r="J884" s="242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ht="14.25" customHeight="1">
      <c r="A885" s="240"/>
      <c r="B885" s="241"/>
      <c r="C885" s="240"/>
      <c r="D885" s="242"/>
      <c r="E885" s="242"/>
      <c r="F885" s="242"/>
      <c r="G885" s="242"/>
      <c r="H885" s="242"/>
      <c r="I885" s="242"/>
      <c r="J885" s="242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ht="14.25" customHeight="1">
      <c r="A886" s="240"/>
      <c r="B886" s="241"/>
      <c r="C886" s="240"/>
      <c r="D886" s="242"/>
      <c r="E886" s="242"/>
      <c r="F886" s="242"/>
      <c r="G886" s="242"/>
      <c r="H886" s="242"/>
      <c r="I886" s="242"/>
      <c r="J886" s="242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ht="14.25" customHeight="1">
      <c r="A887" s="240"/>
      <c r="B887" s="241"/>
      <c r="C887" s="240"/>
      <c r="D887" s="242"/>
      <c r="E887" s="242"/>
      <c r="F887" s="242"/>
      <c r="G887" s="242"/>
      <c r="H887" s="242"/>
      <c r="I887" s="242"/>
      <c r="J887" s="242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ht="14.25" customHeight="1">
      <c r="A888" s="240"/>
      <c r="B888" s="241"/>
      <c r="C888" s="240"/>
      <c r="D888" s="242"/>
      <c r="E888" s="242"/>
      <c r="F888" s="242"/>
      <c r="G888" s="242"/>
      <c r="H888" s="242"/>
      <c r="I888" s="242"/>
      <c r="J888" s="242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ht="14.25" customHeight="1">
      <c r="A889" s="240"/>
      <c r="B889" s="241"/>
      <c r="C889" s="240"/>
      <c r="D889" s="242"/>
      <c r="E889" s="242"/>
      <c r="F889" s="242"/>
      <c r="G889" s="242"/>
      <c r="H889" s="242"/>
      <c r="I889" s="242"/>
      <c r="J889" s="242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ht="14.25" customHeight="1">
      <c r="A890" s="240"/>
      <c r="B890" s="241"/>
      <c r="C890" s="240"/>
      <c r="D890" s="242"/>
      <c r="E890" s="242"/>
      <c r="F890" s="242"/>
      <c r="G890" s="242"/>
      <c r="H890" s="242"/>
      <c r="I890" s="242"/>
      <c r="J890" s="242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ht="14.25" customHeight="1">
      <c r="A891" s="240"/>
      <c r="B891" s="241"/>
      <c r="C891" s="240"/>
      <c r="D891" s="242"/>
      <c r="E891" s="242"/>
      <c r="F891" s="242"/>
      <c r="G891" s="242"/>
      <c r="H891" s="242"/>
      <c r="I891" s="242"/>
      <c r="J891" s="242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ht="14.25" customHeight="1">
      <c r="A892" s="240"/>
      <c r="B892" s="241"/>
      <c r="C892" s="240"/>
      <c r="D892" s="242"/>
      <c r="E892" s="242"/>
      <c r="F892" s="242"/>
      <c r="G892" s="242"/>
      <c r="H892" s="242"/>
      <c r="I892" s="242"/>
      <c r="J892" s="242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ht="14.25" customHeight="1">
      <c r="A893" s="240"/>
      <c r="B893" s="241"/>
      <c r="C893" s="240"/>
      <c r="D893" s="242"/>
      <c r="E893" s="242"/>
      <c r="F893" s="242"/>
      <c r="G893" s="242"/>
      <c r="H893" s="242"/>
      <c r="I893" s="242"/>
      <c r="J893" s="242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ht="14.25" customHeight="1">
      <c r="A894" s="240"/>
      <c r="B894" s="241"/>
      <c r="C894" s="240"/>
      <c r="D894" s="242"/>
      <c r="E894" s="242"/>
      <c r="F894" s="242"/>
      <c r="G894" s="242"/>
      <c r="H894" s="242"/>
      <c r="I894" s="242"/>
      <c r="J894" s="242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ht="14.25" customHeight="1">
      <c r="A895" s="240"/>
      <c r="B895" s="241"/>
      <c r="C895" s="240"/>
      <c r="D895" s="242"/>
      <c r="E895" s="242"/>
      <c r="F895" s="242"/>
      <c r="G895" s="242"/>
      <c r="H895" s="242"/>
      <c r="I895" s="242"/>
      <c r="J895" s="242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ht="14.25" customHeight="1">
      <c r="A896" s="240"/>
      <c r="B896" s="241"/>
      <c r="C896" s="240"/>
      <c r="D896" s="242"/>
      <c r="E896" s="242"/>
      <c r="F896" s="242"/>
      <c r="G896" s="242"/>
      <c r="H896" s="242"/>
      <c r="I896" s="242"/>
      <c r="J896" s="242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ht="14.25" customHeight="1">
      <c r="A897" s="240"/>
      <c r="B897" s="241"/>
      <c r="C897" s="240"/>
      <c r="D897" s="242"/>
      <c r="E897" s="242"/>
      <c r="F897" s="242"/>
      <c r="G897" s="242"/>
      <c r="H897" s="242"/>
      <c r="I897" s="242"/>
      <c r="J897" s="242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ht="14.25" customHeight="1">
      <c r="A898" s="240"/>
      <c r="B898" s="241"/>
      <c r="C898" s="240"/>
      <c r="D898" s="242"/>
      <c r="E898" s="242"/>
      <c r="F898" s="242"/>
      <c r="G898" s="242"/>
      <c r="H898" s="242"/>
      <c r="I898" s="242"/>
      <c r="J898" s="242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ht="14.25" customHeight="1">
      <c r="A899" s="240"/>
      <c r="B899" s="241"/>
      <c r="C899" s="240"/>
      <c r="D899" s="242"/>
      <c r="E899" s="242"/>
      <c r="F899" s="242"/>
      <c r="G899" s="242"/>
      <c r="H899" s="242"/>
      <c r="I899" s="242"/>
      <c r="J899" s="242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ht="14.25" customHeight="1">
      <c r="A900" s="240"/>
      <c r="B900" s="241"/>
      <c r="C900" s="240"/>
      <c r="D900" s="242"/>
      <c r="E900" s="242"/>
      <c r="F900" s="242"/>
      <c r="G900" s="242"/>
      <c r="H900" s="242"/>
      <c r="I900" s="242"/>
      <c r="J900" s="242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ht="14.25" customHeight="1">
      <c r="A901" s="240"/>
      <c r="B901" s="241"/>
      <c r="C901" s="240"/>
      <c r="D901" s="242"/>
      <c r="E901" s="242"/>
      <c r="F901" s="242"/>
      <c r="G901" s="242"/>
      <c r="H901" s="242"/>
      <c r="I901" s="242"/>
      <c r="J901" s="242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ht="14.25" customHeight="1">
      <c r="A902" s="240"/>
      <c r="B902" s="241"/>
      <c r="C902" s="240"/>
      <c r="D902" s="242"/>
      <c r="E902" s="242"/>
      <c r="F902" s="242"/>
      <c r="G902" s="242"/>
      <c r="H902" s="242"/>
      <c r="I902" s="242"/>
      <c r="J902" s="242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ht="14.25" customHeight="1">
      <c r="A903" s="240"/>
      <c r="B903" s="241"/>
      <c r="C903" s="240"/>
      <c r="D903" s="242"/>
      <c r="E903" s="242"/>
      <c r="F903" s="242"/>
      <c r="G903" s="242"/>
      <c r="H903" s="242"/>
      <c r="I903" s="242"/>
      <c r="J903" s="242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ht="14.25" customHeight="1">
      <c r="A904" s="240"/>
      <c r="B904" s="241"/>
      <c r="C904" s="240"/>
      <c r="D904" s="242"/>
      <c r="E904" s="242"/>
      <c r="F904" s="242"/>
      <c r="G904" s="242"/>
      <c r="H904" s="242"/>
      <c r="I904" s="242"/>
      <c r="J904" s="242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ht="14.25" customHeight="1">
      <c r="A905" s="240"/>
      <c r="B905" s="241"/>
      <c r="C905" s="240"/>
      <c r="D905" s="242"/>
      <c r="E905" s="242"/>
      <c r="F905" s="242"/>
      <c r="G905" s="242"/>
      <c r="H905" s="242"/>
      <c r="I905" s="242"/>
      <c r="J905" s="242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ht="14.25" customHeight="1">
      <c r="A906" s="240"/>
      <c r="B906" s="241"/>
      <c r="C906" s="240"/>
      <c r="D906" s="242"/>
      <c r="E906" s="242"/>
      <c r="F906" s="242"/>
      <c r="G906" s="242"/>
      <c r="H906" s="242"/>
      <c r="I906" s="242"/>
      <c r="J906" s="242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ht="14.25" customHeight="1">
      <c r="A907" s="240"/>
      <c r="B907" s="241"/>
      <c r="C907" s="240"/>
      <c r="D907" s="242"/>
      <c r="E907" s="242"/>
      <c r="F907" s="242"/>
      <c r="G907" s="242"/>
      <c r="H907" s="242"/>
      <c r="I907" s="242"/>
      <c r="J907" s="242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ht="14.25" customHeight="1">
      <c r="A908" s="240"/>
      <c r="B908" s="241"/>
      <c r="C908" s="240"/>
      <c r="D908" s="242"/>
      <c r="E908" s="242"/>
      <c r="F908" s="242"/>
      <c r="G908" s="242"/>
      <c r="H908" s="242"/>
      <c r="I908" s="242"/>
      <c r="J908" s="242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ht="14.25" customHeight="1">
      <c r="A909" s="240"/>
      <c r="B909" s="241"/>
      <c r="C909" s="240"/>
      <c r="D909" s="242"/>
      <c r="E909" s="242"/>
      <c r="F909" s="242"/>
      <c r="G909" s="242"/>
      <c r="H909" s="242"/>
      <c r="I909" s="242"/>
      <c r="J909" s="242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ht="14.25" customHeight="1">
      <c r="A910" s="240"/>
      <c r="B910" s="241"/>
      <c r="C910" s="240"/>
      <c r="D910" s="242"/>
      <c r="E910" s="242"/>
      <c r="F910" s="242"/>
      <c r="G910" s="242"/>
      <c r="H910" s="242"/>
      <c r="I910" s="242"/>
      <c r="J910" s="242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ht="14.25" customHeight="1">
      <c r="A911" s="240"/>
      <c r="B911" s="241"/>
      <c r="C911" s="240"/>
      <c r="D911" s="242"/>
      <c r="E911" s="242"/>
      <c r="F911" s="242"/>
      <c r="G911" s="242"/>
      <c r="H911" s="242"/>
      <c r="I911" s="242"/>
      <c r="J911" s="242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ht="14.25" customHeight="1">
      <c r="A912" s="240"/>
      <c r="B912" s="241"/>
      <c r="C912" s="240"/>
      <c r="D912" s="242"/>
      <c r="E912" s="242"/>
      <c r="F912" s="242"/>
      <c r="G912" s="242"/>
      <c r="H912" s="242"/>
      <c r="I912" s="242"/>
      <c r="J912" s="242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ht="14.25" customHeight="1">
      <c r="A913" s="240"/>
      <c r="B913" s="241"/>
      <c r="C913" s="240"/>
      <c r="D913" s="242"/>
      <c r="E913" s="242"/>
      <c r="F913" s="242"/>
      <c r="G913" s="242"/>
      <c r="H913" s="242"/>
      <c r="I913" s="242"/>
      <c r="J913" s="242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ht="14.25" customHeight="1">
      <c r="A914" s="240"/>
      <c r="B914" s="241"/>
      <c r="C914" s="240"/>
      <c r="D914" s="242"/>
      <c r="E914" s="242"/>
      <c r="F914" s="242"/>
      <c r="G914" s="242"/>
      <c r="H914" s="242"/>
      <c r="I914" s="242"/>
      <c r="J914" s="242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ht="14.25" customHeight="1">
      <c r="A915" s="240"/>
      <c r="B915" s="241"/>
      <c r="C915" s="240"/>
      <c r="D915" s="242"/>
      <c r="E915" s="242"/>
      <c r="F915" s="242"/>
      <c r="G915" s="242"/>
      <c r="H915" s="242"/>
      <c r="I915" s="242"/>
      <c r="J915" s="242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ht="14.25" customHeight="1">
      <c r="A916" s="240"/>
      <c r="B916" s="241"/>
      <c r="C916" s="240"/>
      <c r="D916" s="242"/>
      <c r="E916" s="242"/>
      <c r="F916" s="242"/>
      <c r="G916" s="242"/>
      <c r="H916" s="242"/>
      <c r="I916" s="242"/>
      <c r="J916" s="242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ht="14.25" customHeight="1">
      <c r="A917" s="240"/>
      <c r="B917" s="241"/>
      <c r="C917" s="240"/>
      <c r="D917" s="242"/>
      <c r="E917" s="242"/>
      <c r="F917" s="242"/>
      <c r="G917" s="242"/>
      <c r="H917" s="242"/>
      <c r="I917" s="242"/>
      <c r="J917" s="242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ht="14.25" customHeight="1">
      <c r="A918" s="240"/>
      <c r="B918" s="241"/>
      <c r="C918" s="240"/>
      <c r="D918" s="242"/>
      <c r="E918" s="242"/>
      <c r="F918" s="242"/>
      <c r="G918" s="242"/>
      <c r="H918" s="242"/>
      <c r="I918" s="242"/>
      <c r="J918" s="242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ht="14.25" customHeight="1">
      <c r="A919" s="240"/>
      <c r="B919" s="241"/>
      <c r="C919" s="240"/>
      <c r="D919" s="242"/>
      <c r="E919" s="242"/>
      <c r="F919" s="242"/>
      <c r="G919" s="242"/>
      <c r="H919" s="242"/>
      <c r="I919" s="242"/>
      <c r="J919" s="242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ht="14.25" customHeight="1">
      <c r="A920" s="240"/>
      <c r="B920" s="241"/>
      <c r="C920" s="240"/>
      <c r="D920" s="242"/>
      <c r="E920" s="242"/>
      <c r="F920" s="242"/>
      <c r="G920" s="242"/>
      <c r="H920" s="242"/>
      <c r="I920" s="242"/>
      <c r="J920" s="242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ht="14.25" customHeight="1">
      <c r="A921" s="240"/>
      <c r="B921" s="241"/>
      <c r="C921" s="240"/>
      <c r="D921" s="242"/>
      <c r="E921" s="242"/>
      <c r="F921" s="242"/>
      <c r="G921" s="242"/>
      <c r="H921" s="242"/>
      <c r="I921" s="242"/>
      <c r="J921" s="242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ht="14.25" customHeight="1">
      <c r="A922" s="240"/>
      <c r="B922" s="241"/>
      <c r="C922" s="240"/>
      <c r="D922" s="242"/>
      <c r="E922" s="242"/>
      <c r="F922" s="242"/>
      <c r="G922" s="242"/>
      <c r="H922" s="242"/>
      <c r="I922" s="242"/>
      <c r="J922" s="242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ht="14.25" customHeight="1">
      <c r="A923" s="240"/>
      <c r="B923" s="241"/>
      <c r="C923" s="240"/>
      <c r="D923" s="242"/>
      <c r="E923" s="242"/>
      <c r="F923" s="242"/>
      <c r="G923" s="242"/>
      <c r="H923" s="242"/>
      <c r="I923" s="242"/>
      <c r="J923" s="242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ht="14.25" customHeight="1">
      <c r="A924" s="240"/>
      <c r="B924" s="241"/>
      <c r="C924" s="240"/>
      <c r="D924" s="242"/>
      <c r="E924" s="242"/>
      <c r="F924" s="242"/>
      <c r="G924" s="242"/>
      <c r="H924" s="242"/>
      <c r="I924" s="242"/>
      <c r="J924" s="242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ht="14.25" customHeight="1">
      <c r="A925" s="240"/>
      <c r="B925" s="241"/>
      <c r="C925" s="240"/>
      <c r="D925" s="242"/>
      <c r="E925" s="242"/>
      <c r="F925" s="242"/>
      <c r="G925" s="242"/>
      <c r="H925" s="242"/>
      <c r="I925" s="242"/>
      <c r="J925" s="242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ht="14.25" customHeight="1">
      <c r="A926" s="240"/>
      <c r="B926" s="241"/>
      <c r="C926" s="240"/>
      <c r="D926" s="242"/>
      <c r="E926" s="242"/>
      <c r="F926" s="242"/>
      <c r="G926" s="242"/>
      <c r="H926" s="242"/>
      <c r="I926" s="242"/>
      <c r="J926" s="242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ht="14.25" customHeight="1">
      <c r="A927" s="240"/>
      <c r="B927" s="241"/>
      <c r="C927" s="240"/>
      <c r="D927" s="242"/>
      <c r="E927" s="242"/>
      <c r="F927" s="242"/>
      <c r="G927" s="242"/>
      <c r="H927" s="242"/>
      <c r="I927" s="242"/>
      <c r="J927" s="242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ht="14.25" customHeight="1">
      <c r="A928" s="240"/>
      <c r="B928" s="241"/>
      <c r="C928" s="240"/>
      <c r="D928" s="242"/>
      <c r="E928" s="242"/>
      <c r="F928" s="242"/>
      <c r="G928" s="242"/>
      <c r="H928" s="242"/>
      <c r="I928" s="242"/>
      <c r="J928" s="242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ht="14.25" customHeight="1">
      <c r="A929" s="240"/>
      <c r="B929" s="241"/>
      <c r="C929" s="240"/>
      <c r="D929" s="242"/>
      <c r="E929" s="242"/>
      <c r="F929" s="242"/>
      <c r="G929" s="242"/>
      <c r="H929" s="242"/>
      <c r="I929" s="242"/>
      <c r="J929" s="242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ht="14.25" customHeight="1">
      <c r="A930" s="240"/>
      <c r="B930" s="241"/>
      <c r="C930" s="240"/>
      <c r="D930" s="242"/>
      <c r="E930" s="242"/>
      <c r="F930" s="242"/>
      <c r="G930" s="242"/>
      <c r="H930" s="242"/>
      <c r="I930" s="242"/>
      <c r="J930" s="242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ht="14.25" customHeight="1">
      <c r="A931" s="240"/>
      <c r="B931" s="241"/>
      <c r="C931" s="240"/>
      <c r="D931" s="242"/>
      <c r="E931" s="242"/>
      <c r="F931" s="242"/>
      <c r="G931" s="242"/>
      <c r="H931" s="242"/>
      <c r="I931" s="242"/>
      <c r="J931" s="242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ht="14.25" customHeight="1">
      <c r="A932" s="240"/>
      <c r="B932" s="241"/>
      <c r="C932" s="240"/>
      <c r="D932" s="242"/>
      <c r="E932" s="242"/>
      <c r="F932" s="242"/>
      <c r="G932" s="242"/>
      <c r="H932" s="242"/>
      <c r="I932" s="242"/>
      <c r="J932" s="242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ht="14.25" customHeight="1">
      <c r="A933" s="240"/>
      <c r="B933" s="241"/>
      <c r="C933" s="240"/>
      <c r="D933" s="242"/>
      <c r="E933" s="242"/>
      <c r="F933" s="242"/>
      <c r="G933" s="242"/>
      <c r="H933" s="242"/>
      <c r="I933" s="242"/>
      <c r="J933" s="242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ht="14.25" customHeight="1">
      <c r="A934" s="240"/>
      <c r="B934" s="241"/>
      <c r="C934" s="240"/>
      <c r="D934" s="242"/>
      <c r="E934" s="242"/>
      <c r="F934" s="242"/>
      <c r="G934" s="242"/>
      <c r="H934" s="242"/>
      <c r="I934" s="242"/>
      <c r="J934" s="242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ht="14.25" customHeight="1">
      <c r="A935" s="240"/>
      <c r="B935" s="241"/>
      <c r="C935" s="240"/>
      <c r="D935" s="242"/>
      <c r="E935" s="242"/>
      <c r="F935" s="242"/>
      <c r="G935" s="242"/>
      <c r="H935" s="242"/>
      <c r="I935" s="242"/>
      <c r="J935" s="242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ht="14.25" customHeight="1">
      <c r="A936" s="240"/>
      <c r="B936" s="241"/>
      <c r="C936" s="240"/>
      <c r="D936" s="242"/>
      <c r="E936" s="242"/>
      <c r="F936" s="242"/>
      <c r="G936" s="242"/>
      <c r="H936" s="242"/>
      <c r="I936" s="242"/>
      <c r="J936" s="242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ht="14.25" customHeight="1">
      <c r="A937" s="240"/>
      <c r="B937" s="241"/>
      <c r="C937" s="240"/>
      <c r="D937" s="242"/>
      <c r="E937" s="242"/>
      <c r="F937" s="242"/>
      <c r="G937" s="242"/>
      <c r="H937" s="242"/>
      <c r="I937" s="242"/>
      <c r="J937" s="242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ht="14.25" customHeight="1">
      <c r="A938" s="240"/>
      <c r="B938" s="241"/>
      <c r="C938" s="240"/>
      <c r="D938" s="242"/>
      <c r="E938" s="242"/>
      <c r="F938" s="242"/>
      <c r="G938" s="242"/>
      <c r="H938" s="242"/>
      <c r="I938" s="242"/>
      <c r="J938" s="242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ht="14.25" customHeight="1">
      <c r="A939" s="240"/>
      <c r="B939" s="241"/>
      <c r="C939" s="240"/>
      <c r="D939" s="242"/>
      <c r="E939" s="242"/>
      <c r="F939" s="242"/>
      <c r="G939" s="242"/>
      <c r="H939" s="242"/>
      <c r="I939" s="242"/>
      <c r="J939" s="242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ht="14.25" customHeight="1">
      <c r="A940" s="240"/>
      <c r="B940" s="241"/>
      <c r="C940" s="240"/>
      <c r="D940" s="242"/>
      <c r="E940" s="242"/>
      <c r="F940" s="242"/>
      <c r="G940" s="242"/>
      <c r="H940" s="242"/>
      <c r="I940" s="242"/>
      <c r="J940" s="242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ht="14.25" customHeight="1">
      <c r="A941" s="240"/>
      <c r="B941" s="241"/>
      <c r="C941" s="240"/>
      <c r="D941" s="242"/>
      <c r="E941" s="242"/>
      <c r="F941" s="242"/>
      <c r="G941" s="242"/>
      <c r="H941" s="242"/>
      <c r="I941" s="242"/>
      <c r="J941" s="242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ht="14.25" customHeight="1">
      <c r="A942" s="240"/>
      <c r="B942" s="241"/>
      <c r="C942" s="240"/>
      <c r="D942" s="242"/>
      <c r="E942" s="242"/>
      <c r="F942" s="242"/>
      <c r="G942" s="242"/>
      <c r="H942" s="242"/>
      <c r="I942" s="242"/>
      <c r="J942" s="242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ht="14.25" customHeight="1">
      <c r="A943" s="240"/>
      <c r="B943" s="241"/>
      <c r="C943" s="240"/>
      <c r="D943" s="242"/>
      <c r="E943" s="242"/>
      <c r="F943" s="242"/>
      <c r="G943" s="242"/>
      <c r="H943" s="242"/>
      <c r="I943" s="242"/>
      <c r="J943" s="242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ht="14.25" customHeight="1">
      <c r="A944" s="240"/>
      <c r="B944" s="241"/>
      <c r="C944" s="240"/>
      <c r="D944" s="242"/>
      <c r="E944" s="242"/>
      <c r="F944" s="242"/>
      <c r="G944" s="242"/>
      <c r="H944" s="242"/>
      <c r="I944" s="242"/>
      <c r="J944" s="242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ht="14.25" customHeight="1">
      <c r="A945" s="240"/>
      <c r="B945" s="241"/>
      <c r="C945" s="240"/>
      <c r="D945" s="242"/>
      <c r="E945" s="242"/>
      <c r="F945" s="242"/>
      <c r="G945" s="242"/>
      <c r="H945" s="242"/>
      <c r="I945" s="242"/>
      <c r="J945" s="242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ht="14.25" customHeight="1">
      <c r="A946" s="240"/>
      <c r="B946" s="241"/>
      <c r="C946" s="240"/>
      <c r="D946" s="242"/>
      <c r="E946" s="242"/>
      <c r="F946" s="242"/>
      <c r="G946" s="242"/>
      <c r="H946" s="242"/>
      <c r="I946" s="242"/>
      <c r="J946" s="242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ht="14.25" customHeight="1">
      <c r="A947" s="240"/>
      <c r="B947" s="241"/>
      <c r="C947" s="240"/>
      <c r="D947" s="242"/>
      <c r="E947" s="242"/>
      <c r="F947" s="242"/>
      <c r="G947" s="242"/>
      <c r="H947" s="242"/>
      <c r="I947" s="242"/>
      <c r="J947" s="242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ht="14.25" customHeight="1">
      <c r="A948" s="240"/>
      <c r="B948" s="241"/>
      <c r="C948" s="240"/>
      <c r="D948" s="242"/>
      <c r="E948" s="242"/>
      <c r="F948" s="242"/>
      <c r="G948" s="242"/>
      <c r="H948" s="242"/>
      <c r="I948" s="242"/>
      <c r="J948" s="242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ht="14.25" customHeight="1">
      <c r="A949" s="240"/>
      <c r="B949" s="241"/>
      <c r="C949" s="240"/>
      <c r="D949" s="242"/>
      <c r="E949" s="242"/>
      <c r="F949" s="242"/>
      <c r="G949" s="242"/>
      <c r="H949" s="242"/>
      <c r="I949" s="242"/>
      <c r="J949" s="242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ht="14.25" customHeight="1">
      <c r="A950" s="240"/>
      <c r="B950" s="241"/>
      <c r="C950" s="240"/>
      <c r="D950" s="242"/>
      <c r="E950" s="242"/>
      <c r="F950" s="242"/>
      <c r="G950" s="242"/>
      <c r="H950" s="242"/>
      <c r="I950" s="242"/>
      <c r="J950" s="242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ht="14.25" customHeight="1">
      <c r="A951" s="240"/>
      <c r="B951" s="241"/>
      <c r="C951" s="240"/>
      <c r="D951" s="242"/>
      <c r="E951" s="242"/>
      <c r="F951" s="242"/>
      <c r="G951" s="242"/>
      <c r="H951" s="242"/>
      <c r="I951" s="242"/>
      <c r="J951" s="242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ht="14.25" customHeight="1">
      <c r="A952" s="240"/>
      <c r="B952" s="241"/>
      <c r="C952" s="240"/>
      <c r="D952" s="242"/>
      <c r="E952" s="242"/>
      <c r="F952" s="242"/>
      <c r="G952" s="242"/>
      <c r="H952" s="242"/>
      <c r="I952" s="242"/>
      <c r="J952" s="242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ht="14.25" customHeight="1">
      <c r="A953" s="240"/>
      <c r="B953" s="241"/>
      <c r="C953" s="240"/>
      <c r="D953" s="242"/>
      <c r="E953" s="242"/>
      <c r="F953" s="242"/>
      <c r="G953" s="242"/>
      <c r="H953" s="242"/>
      <c r="I953" s="242"/>
      <c r="J953" s="242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ht="14.25" customHeight="1">
      <c r="A954" s="240"/>
      <c r="B954" s="241"/>
      <c r="C954" s="240"/>
      <c r="D954" s="242"/>
      <c r="E954" s="242"/>
      <c r="F954" s="242"/>
      <c r="G954" s="242"/>
      <c r="H954" s="242"/>
      <c r="I954" s="242"/>
      <c r="J954" s="242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ht="14.25" customHeight="1">
      <c r="A955" s="240"/>
      <c r="B955" s="241"/>
      <c r="C955" s="240"/>
      <c r="D955" s="242"/>
      <c r="E955" s="242"/>
      <c r="F955" s="242"/>
      <c r="G955" s="242"/>
      <c r="H955" s="242"/>
      <c r="I955" s="242"/>
      <c r="J955" s="242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ht="14.25" customHeight="1">
      <c r="A956" s="240"/>
      <c r="B956" s="241"/>
      <c r="C956" s="240"/>
      <c r="D956" s="242"/>
      <c r="E956" s="242"/>
      <c r="F956" s="242"/>
      <c r="G956" s="242"/>
      <c r="H956" s="242"/>
      <c r="I956" s="242"/>
      <c r="J956" s="242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ht="14.25" customHeight="1">
      <c r="A957" s="240"/>
      <c r="B957" s="241"/>
      <c r="C957" s="240"/>
      <c r="D957" s="242"/>
      <c r="E957" s="242"/>
      <c r="F957" s="242"/>
      <c r="G957" s="242"/>
      <c r="H957" s="242"/>
      <c r="I957" s="242"/>
      <c r="J957" s="242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ht="14.25" customHeight="1">
      <c r="A958" s="240"/>
      <c r="B958" s="241"/>
      <c r="C958" s="240"/>
      <c r="D958" s="242"/>
      <c r="E958" s="242"/>
      <c r="F958" s="242"/>
      <c r="G958" s="242"/>
      <c r="H958" s="242"/>
      <c r="I958" s="242"/>
      <c r="J958" s="242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ht="14.25" customHeight="1">
      <c r="A959" s="240"/>
      <c r="B959" s="241"/>
      <c r="C959" s="240"/>
      <c r="D959" s="242"/>
      <c r="E959" s="242"/>
      <c r="F959" s="242"/>
      <c r="G959" s="242"/>
      <c r="H959" s="242"/>
      <c r="I959" s="242"/>
      <c r="J959" s="242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ht="14.25" customHeight="1">
      <c r="A960" s="240"/>
      <c r="B960" s="241"/>
      <c r="C960" s="240"/>
      <c r="D960" s="242"/>
      <c r="E960" s="242"/>
      <c r="F960" s="242"/>
      <c r="G960" s="242"/>
      <c r="H960" s="242"/>
      <c r="I960" s="242"/>
      <c r="J960" s="242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ht="14.25" customHeight="1">
      <c r="A961" s="240"/>
      <c r="B961" s="241"/>
      <c r="C961" s="240"/>
      <c r="D961" s="242"/>
      <c r="E961" s="242"/>
      <c r="F961" s="242"/>
      <c r="G961" s="242"/>
      <c r="H961" s="242"/>
      <c r="I961" s="242"/>
      <c r="J961" s="242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ht="14.25" customHeight="1">
      <c r="A962" s="240"/>
      <c r="B962" s="241"/>
      <c r="C962" s="240"/>
      <c r="D962" s="242"/>
      <c r="E962" s="242"/>
      <c r="F962" s="242"/>
      <c r="G962" s="242"/>
      <c r="H962" s="242"/>
      <c r="I962" s="242"/>
      <c r="J962" s="242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ht="14.25" customHeight="1">
      <c r="A963" s="240"/>
      <c r="B963" s="241"/>
      <c r="C963" s="240"/>
      <c r="D963" s="242"/>
      <c r="E963" s="242"/>
      <c r="F963" s="242"/>
      <c r="G963" s="242"/>
      <c r="H963" s="242"/>
      <c r="I963" s="242"/>
      <c r="J963" s="242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ht="14.25" customHeight="1">
      <c r="A964" s="240"/>
      <c r="B964" s="241"/>
      <c r="C964" s="240"/>
      <c r="D964" s="242"/>
      <c r="E964" s="242"/>
      <c r="F964" s="242"/>
      <c r="G964" s="242"/>
      <c r="H964" s="242"/>
      <c r="I964" s="242"/>
      <c r="J964" s="242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ht="14.25" customHeight="1">
      <c r="A965" s="240"/>
      <c r="B965" s="241"/>
      <c r="C965" s="240"/>
      <c r="D965" s="242"/>
      <c r="E965" s="242"/>
      <c r="F965" s="242"/>
      <c r="G965" s="242"/>
      <c r="H965" s="242"/>
      <c r="I965" s="242"/>
      <c r="J965" s="242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ht="14.25" customHeight="1">
      <c r="A966" s="240"/>
      <c r="B966" s="241"/>
      <c r="C966" s="240"/>
      <c r="D966" s="242"/>
      <c r="E966" s="242"/>
      <c r="F966" s="242"/>
      <c r="G966" s="242"/>
      <c r="H966" s="242"/>
      <c r="I966" s="242"/>
      <c r="J966" s="242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ht="14.25" customHeight="1">
      <c r="A967" s="240"/>
      <c r="B967" s="241"/>
      <c r="C967" s="240"/>
      <c r="D967" s="242"/>
      <c r="E967" s="242"/>
      <c r="F967" s="242"/>
      <c r="G967" s="242"/>
      <c r="H967" s="242"/>
      <c r="I967" s="242"/>
      <c r="J967" s="242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ht="14.25" customHeight="1">
      <c r="A968" s="240"/>
      <c r="B968" s="241"/>
      <c r="C968" s="240"/>
      <c r="D968" s="242"/>
      <c r="E968" s="242"/>
      <c r="F968" s="242"/>
      <c r="G968" s="242"/>
      <c r="H968" s="242"/>
      <c r="I968" s="242"/>
      <c r="J968" s="242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ht="14.25" customHeight="1">
      <c r="A969" s="240"/>
      <c r="B969" s="241"/>
      <c r="C969" s="240"/>
      <c r="D969" s="242"/>
      <c r="E969" s="242"/>
      <c r="F969" s="242"/>
      <c r="G969" s="242"/>
      <c r="H969" s="242"/>
      <c r="I969" s="242"/>
      <c r="J969" s="242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ht="14.25" customHeight="1">
      <c r="A970" s="240"/>
      <c r="B970" s="241"/>
      <c r="C970" s="240"/>
      <c r="D970" s="242"/>
      <c r="E970" s="242"/>
      <c r="F970" s="242"/>
      <c r="G970" s="242"/>
      <c r="H970" s="242"/>
      <c r="I970" s="242"/>
      <c r="J970" s="242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ht="14.25" customHeight="1">
      <c r="A971" s="240"/>
      <c r="B971" s="241"/>
      <c r="C971" s="240"/>
      <c r="D971" s="242"/>
      <c r="E971" s="242"/>
      <c r="F971" s="242"/>
      <c r="G971" s="242"/>
      <c r="H971" s="242"/>
      <c r="I971" s="242"/>
      <c r="J971" s="242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ht="14.25" customHeight="1">
      <c r="A972" s="240"/>
      <c r="B972" s="241"/>
      <c r="C972" s="240"/>
      <c r="D972" s="242"/>
      <c r="E972" s="242"/>
      <c r="F972" s="242"/>
      <c r="G972" s="242"/>
      <c r="H972" s="242"/>
      <c r="I972" s="242"/>
      <c r="J972" s="242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ht="14.25" customHeight="1">
      <c r="A973" s="240"/>
      <c r="B973" s="241"/>
      <c r="C973" s="240"/>
      <c r="D973" s="242"/>
      <c r="E973" s="242"/>
      <c r="F973" s="242"/>
      <c r="G973" s="242"/>
      <c r="H973" s="242"/>
      <c r="I973" s="242"/>
      <c r="J973" s="242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ht="14.25" customHeight="1">
      <c r="A974" s="240"/>
      <c r="B974" s="241"/>
      <c r="C974" s="240"/>
      <c r="D974" s="242"/>
      <c r="E974" s="242"/>
      <c r="F974" s="242"/>
      <c r="G974" s="242"/>
      <c r="H974" s="242"/>
      <c r="I974" s="242"/>
      <c r="J974" s="242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ht="14.25" customHeight="1">
      <c r="A975" s="240"/>
      <c r="B975" s="241"/>
      <c r="C975" s="240"/>
      <c r="D975" s="242"/>
      <c r="E975" s="242"/>
      <c r="F975" s="242"/>
      <c r="G975" s="242"/>
      <c r="H975" s="242"/>
      <c r="I975" s="242"/>
      <c r="J975" s="242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ht="14.25" customHeight="1">
      <c r="A976" s="240"/>
      <c r="B976" s="241"/>
      <c r="C976" s="240"/>
      <c r="D976" s="242"/>
      <c r="E976" s="242"/>
      <c r="F976" s="242"/>
      <c r="G976" s="242"/>
      <c r="H976" s="242"/>
      <c r="I976" s="242"/>
      <c r="J976" s="242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ht="14.25" customHeight="1">
      <c r="A977" s="240"/>
      <c r="B977" s="241"/>
      <c r="C977" s="240"/>
      <c r="D977" s="242"/>
      <c r="E977" s="242"/>
      <c r="F977" s="242"/>
      <c r="G977" s="242"/>
      <c r="H977" s="242"/>
      <c r="I977" s="242"/>
      <c r="J977" s="242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ht="14.25" customHeight="1">
      <c r="A978" s="240"/>
      <c r="B978" s="241"/>
      <c r="C978" s="240"/>
      <c r="D978" s="242"/>
      <c r="E978" s="242"/>
      <c r="F978" s="242"/>
      <c r="G978" s="242"/>
      <c r="H978" s="242"/>
      <c r="I978" s="242"/>
      <c r="J978" s="242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ht="14.25" customHeight="1">
      <c r="A979" s="240"/>
      <c r="B979" s="241"/>
      <c r="C979" s="240"/>
      <c r="D979" s="242"/>
      <c r="E979" s="242"/>
      <c r="F979" s="242"/>
      <c r="G979" s="242"/>
      <c r="H979" s="242"/>
      <c r="I979" s="242"/>
      <c r="J979" s="242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ht="14.25" customHeight="1">
      <c r="A980" s="240"/>
      <c r="B980" s="241"/>
      <c r="C980" s="240"/>
      <c r="D980" s="242"/>
      <c r="E980" s="242"/>
      <c r="F980" s="242"/>
      <c r="G980" s="242"/>
      <c r="H980" s="242"/>
      <c r="I980" s="242"/>
      <c r="J980" s="242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ht="14.25" customHeight="1">
      <c r="A981" s="240"/>
      <c r="B981" s="241"/>
      <c r="C981" s="240"/>
      <c r="D981" s="242"/>
      <c r="E981" s="242"/>
      <c r="F981" s="242"/>
      <c r="G981" s="242"/>
      <c r="H981" s="242"/>
      <c r="I981" s="242"/>
      <c r="J981" s="242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ht="14.25" customHeight="1">
      <c r="A982" s="240"/>
      <c r="B982" s="241"/>
      <c r="C982" s="240"/>
      <c r="D982" s="242"/>
      <c r="E982" s="242"/>
      <c r="F982" s="242"/>
      <c r="G982" s="242"/>
      <c r="H982" s="242"/>
      <c r="I982" s="242"/>
      <c r="J982" s="242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ht="14.25" customHeight="1">
      <c r="A983" s="240"/>
      <c r="B983" s="241"/>
      <c r="C983" s="240"/>
      <c r="D983" s="242"/>
      <c r="E983" s="242"/>
      <c r="F983" s="242"/>
      <c r="G983" s="242"/>
      <c r="H983" s="242"/>
      <c r="I983" s="242"/>
      <c r="J983" s="242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ht="14.25" customHeight="1">
      <c r="A984" s="240"/>
      <c r="B984" s="241"/>
      <c r="C984" s="240"/>
      <c r="D984" s="242"/>
      <c r="E984" s="242"/>
      <c r="F984" s="242"/>
      <c r="G984" s="242"/>
      <c r="H984" s="242"/>
      <c r="I984" s="242"/>
      <c r="J984" s="242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ht="14.25" customHeight="1">
      <c r="A985" s="240"/>
      <c r="B985" s="241"/>
      <c r="C985" s="240"/>
      <c r="D985" s="242"/>
      <c r="E985" s="242"/>
      <c r="F985" s="242"/>
      <c r="G985" s="242"/>
      <c r="H985" s="242"/>
      <c r="I985" s="242"/>
      <c r="J985" s="242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ht="14.25" customHeight="1">
      <c r="A986" s="240"/>
      <c r="B986" s="241"/>
      <c r="C986" s="240"/>
      <c r="D986" s="242"/>
      <c r="E986" s="242"/>
      <c r="F986" s="242"/>
      <c r="G986" s="242"/>
      <c r="H986" s="242"/>
      <c r="I986" s="242"/>
      <c r="J986" s="242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ht="14.25" customHeight="1">
      <c r="A987" s="240"/>
      <c r="B987" s="241"/>
      <c r="C987" s="240"/>
      <c r="D987" s="242"/>
      <c r="E987" s="242"/>
      <c r="F987" s="242"/>
      <c r="G987" s="242"/>
      <c r="H987" s="242"/>
      <c r="I987" s="242"/>
      <c r="J987" s="242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ht="14.25" customHeight="1">
      <c r="A988" s="240"/>
      <c r="B988" s="241"/>
      <c r="C988" s="240"/>
      <c r="D988" s="242"/>
      <c r="E988" s="242"/>
      <c r="F988" s="242"/>
      <c r="G988" s="242"/>
      <c r="H988" s="242"/>
      <c r="I988" s="242"/>
      <c r="J988" s="242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ht="14.25" customHeight="1">
      <c r="A989" s="240"/>
      <c r="B989" s="241"/>
      <c r="C989" s="240"/>
      <c r="D989" s="242"/>
      <c r="E989" s="242"/>
      <c r="F989" s="242"/>
      <c r="G989" s="242"/>
      <c r="H989" s="242"/>
      <c r="I989" s="242"/>
      <c r="J989" s="242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ht="14.25" customHeight="1">
      <c r="A990" s="240"/>
      <c r="B990" s="241"/>
      <c r="C990" s="240"/>
      <c r="D990" s="242"/>
      <c r="E990" s="242"/>
      <c r="F990" s="242"/>
      <c r="G990" s="242"/>
      <c r="H990" s="242"/>
      <c r="I990" s="242"/>
      <c r="J990" s="242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ht="14.25" customHeight="1">
      <c r="A991" s="240"/>
      <c r="B991" s="241"/>
      <c r="C991" s="240"/>
      <c r="D991" s="242"/>
      <c r="E991" s="242"/>
      <c r="F991" s="242"/>
      <c r="G991" s="242"/>
      <c r="H991" s="242"/>
      <c r="I991" s="242"/>
      <c r="J991" s="242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ht="14.25" customHeight="1">
      <c r="A992" s="240"/>
      <c r="B992" s="241"/>
      <c r="C992" s="240"/>
      <c r="D992" s="242"/>
      <c r="E992" s="242"/>
      <c r="F992" s="242"/>
      <c r="G992" s="242"/>
      <c r="H992" s="242"/>
      <c r="I992" s="242"/>
      <c r="J992" s="242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ht="14.25" customHeight="1">
      <c r="A993" s="240"/>
      <c r="B993" s="241"/>
      <c r="C993" s="240"/>
      <c r="D993" s="242"/>
      <c r="E993" s="242"/>
      <c r="F993" s="242"/>
      <c r="G993" s="242"/>
      <c r="H993" s="242"/>
      <c r="I993" s="242"/>
      <c r="J993" s="242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ht="14.25" customHeight="1">
      <c r="A994" s="240"/>
      <c r="B994" s="241"/>
      <c r="C994" s="240"/>
      <c r="D994" s="242"/>
      <c r="E994" s="242"/>
      <c r="F994" s="242"/>
      <c r="G994" s="242"/>
      <c r="H994" s="242"/>
      <c r="I994" s="242"/>
      <c r="J994" s="242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ht="14.25" customHeight="1">
      <c r="A995" s="240"/>
      <c r="B995" s="241"/>
      <c r="C995" s="240"/>
      <c r="D995" s="242"/>
      <c r="E995" s="242"/>
      <c r="F995" s="242"/>
      <c r="G995" s="242"/>
      <c r="H995" s="242"/>
      <c r="I995" s="242"/>
      <c r="J995" s="242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ht="14.25" customHeight="1">
      <c r="A996" s="240"/>
      <c r="B996" s="241"/>
      <c r="C996" s="240"/>
      <c r="D996" s="242"/>
      <c r="E996" s="242"/>
      <c r="F996" s="242"/>
      <c r="G996" s="242"/>
      <c r="H996" s="242"/>
      <c r="I996" s="242"/>
      <c r="J996" s="242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ht="14.25" customHeight="1">
      <c r="A997" s="240"/>
      <c r="B997" s="241"/>
      <c r="C997" s="240"/>
      <c r="D997" s="242"/>
      <c r="E997" s="242"/>
      <c r="F997" s="242"/>
      <c r="G997" s="242"/>
      <c r="H997" s="242"/>
      <c r="I997" s="242"/>
      <c r="J997" s="242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ht="14.25" customHeight="1">
      <c r="A998" s="240"/>
      <c r="B998" s="241"/>
      <c r="C998" s="240"/>
      <c r="D998" s="242"/>
      <c r="E998" s="242"/>
      <c r="F998" s="242"/>
      <c r="G998" s="242"/>
      <c r="H998" s="242"/>
      <c r="I998" s="242"/>
      <c r="J998" s="242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ht="14.25" customHeight="1">
      <c r="A999" s="240"/>
      <c r="B999" s="241"/>
      <c r="C999" s="240"/>
      <c r="D999" s="242"/>
      <c r="E999" s="242"/>
      <c r="F999" s="242"/>
      <c r="G999" s="242"/>
      <c r="H999" s="242"/>
      <c r="I999" s="242"/>
      <c r="J999" s="242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ht="14.25" customHeight="1">
      <c r="A1000" s="240"/>
      <c r="B1000" s="241"/>
      <c r="C1000" s="240"/>
      <c r="D1000" s="242"/>
      <c r="E1000" s="242"/>
      <c r="F1000" s="242"/>
      <c r="G1000" s="242"/>
      <c r="H1000" s="242"/>
      <c r="I1000" s="242"/>
      <c r="J1000" s="242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  <row r="1001" ht="14.25" customHeight="1">
      <c r="A1001" s="240"/>
      <c r="B1001" s="241"/>
      <c r="C1001" s="240"/>
      <c r="D1001" s="242"/>
      <c r="E1001" s="242"/>
      <c r="F1001" s="242"/>
      <c r="G1001" s="242"/>
      <c r="H1001" s="242"/>
      <c r="I1001" s="242"/>
      <c r="J1001" s="242"/>
      <c r="K1001" s="240"/>
      <c r="L1001" s="240"/>
      <c r="M1001" s="240"/>
      <c r="N1001" s="240"/>
      <c r="O1001" s="240"/>
      <c r="P1001" s="240"/>
      <c r="Q1001" s="240"/>
      <c r="R1001" s="240"/>
      <c r="S1001" s="240"/>
      <c r="T1001" s="240"/>
      <c r="U1001" s="240"/>
      <c r="V1001" s="240"/>
      <c r="W1001" s="240"/>
      <c r="X1001" s="240"/>
      <c r="Y1001" s="240"/>
      <c r="Z1001" s="240"/>
    </row>
    <row r="1002" ht="14.25" customHeight="1">
      <c r="A1002" s="240"/>
      <c r="B1002" s="241"/>
      <c r="C1002" s="240"/>
      <c r="D1002" s="242"/>
      <c r="E1002" s="242"/>
      <c r="F1002" s="242"/>
      <c r="G1002" s="242"/>
      <c r="H1002" s="242"/>
      <c r="I1002" s="242"/>
      <c r="J1002" s="242"/>
      <c r="K1002" s="240"/>
      <c r="L1002" s="240"/>
      <c r="M1002" s="240"/>
      <c r="N1002" s="240"/>
      <c r="O1002" s="240"/>
      <c r="P1002" s="240"/>
      <c r="Q1002" s="240"/>
      <c r="R1002" s="240"/>
      <c r="S1002" s="240"/>
      <c r="T1002" s="240"/>
      <c r="U1002" s="240"/>
      <c r="V1002" s="240"/>
      <c r="W1002" s="240"/>
      <c r="X1002" s="240"/>
      <c r="Y1002" s="240"/>
      <c r="Z1002" s="240"/>
    </row>
    <row r="1003" ht="14.25" customHeight="1">
      <c r="A1003" s="240"/>
      <c r="B1003" s="241"/>
      <c r="C1003" s="240"/>
      <c r="D1003" s="242"/>
      <c r="E1003" s="242"/>
      <c r="F1003" s="242"/>
      <c r="G1003" s="242"/>
      <c r="H1003" s="242"/>
      <c r="I1003" s="242"/>
      <c r="J1003" s="242"/>
      <c r="K1003" s="240"/>
      <c r="L1003" s="240"/>
      <c r="M1003" s="240"/>
      <c r="N1003" s="240"/>
      <c r="O1003" s="240"/>
      <c r="P1003" s="240"/>
      <c r="Q1003" s="240"/>
      <c r="R1003" s="240"/>
      <c r="S1003" s="240"/>
      <c r="T1003" s="240"/>
      <c r="U1003" s="240"/>
      <c r="V1003" s="240"/>
      <c r="W1003" s="240"/>
      <c r="X1003" s="240"/>
      <c r="Y1003" s="240"/>
      <c r="Z1003" s="240"/>
    </row>
    <row r="1004" ht="14.25" customHeight="1">
      <c r="A1004" s="240"/>
      <c r="B1004" s="241"/>
      <c r="C1004" s="240"/>
      <c r="D1004" s="242"/>
      <c r="E1004" s="242"/>
      <c r="F1004" s="242"/>
      <c r="G1004" s="242"/>
      <c r="H1004" s="242"/>
      <c r="I1004" s="242"/>
      <c r="J1004" s="242"/>
      <c r="K1004" s="240"/>
      <c r="L1004" s="240"/>
      <c r="M1004" s="240"/>
      <c r="N1004" s="240"/>
      <c r="O1004" s="240"/>
      <c r="P1004" s="240"/>
      <c r="Q1004" s="240"/>
      <c r="R1004" s="240"/>
      <c r="S1004" s="240"/>
      <c r="T1004" s="240"/>
      <c r="U1004" s="240"/>
      <c r="V1004" s="240"/>
      <c r="W1004" s="240"/>
      <c r="X1004" s="240"/>
      <c r="Y1004" s="240"/>
      <c r="Z1004" s="240"/>
    </row>
    <row r="1005" ht="14.25" customHeight="1">
      <c r="A1005" s="240"/>
      <c r="B1005" s="241"/>
      <c r="C1005" s="240"/>
      <c r="D1005" s="242"/>
      <c r="E1005" s="242"/>
      <c r="F1005" s="242"/>
      <c r="G1005" s="242"/>
      <c r="H1005" s="242"/>
      <c r="I1005" s="242"/>
      <c r="J1005" s="242"/>
      <c r="K1005" s="240"/>
      <c r="L1005" s="240"/>
      <c r="M1005" s="240"/>
      <c r="N1005" s="240"/>
      <c r="O1005" s="240"/>
      <c r="P1005" s="240"/>
      <c r="Q1005" s="240"/>
      <c r="R1005" s="240"/>
      <c r="S1005" s="240"/>
      <c r="T1005" s="240"/>
      <c r="U1005" s="240"/>
      <c r="V1005" s="240"/>
      <c r="W1005" s="240"/>
      <c r="X1005" s="240"/>
      <c r="Y1005" s="240"/>
      <c r="Z1005" s="240"/>
    </row>
  </sheetData>
  <mergeCells count="1">
    <mergeCell ref="B6:C6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4" width="11.57"/>
    <col customWidth="1" min="5" max="8" width="8.86"/>
    <col customWidth="1" min="9" max="9" width="14.14"/>
    <col customWidth="1" min="10" max="26" width="8.71"/>
  </cols>
  <sheetData>
    <row r="1" ht="14.25" customHeight="1">
      <c r="A1" s="298" t="s">
        <v>256</v>
      </c>
      <c r="B1" s="298" t="s">
        <v>257</v>
      </c>
      <c r="C1" s="298" t="s">
        <v>258</v>
      </c>
      <c r="D1" s="298" t="s">
        <v>259</v>
      </c>
      <c r="E1" s="299"/>
      <c r="F1" s="299"/>
      <c r="G1" s="299"/>
      <c r="H1" s="298" t="s">
        <v>0</v>
      </c>
      <c r="I1" s="298" t="s">
        <v>259</v>
      </c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</row>
    <row r="2" ht="14.25" customHeight="1">
      <c r="A2" s="300">
        <v>46174.0</v>
      </c>
      <c r="B2" s="241">
        <f t="shared" ref="B2:B2060" si="1">YEAR(A2)</f>
        <v>2026</v>
      </c>
      <c r="C2" s="241">
        <f t="shared" ref="C2:C2060" si="2">MONTH(A2)</f>
        <v>6</v>
      </c>
      <c r="D2" s="301" t="str">
        <f t="shared" ref="D2:D2060" si="3">VLOOKUP(WEEKDAY(A2,2),$H$2:$I$8,2,FALSE)</f>
        <v>Monday</v>
      </c>
      <c r="E2" s="240"/>
      <c r="F2" s="240"/>
      <c r="G2" s="240"/>
      <c r="H2" s="241">
        <v>1.0</v>
      </c>
      <c r="I2" s="301" t="s">
        <v>126</v>
      </c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ht="14.25" customHeight="1">
      <c r="A3" s="302">
        <f t="shared" ref="A3:A2060" si="4">A2+1</f>
        <v>46175</v>
      </c>
      <c r="B3" s="241">
        <f t="shared" si="1"/>
        <v>2026</v>
      </c>
      <c r="C3" s="241">
        <f t="shared" si="2"/>
        <v>6</v>
      </c>
      <c r="D3" s="301" t="str">
        <f t="shared" si="3"/>
        <v>Tuesday</v>
      </c>
      <c r="E3" s="240"/>
      <c r="F3" s="240"/>
      <c r="G3" s="240"/>
      <c r="H3" s="241">
        <v>2.0</v>
      </c>
      <c r="I3" s="301" t="s">
        <v>127</v>
      </c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ht="14.25" customHeight="1">
      <c r="A4" s="302">
        <f t="shared" si="4"/>
        <v>46176</v>
      </c>
      <c r="B4" s="241">
        <f t="shared" si="1"/>
        <v>2026</v>
      </c>
      <c r="C4" s="241">
        <f t="shared" si="2"/>
        <v>6</v>
      </c>
      <c r="D4" s="301" t="str">
        <f t="shared" si="3"/>
        <v>Wednesday</v>
      </c>
      <c r="E4" s="240"/>
      <c r="F4" s="240"/>
      <c r="G4" s="240"/>
      <c r="H4" s="241">
        <v>3.0</v>
      </c>
      <c r="I4" s="301" t="s">
        <v>128</v>
      </c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ht="14.25" customHeight="1">
      <c r="A5" s="302">
        <f t="shared" si="4"/>
        <v>46177</v>
      </c>
      <c r="B5" s="241">
        <f t="shared" si="1"/>
        <v>2026</v>
      </c>
      <c r="C5" s="241">
        <f t="shared" si="2"/>
        <v>6</v>
      </c>
      <c r="D5" s="301" t="str">
        <f t="shared" si="3"/>
        <v>Thursday</v>
      </c>
      <c r="E5" s="240"/>
      <c r="F5" s="240"/>
      <c r="G5" s="240"/>
      <c r="H5" s="241">
        <v>4.0</v>
      </c>
      <c r="I5" s="301" t="s">
        <v>129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ht="14.25" customHeight="1">
      <c r="A6" s="302">
        <f t="shared" si="4"/>
        <v>46178</v>
      </c>
      <c r="B6" s="241">
        <f t="shared" si="1"/>
        <v>2026</v>
      </c>
      <c r="C6" s="241">
        <f t="shared" si="2"/>
        <v>6</v>
      </c>
      <c r="D6" s="301" t="str">
        <f t="shared" si="3"/>
        <v>Friday</v>
      </c>
      <c r="E6" s="240"/>
      <c r="F6" s="240"/>
      <c r="G6" s="240"/>
      <c r="H6" s="241">
        <v>5.0</v>
      </c>
      <c r="I6" s="301" t="s">
        <v>130</v>
      </c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</row>
    <row r="7" ht="14.25" customHeight="1">
      <c r="A7" s="302">
        <f t="shared" si="4"/>
        <v>46179</v>
      </c>
      <c r="B7" s="241">
        <f t="shared" si="1"/>
        <v>2026</v>
      </c>
      <c r="C7" s="241">
        <f t="shared" si="2"/>
        <v>6</v>
      </c>
      <c r="D7" s="301" t="str">
        <f t="shared" si="3"/>
        <v>Saturday</v>
      </c>
      <c r="E7" s="240"/>
      <c r="F7" s="240"/>
      <c r="G7" s="240"/>
      <c r="H7" s="241">
        <v>6.0</v>
      </c>
      <c r="I7" s="301" t="s">
        <v>131</v>
      </c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ht="14.25" customHeight="1">
      <c r="A8" s="302">
        <f t="shared" si="4"/>
        <v>46180</v>
      </c>
      <c r="B8" s="241">
        <f t="shared" si="1"/>
        <v>2026</v>
      </c>
      <c r="C8" s="241">
        <f t="shared" si="2"/>
        <v>6</v>
      </c>
      <c r="D8" s="301" t="str">
        <f t="shared" si="3"/>
        <v>Sunday</v>
      </c>
      <c r="E8" s="240"/>
      <c r="F8" s="240"/>
      <c r="G8" s="240"/>
      <c r="H8" s="241">
        <v>7.0</v>
      </c>
      <c r="I8" s="301" t="s">
        <v>132</v>
      </c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ht="14.25" customHeight="1">
      <c r="A9" s="302">
        <f t="shared" si="4"/>
        <v>46181</v>
      </c>
      <c r="B9" s="241">
        <f t="shared" si="1"/>
        <v>2026</v>
      </c>
      <c r="C9" s="241">
        <f t="shared" si="2"/>
        <v>6</v>
      </c>
      <c r="D9" s="301" t="str">
        <f t="shared" si="3"/>
        <v>Monday</v>
      </c>
      <c r="E9" s="240"/>
      <c r="F9" s="240"/>
      <c r="G9" s="240"/>
      <c r="H9" s="241"/>
      <c r="I9" s="301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ht="14.25" customHeight="1">
      <c r="A10" s="302">
        <f t="shared" si="4"/>
        <v>46182</v>
      </c>
      <c r="B10" s="241">
        <f t="shared" si="1"/>
        <v>2026</v>
      </c>
      <c r="C10" s="241">
        <f t="shared" si="2"/>
        <v>6</v>
      </c>
      <c r="D10" s="301" t="str">
        <f t="shared" si="3"/>
        <v>Tuesday</v>
      </c>
      <c r="E10" s="240"/>
      <c r="F10" s="240"/>
      <c r="G10" s="240"/>
      <c r="H10" s="241"/>
      <c r="I10" s="301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ht="14.25" customHeight="1">
      <c r="A11" s="302">
        <f t="shared" si="4"/>
        <v>46183</v>
      </c>
      <c r="B11" s="241">
        <f t="shared" si="1"/>
        <v>2026</v>
      </c>
      <c r="C11" s="241">
        <f t="shared" si="2"/>
        <v>6</v>
      </c>
      <c r="D11" s="301" t="str">
        <f t="shared" si="3"/>
        <v>Wednesday</v>
      </c>
      <c r="E11" s="240"/>
      <c r="F11" s="240"/>
      <c r="G11" s="240"/>
      <c r="H11" s="298" t="s">
        <v>0</v>
      </c>
      <c r="I11" s="298" t="s">
        <v>258</v>
      </c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ht="14.25" customHeight="1">
      <c r="A12" s="302">
        <f t="shared" si="4"/>
        <v>46184</v>
      </c>
      <c r="B12" s="241">
        <f t="shared" si="1"/>
        <v>2026</v>
      </c>
      <c r="C12" s="241">
        <f t="shared" si="2"/>
        <v>6</v>
      </c>
      <c r="D12" s="301" t="str">
        <f t="shared" si="3"/>
        <v>Thursday</v>
      </c>
      <c r="E12" s="240"/>
      <c r="F12" s="240"/>
      <c r="G12" s="240"/>
      <c r="H12" s="241">
        <v>1.0</v>
      </c>
      <c r="I12" s="301" t="s">
        <v>260</v>
      </c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</row>
    <row r="13" ht="14.25" customHeight="1">
      <c r="A13" s="302">
        <f t="shared" si="4"/>
        <v>46185</v>
      </c>
      <c r="B13" s="241">
        <f t="shared" si="1"/>
        <v>2026</v>
      </c>
      <c r="C13" s="241">
        <f t="shared" si="2"/>
        <v>6</v>
      </c>
      <c r="D13" s="301" t="str">
        <f t="shared" si="3"/>
        <v>Friday</v>
      </c>
      <c r="E13" s="240"/>
      <c r="F13" s="240"/>
      <c r="G13" s="240"/>
      <c r="H13" s="241">
        <v>2.0</v>
      </c>
      <c r="I13" s="301" t="s">
        <v>136</v>
      </c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14.25" customHeight="1">
      <c r="A14" s="302">
        <f t="shared" si="4"/>
        <v>46186</v>
      </c>
      <c r="B14" s="241">
        <f t="shared" si="1"/>
        <v>2026</v>
      </c>
      <c r="C14" s="241">
        <f t="shared" si="2"/>
        <v>6</v>
      </c>
      <c r="D14" s="301" t="str">
        <f t="shared" si="3"/>
        <v>Saturday</v>
      </c>
      <c r="E14" s="240"/>
      <c r="F14" s="240"/>
      <c r="G14" s="240"/>
      <c r="H14" s="241">
        <v>3.0</v>
      </c>
      <c r="I14" s="301" t="s">
        <v>261</v>
      </c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ht="14.25" customHeight="1">
      <c r="A15" s="302">
        <f t="shared" si="4"/>
        <v>46187</v>
      </c>
      <c r="B15" s="241">
        <f t="shared" si="1"/>
        <v>2026</v>
      </c>
      <c r="C15" s="241">
        <f t="shared" si="2"/>
        <v>6</v>
      </c>
      <c r="D15" s="301" t="str">
        <f t="shared" si="3"/>
        <v>Sunday</v>
      </c>
      <c r="E15" s="240"/>
      <c r="F15" s="240"/>
      <c r="G15" s="240"/>
      <c r="H15" s="241">
        <v>4.0</v>
      </c>
      <c r="I15" s="301" t="s">
        <v>262</v>
      </c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ht="14.25" customHeight="1">
      <c r="A16" s="302">
        <f t="shared" si="4"/>
        <v>46188</v>
      </c>
      <c r="B16" s="241">
        <f t="shared" si="1"/>
        <v>2026</v>
      </c>
      <c r="C16" s="241">
        <f t="shared" si="2"/>
        <v>6</v>
      </c>
      <c r="D16" s="301" t="str">
        <f t="shared" si="3"/>
        <v>Monday</v>
      </c>
      <c r="E16" s="240"/>
      <c r="F16" s="240"/>
      <c r="G16" s="240"/>
      <c r="H16" s="241">
        <v>5.0</v>
      </c>
      <c r="I16" s="301" t="s">
        <v>263</v>
      </c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14.25" customHeight="1">
      <c r="A17" s="302">
        <f t="shared" si="4"/>
        <v>46189</v>
      </c>
      <c r="B17" s="241">
        <f t="shared" si="1"/>
        <v>2026</v>
      </c>
      <c r="C17" s="241">
        <f t="shared" si="2"/>
        <v>6</v>
      </c>
      <c r="D17" s="301" t="str">
        <f t="shared" si="3"/>
        <v>Tuesday</v>
      </c>
      <c r="E17" s="240"/>
      <c r="F17" s="240"/>
      <c r="G17" s="240"/>
      <c r="H17" s="241">
        <v>6.0</v>
      </c>
      <c r="I17" s="301" t="s">
        <v>264</v>
      </c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14.25" customHeight="1">
      <c r="A18" s="302">
        <f t="shared" si="4"/>
        <v>46190</v>
      </c>
      <c r="B18" s="241">
        <f t="shared" si="1"/>
        <v>2026</v>
      </c>
      <c r="C18" s="241">
        <f t="shared" si="2"/>
        <v>6</v>
      </c>
      <c r="D18" s="301" t="str">
        <f t="shared" si="3"/>
        <v>Wednesday</v>
      </c>
      <c r="E18" s="240"/>
      <c r="F18" s="240"/>
      <c r="G18" s="240"/>
      <c r="H18" s="241">
        <v>7.0</v>
      </c>
      <c r="I18" s="301" t="s">
        <v>265</v>
      </c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14.25" customHeight="1">
      <c r="A19" s="302">
        <f t="shared" si="4"/>
        <v>46191</v>
      </c>
      <c r="B19" s="241">
        <f t="shared" si="1"/>
        <v>2026</v>
      </c>
      <c r="C19" s="241">
        <f t="shared" si="2"/>
        <v>6</v>
      </c>
      <c r="D19" s="301" t="str">
        <f t="shared" si="3"/>
        <v>Thursday</v>
      </c>
      <c r="E19" s="240"/>
      <c r="F19" s="240"/>
      <c r="G19" s="240"/>
      <c r="H19" s="241">
        <v>8.0</v>
      </c>
      <c r="I19" s="301" t="s">
        <v>266</v>
      </c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ht="14.25" customHeight="1">
      <c r="A20" s="302">
        <f t="shared" si="4"/>
        <v>46192</v>
      </c>
      <c r="B20" s="241">
        <f t="shared" si="1"/>
        <v>2026</v>
      </c>
      <c r="C20" s="241">
        <f t="shared" si="2"/>
        <v>6</v>
      </c>
      <c r="D20" s="301" t="str">
        <f t="shared" si="3"/>
        <v>Friday</v>
      </c>
      <c r="E20" s="240"/>
      <c r="F20" s="240"/>
      <c r="G20" s="240"/>
      <c r="H20" s="241">
        <v>9.0</v>
      </c>
      <c r="I20" s="301" t="s">
        <v>267</v>
      </c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ht="14.25" customHeight="1">
      <c r="A21" s="302">
        <f t="shared" si="4"/>
        <v>46193</v>
      </c>
      <c r="B21" s="241">
        <f t="shared" si="1"/>
        <v>2026</v>
      </c>
      <c r="C21" s="241">
        <f t="shared" si="2"/>
        <v>6</v>
      </c>
      <c r="D21" s="301" t="str">
        <f t="shared" si="3"/>
        <v>Saturday</v>
      </c>
      <c r="E21" s="240"/>
      <c r="F21" s="240"/>
      <c r="G21" s="240"/>
      <c r="H21" s="241">
        <v>10.0</v>
      </c>
      <c r="I21" s="301" t="s">
        <v>268</v>
      </c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ht="14.25" customHeight="1">
      <c r="A22" s="302">
        <f t="shared" si="4"/>
        <v>46194</v>
      </c>
      <c r="B22" s="241">
        <f t="shared" si="1"/>
        <v>2026</v>
      </c>
      <c r="C22" s="241">
        <f t="shared" si="2"/>
        <v>6</v>
      </c>
      <c r="D22" s="301" t="str">
        <f t="shared" si="3"/>
        <v>Sunday</v>
      </c>
      <c r="E22" s="240"/>
      <c r="F22" s="240"/>
      <c r="G22" s="240"/>
      <c r="H22" s="241">
        <v>11.0</v>
      </c>
      <c r="I22" s="301" t="s">
        <v>269</v>
      </c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ht="14.25" customHeight="1">
      <c r="A23" s="302">
        <f t="shared" si="4"/>
        <v>46195</v>
      </c>
      <c r="B23" s="241">
        <f t="shared" si="1"/>
        <v>2026</v>
      </c>
      <c r="C23" s="241">
        <f t="shared" si="2"/>
        <v>6</v>
      </c>
      <c r="D23" s="301" t="str">
        <f t="shared" si="3"/>
        <v>Monday</v>
      </c>
      <c r="E23" s="240"/>
      <c r="F23" s="240"/>
      <c r="G23" s="240"/>
      <c r="H23" s="241">
        <v>12.0</v>
      </c>
      <c r="I23" s="301" t="s">
        <v>138</v>
      </c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ht="14.25" customHeight="1">
      <c r="A24" s="302">
        <f t="shared" si="4"/>
        <v>46196</v>
      </c>
      <c r="B24" s="241">
        <f t="shared" si="1"/>
        <v>2026</v>
      </c>
      <c r="C24" s="241">
        <f t="shared" si="2"/>
        <v>6</v>
      </c>
      <c r="D24" s="301" t="str">
        <f t="shared" si="3"/>
        <v>Tuesday</v>
      </c>
      <c r="E24" s="240"/>
      <c r="F24" s="240"/>
      <c r="G24" s="240"/>
      <c r="H24" s="241"/>
      <c r="I24" s="301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14.25" customHeight="1">
      <c r="A25" s="302">
        <f t="shared" si="4"/>
        <v>46197</v>
      </c>
      <c r="B25" s="241">
        <f t="shared" si="1"/>
        <v>2026</v>
      </c>
      <c r="C25" s="241">
        <f t="shared" si="2"/>
        <v>6</v>
      </c>
      <c r="D25" s="301" t="str">
        <f t="shared" si="3"/>
        <v>Wednesday</v>
      </c>
      <c r="E25" s="240"/>
      <c r="F25" s="240"/>
      <c r="G25" s="240"/>
      <c r="H25" s="298" t="s">
        <v>0</v>
      </c>
      <c r="I25" s="298" t="s">
        <v>270</v>
      </c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ht="14.25" customHeight="1">
      <c r="A26" s="302">
        <f t="shared" si="4"/>
        <v>46198</v>
      </c>
      <c r="B26" s="241">
        <f t="shared" si="1"/>
        <v>2026</v>
      </c>
      <c r="C26" s="241">
        <f t="shared" si="2"/>
        <v>6</v>
      </c>
      <c r="D26" s="301" t="str">
        <f t="shared" si="3"/>
        <v>Thursday</v>
      </c>
      <c r="E26" s="240"/>
      <c r="F26" s="240"/>
      <c r="G26" s="240"/>
      <c r="H26" s="241">
        <v>1.0</v>
      </c>
      <c r="I26" s="301" t="s">
        <v>271</v>
      </c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ht="14.25" customHeight="1">
      <c r="A27" s="302">
        <f t="shared" si="4"/>
        <v>46199</v>
      </c>
      <c r="B27" s="241">
        <f t="shared" si="1"/>
        <v>2026</v>
      </c>
      <c r="C27" s="241">
        <f t="shared" si="2"/>
        <v>6</v>
      </c>
      <c r="D27" s="301" t="str">
        <f t="shared" si="3"/>
        <v>Friday</v>
      </c>
      <c r="E27" s="240"/>
      <c r="F27" s="240"/>
      <c r="G27" s="240"/>
      <c r="H27" s="241">
        <v>2.0</v>
      </c>
      <c r="I27" s="301" t="s">
        <v>272</v>
      </c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ht="14.25" customHeight="1">
      <c r="A28" s="302">
        <f t="shared" si="4"/>
        <v>46200</v>
      </c>
      <c r="B28" s="241">
        <f t="shared" si="1"/>
        <v>2026</v>
      </c>
      <c r="C28" s="241">
        <f t="shared" si="2"/>
        <v>6</v>
      </c>
      <c r="D28" s="301" t="str">
        <f t="shared" si="3"/>
        <v>Saturday</v>
      </c>
      <c r="E28" s="240"/>
      <c r="F28" s="240"/>
      <c r="G28" s="240"/>
      <c r="H28" s="241">
        <v>3.0</v>
      </c>
      <c r="I28" s="301" t="s">
        <v>273</v>
      </c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 ht="14.25" customHeight="1">
      <c r="A29" s="302">
        <f t="shared" si="4"/>
        <v>46201</v>
      </c>
      <c r="B29" s="241">
        <f t="shared" si="1"/>
        <v>2026</v>
      </c>
      <c r="C29" s="241">
        <f t="shared" si="2"/>
        <v>6</v>
      </c>
      <c r="D29" s="301" t="str">
        <f t="shared" si="3"/>
        <v>Sunday</v>
      </c>
      <c r="E29" s="240"/>
      <c r="F29" s="240"/>
      <c r="G29" s="240"/>
      <c r="H29" s="241"/>
      <c r="I29" s="301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</row>
    <row r="30" ht="14.25" customHeight="1">
      <c r="A30" s="302">
        <f t="shared" si="4"/>
        <v>46202</v>
      </c>
      <c r="B30" s="241">
        <f t="shared" si="1"/>
        <v>2026</v>
      </c>
      <c r="C30" s="241">
        <f t="shared" si="2"/>
        <v>6</v>
      </c>
      <c r="D30" s="301" t="str">
        <f t="shared" si="3"/>
        <v>Monday</v>
      </c>
      <c r="E30" s="240"/>
      <c r="F30" s="240"/>
      <c r="G30" s="240"/>
      <c r="H30" s="241"/>
      <c r="I30" s="301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ht="14.25" customHeight="1">
      <c r="A31" s="302">
        <f t="shared" si="4"/>
        <v>46203</v>
      </c>
      <c r="B31" s="241">
        <f t="shared" si="1"/>
        <v>2026</v>
      </c>
      <c r="C31" s="241">
        <f t="shared" si="2"/>
        <v>6</v>
      </c>
      <c r="D31" s="301" t="str">
        <f t="shared" si="3"/>
        <v>Tuesday</v>
      </c>
      <c r="E31" s="240"/>
      <c r="F31" s="240"/>
      <c r="G31" s="240"/>
      <c r="H31" s="241"/>
      <c r="I31" s="301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ht="14.25" customHeight="1">
      <c r="A32" s="302">
        <f t="shared" si="4"/>
        <v>46204</v>
      </c>
      <c r="B32" s="241">
        <f t="shared" si="1"/>
        <v>2026</v>
      </c>
      <c r="C32" s="241">
        <f t="shared" si="2"/>
        <v>7</v>
      </c>
      <c r="D32" s="301" t="str">
        <f t="shared" si="3"/>
        <v>Wednesday</v>
      </c>
      <c r="E32" s="240"/>
      <c r="F32" s="240"/>
      <c r="G32" s="240"/>
      <c r="H32" s="241"/>
      <c r="I32" s="301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ht="14.25" customHeight="1">
      <c r="A33" s="302">
        <f t="shared" si="4"/>
        <v>46205</v>
      </c>
      <c r="B33" s="241">
        <f t="shared" si="1"/>
        <v>2026</v>
      </c>
      <c r="C33" s="241">
        <f t="shared" si="2"/>
        <v>7</v>
      </c>
      <c r="D33" s="301" t="str">
        <f t="shared" si="3"/>
        <v>Thursday</v>
      </c>
      <c r="E33" s="240"/>
      <c r="F33" s="240"/>
      <c r="G33" s="240"/>
      <c r="H33" s="241"/>
      <c r="I33" s="301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ht="14.25" customHeight="1">
      <c r="A34" s="302">
        <f t="shared" si="4"/>
        <v>46206</v>
      </c>
      <c r="B34" s="241">
        <f t="shared" si="1"/>
        <v>2026</v>
      </c>
      <c r="C34" s="241">
        <f t="shared" si="2"/>
        <v>7</v>
      </c>
      <c r="D34" s="301" t="str">
        <f t="shared" si="3"/>
        <v>Friday</v>
      </c>
      <c r="E34" s="240"/>
      <c r="F34" s="240"/>
      <c r="G34" s="240"/>
      <c r="H34" s="241"/>
      <c r="I34" s="301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ht="14.25" customHeight="1">
      <c r="A35" s="302">
        <f t="shared" si="4"/>
        <v>46207</v>
      </c>
      <c r="B35" s="241">
        <f t="shared" si="1"/>
        <v>2026</v>
      </c>
      <c r="C35" s="241">
        <f t="shared" si="2"/>
        <v>7</v>
      </c>
      <c r="D35" s="301" t="str">
        <f t="shared" si="3"/>
        <v>Saturday</v>
      </c>
      <c r="E35" s="240"/>
      <c r="F35" s="240"/>
      <c r="G35" s="240"/>
      <c r="H35" s="241"/>
      <c r="I35" s="301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ht="14.25" customHeight="1">
      <c r="A36" s="302">
        <f t="shared" si="4"/>
        <v>46208</v>
      </c>
      <c r="B36" s="241">
        <f t="shared" si="1"/>
        <v>2026</v>
      </c>
      <c r="C36" s="241">
        <f t="shared" si="2"/>
        <v>7</v>
      </c>
      <c r="D36" s="301" t="str">
        <f t="shared" si="3"/>
        <v>Sunday</v>
      </c>
      <c r="E36" s="240"/>
      <c r="F36" s="240"/>
      <c r="G36" s="240"/>
      <c r="H36" s="241"/>
      <c r="I36" s="301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ht="14.25" customHeight="1">
      <c r="A37" s="302">
        <f t="shared" si="4"/>
        <v>46209</v>
      </c>
      <c r="B37" s="241">
        <f t="shared" si="1"/>
        <v>2026</v>
      </c>
      <c r="C37" s="241">
        <f t="shared" si="2"/>
        <v>7</v>
      </c>
      <c r="D37" s="301" t="str">
        <f t="shared" si="3"/>
        <v>Monday</v>
      </c>
      <c r="E37" s="240"/>
      <c r="F37" s="240"/>
      <c r="G37" s="240"/>
      <c r="H37" s="241"/>
      <c r="I37" s="301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ht="14.25" customHeight="1">
      <c r="A38" s="302">
        <f t="shared" si="4"/>
        <v>46210</v>
      </c>
      <c r="B38" s="241">
        <f t="shared" si="1"/>
        <v>2026</v>
      </c>
      <c r="C38" s="241">
        <f t="shared" si="2"/>
        <v>7</v>
      </c>
      <c r="D38" s="301" t="str">
        <f t="shared" si="3"/>
        <v>Tuesday</v>
      </c>
      <c r="E38" s="240"/>
      <c r="F38" s="240"/>
      <c r="G38" s="240"/>
      <c r="H38" s="241"/>
      <c r="I38" s="301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ht="14.25" customHeight="1">
      <c r="A39" s="302">
        <f t="shared" si="4"/>
        <v>46211</v>
      </c>
      <c r="B39" s="241">
        <f t="shared" si="1"/>
        <v>2026</v>
      </c>
      <c r="C39" s="241">
        <f t="shared" si="2"/>
        <v>7</v>
      </c>
      <c r="D39" s="301" t="str">
        <f t="shared" si="3"/>
        <v>Wednesday</v>
      </c>
      <c r="E39" s="240"/>
      <c r="F39" s="240"/>
      <c r="G39" s="240"/>
      <c r="H39" s="241"/>
      <c r="I39" s="301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ht="14.25" customHeight="1">
      <c r="A40" s="302">
        <f t="shared" si="4"/>
        <v>46212</v>
      </c>
      <c r="B40" s="241">
        <f t="shared" si="1"/>
        <v>2026</v>
      </c>
      <c r="C40" s="241">
        <f t="shared" si="2"/>
        <v>7</v>
      </c>
      <c r="D40" s="301" t="str">
        <f t="shared" si="3"/>
        <v>Thursday</v>
      </c>
      <c r="E40" s="240"/>
      <c r="F40" s="240"/>
      <c r="G40" s="240"/>
      <c r="H40" s="241"/>
      <c r="I40" s="301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ht="14.25" customHeight="1">
      <c r="A41" s="302">
        <f t="shared" si="4"/>
        <v>46213</v>
      </c>
      <c r="B41" s="241">
        <f t="shared" si="1"/>
        <v>2026</v>
      </c>
      <c r="C41" s="241">
        <f t="shared" si="2"/>
        <v>7</v>
      </c>
      <c r="D41" s="301" t="str">
        <f t="shared" si="3"/>
        <v>Friday</v>
      </c>
      <c r="E41" s="240"/>
      <c r="F41" s="240"/>
      <c r="G41" s="240"/>
      <c r="H41" s="241"/>
      <c r="I41" s="301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ht="14.25" customHeight="1">
      <c r="A42" s="302">
        <f t="shared" si="4"/>
        <v>46214</v>
      </c>
      <c r="B42" s="241">
        <f t="shared" si="1"/>
        <v>2026</v>
      </c>
      <c r="C42" s="241">
        <f t="shared" si="2"/>
        <v>7</v>
      </c>
      <c r="D42" s="301" t="str">
        <f t="shared" si="3"/>
        <v>Saturday</v>
      </c>
      <c r="E42" s="240"/>
      <c r="F42" s="240"/>
      <c r="G42" s="240"/>
      <c r="H42" s="241"/>
      <c r="I42" s="301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ht="14.25" customHeight="1">
      <c r="A43" s="302">
        <f t="shared" si="4"/>
        <v>46215</v>
      </c>
      <c r="B43" s="241">
        <f t="shared" si="1"/>
        <v>2026</v>
      </c>
      <c r="C43" s="241">
        <f t="shared" si="2"/>
        <v>7</v>
      </c>
      <c r="D43" s="301" t="str">
        <f t="shared" si="3"/>
        <v>Sunday</v>
      </c>
      <c r="E43" s="240"/>
      <c r="F43" s="240"/>
      <c r="G43" s="240"/>
      <c r="H43" s="241"/>
      <c r="I43" s="301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ht="14.25" customHeight="1">
      <c r="A44" s="302">
        <f t="shared" si="4"/>
        <v>46216</v>
      </c>
      <c r="B44" s="241">
        <f t="shared" si="1"/>
        <v>2026</v>
      </c>
      <c r="C44" s="241">
        <f t="shared" si="2"/>
        <v>7</v>
      </c>
      <c r="D44" s="301" t="str">
        <f t="shared" si="3"/>
        <v>Monday</v>
      </c>
      <c r="E44" s="240"/>
      <c r="F44" s="240"/>
      <c r="G44" s="240"/>
      <c r="H44" s="241"/>
      <c r="I44" s="301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ht="14.25" customHeight="1">
      <c r="A45" s="302">
        <f t="shared" si="4"/>
        <v>46217</v>
      </c>
      <c r="B45" s="241">
        <f t="shared" si="1"/>
        <v>2026</v>
      </c>
      <c r="C45" s="241">
        <f t="shared" si="2"/>
        <v>7</v>
      </c>
      <c r="D45" s="301" t="str">
        <f t="shared" si="3"/>
        <v>Tuesday</v>
      </c>
      <c r="E45" s="240"/>
      <c r="F45" s="240"/>
      <c r="G45" s="240"/>
      <c r="H45" s="241"/>
      <c r="I45" s="301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ht="14.25" customHeight="1">
      <c r="A46" s="302">
        <f t="shared" si="4"/>
        <v>46218</v>
      </c>
      <c r="B46" s="241">
        <f t="shared" si="1"/>
        <v>2026</v>
      </c>
      <c r="C46" s="241">
        <f t="shared" si="2"/>
        <v>7</v>
      </c>
      <c r="D46" s="301" t="str">
        <f t="shared" si="3"/>
        <v>Wednesday</v>
      </c>
      <c r="E46" s="240"/>
      <c r="F46" s="240"/>
      <c r="G46" s="240"/>
      <c r="H46" s="241"/>
      <c r="I46" s="301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ht="14.25" customHeight="1">
      <c r="A47" s="302">
        <f t="shared" si="4"/>
        <v>46219</v>
      </c>
      <c r="B47" s="241">
        <f t="shared" si="1"/>
        <v>2026</v>
      </c>
      <c r="C47" s="241">
        <f t="shared" si="2"/>
        <v>7</v>
      </c>
      <c r="D47" s="301" t="str">
        <f t="shared" si="3"/>
        <v>Thursday</v>
      </c>
      <c r="E47" s="240"/>
      <c r="F47" s="240"/>
      <c r="G47" s="240"/>
      <c r="H47" s="241"/>
      <c r="I47" s="301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ht="14.25" customHeight="1">
      <c r="A48" s="302">
        <f t="shared" si="4"/>
        <v>46220</v>
      </c>
      <c r="B48" s="241">
        <f t="shared" si="1"/>
        <v>2026</v>
      </c>
      <c r="C48" s="241">
        <f t="shared" si="2"/>
        <v>7</v>
      </c>
      <c r="D48" s="301" t="str">
        <f t="shared" si="3"/>
        <v>Friday</v>
      </c>
      <c r="E48" s="240"/>
      <c r="F48" s="240"/>
      <c r="G48" s="240"/>
      <c r="H48" s="241"/>
      <c r="I48" s="301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ht="14.25" customHeight="1">
      <c r="A49" s="302">
        <f t="shared" si="4"/>
        <v>46221</v>
      </c>
      <c r="B49" s="241">
        <f t="shared" si="1"/>
        <v>2026</v>
      </c>
      <c r="C49" s="241">
        <f t="shared" si="2"/>
        <v>7</v>
      </c>
      <c r="D49" s="301" t="str">
        <f t="shared" si="3"/>
        <v>Saturday</v>
      </c>
      <c r="E49" s="240"/>
      <c r="F49" s="240"/>
      <c r="G49" s="240"/>
      <c r="H49" s="241"/>
      <c r="I49" s="301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ht="14.25" customHeight="1">
      <c r="A50" s="302">
        <f t="shared" si="4"/>
        <v>46222</v>
      </c>
      <c r="B50" s="241">
        <f t="shared" si="1"/>
        <v>2026</v>
      </c>
      <c r="C50" s="241">
        <f t="shared" si="2"/>
        <v>7</v>
      </c>
      <c r="D50" s="301" t="str">
        <f t="shared" si="3"/>
        <v>Sunday</v>
      </c>
      <c r="E50" s="240"/>
      <c r="F50" s="240"/>
      <c r="G50" s="240"/>
      <c r="H50" s="241"/>
      <c r="I50" s="301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ht="14.25" customHeight="1">
      <c r="A51" s="302">
        <f t="shared" si="4"/>
        <v>46223</v>
      </c>
      <c r="B51" s="241">
        <f t="shared" si="1"/>
        <v>2026</v>
      </c>
      <c r="C51" s="241">
        <f t="shared" si="2"/>
        <v>7</v>
      </c>
      <c r="D51" s="301" t="str">
        <f t="shared" si="3"/>
        <v>Monday</v>
      </c>
      <c r="E51" s="240"/>
      <c r="F51" s="240"/>
      <c r="G51" s="240"/>
      <c r="H51" s="241"/>
      <c r="I51" s="301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ht="14.25" customHeight="1">
      <c r="A52" s="302">
        <f t="shared" si="4"/>
        <v>46224</v>
      </c>
      <c r="B52" s="241">
        <f t="shared" si="1"/>
        <v>2026</v>
      </c>
      <c r="C52" s="241">
        <f t="shared" si="2"/>
        <v>7</v>
      </c>
      <c r="D52" s="301" t="str">
        <f t="shared" si="3"/>
        <v>Tuesday</v>
      </c>
      <c r="E52" s="240"/>
      <c r="F52" s="240"/>
      <c r="G52" s="240"/>
      <c r="H52" s="241"/>
      <c r="I52" s="301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ht="14.25" customHeight="1">
      <c r="A53" s="302">
        <f t="shared" si="4"/>
        <v>46225</v>
      </c>
      <c r="B53" s="241">
        <f t="shared" si="1"/>
        <v>2026</v>
      </c>
      <c r="C53" s="241">
        <f t="shared" si="2"/>
        <v>7</v>
      </c>
      <c r="D53" s="301" t="str">
        <f t="shared" si="3"/>
        <v>Wednesday</v>
      </c>
      <c r="E53" s="240"/>
      <c r="F53" s="240"/>
      <c r="G53" s="240"/>
      <c r="H53" s="241"/>
      <c r="I53" s="301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ht="14.25" customHeight="1">
      <c r="A54" s="302">
        <f t="shared" si="4"/>
        <v>46226</v>
      </c>
      <c r="B54" s="241">
        <f t="shared" si="1"/>
        <v>2026</v>
      </c>
      <c r="C54" s="241">
        <f t="shared" si="2"/>
        <v>7</v>
      </c>
      <c r="D54" s="301" t="str">
        <f t="shared" si="3"/>
        <v>Thursday</v>
      </c>
      <c r="E54" s="240"/>
      <c r="F54" s="240"/>
      <c r="G54" s="240"/>
      <c r="H54" s="241"/>
      <c r="I54" s="301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ht="14.25" customHeight="1">
      <c r="A55" s="302">
        <f t="shared" si="4"/>
        <v>46227</v>
      </c>
      <c r="B55" s="241">
        <f t="shared" si="1"/>
        <v>2026</v>
      </c>
      <c r="C55" s="241">
        <f t="shared" si="2"/>
        <v>7</v>
      </c>
      <c r="D55" s="301" t="str">
        <f t="shared" si="3"/>
        <v>Friday</v>
      </c>
      <c r="E55" s="240"/>
      <c r="F55" s="240"/>
      <c r="G55" s="240"/>
      <c r="H55" s="241"/>
      <c r="I55" s="301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ht="14.25" customHeight="1">
      <c r="A56" s="302">
        <f t="shared" si="4"/>
        <v>46228</v>
      </c>
      <c r="B56" s="241">
        <f t="shared" si="1"/>
        <v>2026</v>
      </c>
      <c r="C56" s="241">
        <f t="shared" si="2"/>
        <v>7</v>
      </c>
      <c r="D56" s="301" t="str">
        <f t="shared" si="3"/>
        <v>Saturday</v>
      </c>
      <c r="E56" s="240"/>
      <c r="F56" s="240"/>
      <c r="G56" s="240"/>
      <c r="H56" s="241"/>
      <c r="I56" s="301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ht="14.25" customHeight="1">
      <c r="A57" s="302">
        <f t="shared" si="4"/>
        <v>46229</v>
      </c>
      <c r="B57" s="241">
        <f t="shared" si="1"/>
        <v>2026</v>
      </c>
      <c r="C57" s="241">
        <f t="shared" si="2"/>
        <v>7</v>
      </c>
      <c r="D57" s="301" t="str">
        <f t="shared" si="3"/>
        <v>Sunday</v>
      </c>
      <c r="E57" s="240"/>
      <c r="F57" s="240"/>
      <c r="G57" s="240"/>
      <c r="H57" s="241"/>
      <c r="I57" s="301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ht="14.25" customHeight="1">
      <c r="A58" s="302">
        <f t="shared" si="4"/>
        <v>46230</v>
      </c>
      <c r="B58" s="241">
        <f t="shared" si="1"/>
        <v>2026</v>
      </c>
      <c r="C58" s="241">
        <f t="shared" si="2"/>
        <v>7</v>
      </c>
      <c r="D58" s="301" t="str">
        <f t="shared" si="3"/>
        <v>Monday</v>
      </c>
      <c r="E58" s="240"/>
      <c r="F58" s="240"/>
      <c r="G58" s="240"/>
      <c r="H58" s="241"/>
      <c r="I58" s="301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ht="14.25" customHeight="1">
      <c r="A59" s="302">
        <f t="shared" si="4"/>
        <v>46231</v>
      </c>
      <c r="B59" s="241">
        <f t="shared" si="1"/>
        <v>2026</v>
      </c>
      <c r="C59" s="241">
        <f t="shared" si="2"/>
        <v>7</v>
      </c>
      <c r="D59" s="301" t="str">
        <f t="shared" si="3"/>
        <v>Tuesday</v>
      </c>
      <c r="E59" s="240"/>
      <c r="F59" s="240"/>
      <c r="G59" s="240"/>
      <c r="H59" s="241"/>
      <c r="I59" s="301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ht="14.25" customHeight="1">
      <c r="A60" s="302">
        <f t="shared" si="4"/>
        <v>46232</v>
      </c>
      <c r="B60" s="241">
        <f t="shared" si="1"/>
        <v>2026</v>
      </c>
      <c r="C60" s="241">
        <f t="shared" si="2"/>
        <v>7</v>
      </c>
      <c r="D60" s="301" t="str">
        <f t="shared" si="3"/>
        <v>Wednesday</v>
      </c>
      <c r="E60" s="240"/>
      <c r="F60" s="240"/>
      <c r="G60" s="240"/>
      <c r="H60" s="241"/>
      <c r="I60" s="301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ht="14.25" customHeight="1">
      <c r="A61" s="302">
        <f t="shared" si="4"/>
        <v>46233</v>
      </c>
      <c r="B61" s="241">
        <f t="shared" si="1"/>
        <v>2026</v>
      </c>
      <c r="C61" s="241">
        <f t="shared" si="2"/>
        <v>7</v>
      </c>
      <c r="D61" s="301" t="str">
        <f t="shared" si="3"/>
        <v>Thursday</v>
      </c>
      <c r="E61" s="240"/>
      <c r="F61" s="240"/>
      <c r="G61" s="240"/>
      <c r="H61" s="241"/>
      <c r="I61" s="301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ht="14.25" customHeight="1">
      <c r="A62" s="302">
        <f t="shared" si="4"/>
        <v>46234</v>
      </c>
      <c r="B62" s="241">
        <f t="shared" si="1"/>
        <v>2026</v>
      </c>
      <c r="C62" s="241">
        <f t="shared" si="2"/>
        <v>7</v>
      </c>
      <c r="D62" s="301" t="str">
        <f t="shared" si="3"/>
        <v>Friday</v>
      </c>
      <c r="E62" s="240"/>
      <c r="F62" s="240"/>
      <c r="G62" s="240"/>
      <c r="H62" s="241"/>
      <c r="I62" s="301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ht="14.25" customHeight="1">
      <c r="A63" s="302">
        <f t="shared" si="4"/>
        <v>46235</v>
      </c>
      <c r="B63" s="241">
        <f t="shared" si="1"/>
        <v>2026</v>
      </c>
      <c r="C63" s="241">
        <f t="shared" si="2"/>
        <v>8</v>
      </c>
      <c r="D63" s="301" t="str">
        <f t="shared" si="3"/>
        <v>Saturday</v>
      </c>
      <c r="E63" s="240"/>
      <c r="F63" s="240"/>
      <c r="G63" s="240"/>
      <c r="H63" s="241"/>
      <c r="I63" s="301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ht="14.25" customHeight="1">
      <c r="A64" s="302">
        <f t="shared" si="4"/>
        <v>46236</v>
      </c>
      <c r="B64" s="241">
        <f t="shared" si="1"/>
        <v>2026</v>
      </c>
      <c r="C64" s="241">
        <f t="shared" si="2"/>
        <v>8</v>
      </c>
      <c r="D64" s="301" t="str">
        <f t="shared" si="3"/>
        <v>Sunday</v>
      </c>
      <c r="E64" s="240"/>
      <c r="F64" s="240"/>
      <c r="G64" s="240"/>
      <c r="H64" s="241"/>
      <c r="I64" s="301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ht="14.25" customHeight="1">
      <c r="A65" s="302">
        <f t="shared" si="4"/>
        <v>46237</v>
      </c>
      <c r="B65" s="241">
        <f t="shared" si="1"/>
        <v>2026</v>
      </c>
      <c r="C65" s="241">
        <f t="shared" si="2"/>
        <v>8</v>
      </c>
      <c r="D65" s="301" t="str">
        <f t="shared" si="3"/>
        <v>Monday</v>
      </c>
      <c r="E65" s="240"/>
      <c r="F65" s="240"/>
      <c r="G65" s="240"/>
      <c r="H65" s="241"/>
      <c r="I65" s="301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ht="14.25" customHeight="1">
      <c r="A66" s="302">
        <f t="shared" si="4"/>
        <v>46238</v>
      </c>
      <c r="B66" s="241">
        <f t="shared" si="1"/>
        <v>2026</v>
      </c>
      <c r="C66" s="241">
        <f t="shared" si="2"/>
        <v>8</v>
      </c>
      <c r="D66" s="301" t="str">
        <f t="shared" si="3"/>
        <v>Tuesday</v>
      </c>
      <c r="E66" s="240"/>
      <c r="F66" s="240"/>
      <c r="G66" s="240"/>
      <c r="H66" s="241"/>
      <c r="I66" s="301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ht="14.25" customHeight="1">
      <c r="A67" s="302">
        <f t="shared" si="4"/>
        <v>46239</v>
      </c>
      <c r="B67" s="241">
        <f t="shared" si="1"/>
        <v>2026</v>
      </c>
      <c r="C67" s="241">
        <f t="shared" si="2"/>
        <v>8</v>
      </c>
      <c r="D67" s="301" t="str">
        <f t="shared" si="3"/>
        <v>Wednesday</v>
      </c>
      <c r="E67" s="240"/>
      <c r="F67" s="240"/>
      <c r="G67" s="240"/>
      <c r="H67" s="241"/>
      <c r="I67" s="301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ht="14.25" customHeight="1">
      <c r="A68" s="302">
        <f t="shared" si="4"/>
        <v>46240</v>
      </c>
      <c r="B68" s="241">
        <f t="shared" si="1"/>
        <v>2026</v>
      </c>
      <c r="C68" s="241">
        <f t="shared" si="2"/>
        <v>8</v>
      </c>
      <c r="D68" s="301" t="str">
        <f t="shared" si="3"/>
        <v>Thursday</v>
      </c>
      <c r="E68" s="240"/>
      <c r="F68" s="240"/>
      <c r="G68" s="240"/>
      <c r="H68" s="241"/>
      <c r="I68" s="301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ht="14.25" customHeight="1">
      <c r="A69" s="302">
        <f t="shared" si="4"/>
        <v>46241</v>
      </c>
      <c r="B69" s="241">
        <f t="shared" si="1"/>
        <v>2026</v>
      </c>
      <c r="C69" s="241">
        <f t="shared" si="2"/>
        <v>8</v>
      </c>
      <c r="D69" s="301" t="str">
        <f t="shared" si="3"/>
        <v>Friday</v>
      </c>
      <c r="E69" s="240"/>
      <c r="F69" s="240"/>
      <c r="G69" s="240"/>
      <c r="H69" s="241"/>
      <c r="I69" s="301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ht="14.25" customHeight="1">
      <c r="A70" s="302">
        <f t="shared" si="4"/>
        <v>46242</v>
      </c>
      <c r="B70" s="241">
        <f t="shared" si="1"/>
        <v>2026</v>
      </c>
      <c r="C70" s="241">
        <f t="shared" si="2"/>
        <v>8</v>
      </c>
      <c r="D70" s="301" t="str">
        <f t="shared" si="3"/>
        <v>Saturday</v>
      </c>
      <c r="E70" s="240"/>
      <c r="F70" s="240"/>
      <c r="G70" s="240"/>
      <c r="H70" s="241"/>
      <c r="I70" s="301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ht="14.25" customHeight="1">
      <c r="A71" s="302">
        <f t="shared" si="4"/>
        <v>46243</v>
      </c>
      <c r="B71" s="241">
        <f t="shared" si="1"/>
        <v>2026</v>
      </c>
      <c r="C71" s="241">
        <f t="shared" si="2"/>
        <v>8</v>
      </c>
      <c r="D71" s="301" t="str">
        <f t="shared" si="3"/>
        <v>Sunday</v>
      </c>
      <c r="E71" s="240"/>
      <c r="F71" s="240"/>
      <c r="G71" s="240"/>
      <c r="H71" s="241"/>
      <c r="I71" s="301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</row>
    <row r="72" ht="14.25" customHeight="1">
      <c r="A72" s="302">
        <f t="shared" si="4"/>
        <v>46244</v>
      </c>
      <c r="B72" s="241">
        <f t="shared" si="1"/>
        <v>2026</v>
      </c>
      <c r="C72" s="241">
        <f t="shared" si="2"/>
        <v>8</v>
      </c>
      <c r="D72" s="301" t="str">
        <f t="shared" si="3"/>
        <v>Monday</v>
      </c>
      <c r="E72" s="240"/>
      <c r="F72" s="240"/>
      <c r="G72" s="240"/>
      <c r="H72" s="241"/>
      <c r="I72" s="301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ht="14.25" customHeight="1">
      <c r="A73" s="302">
        <f t="shared" si="4"/>
        <v>46245</v>
      </c>
      <c r="B73" s="241">
        <f t="shared" si="1"/>
        <v>2026</v>
      </c>
      <c r="C73" s="241">
        <f t="shared" si="2"/>
        <v>8</v>
      </c>
      <c r="D73" s="301" t="str">
        <f t="shared" si="3"/>
        <v>Tuesday</v>
      </c>
      <c r="E73" s="240"/>
      <c r="F73" s="240"/>
      <c r="G73" s="240"/>
      <c r="H73" s="241"/>
      <c r="I73" s="301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ht="14.25" customHeight="1">
      <c r="A74" s="302">
        <f t="shared" si="4"/>
        <v>46246</v>
      </c>
      <c r="B74" s="241">
        <f t="shared" si="1"/>
        <v>2026</v>
      </c>
      <c r="C74" s="241">
        <f t="shared" si="2"/>
        <v>8</v>
      </c>
      <c r="D74" s="301" t="str">
        <f t="shared" si="3"/>
        <v>Wednesday</v>
      </c>
      <c r="E74" s="240"/>
      <c r="F74" s="240"/>
      <c r="G74" s="240"/>
      <c r="H74" s="241"/>
      <c r="I74" s="301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ht="14.25" customHeight="1">
      <c r="A75" s="302">
        <f t="shared" si="4"/>
        <v>46247</v>
      </c>
      <c r="B75" s="241">
        <f t="shared" si="1"/>
        <v>2026</v>
      </c>
      <c r="C75" s="241">
        <f t="shared" si="2"/>
        <v>8</v>
      </c>
      <c r="D75" s="301" t="str">
        <f t="shared" si="3"/>
        <v>Thursday</v>
      </c>
      <c r="E75" s="240"/>
      <c r="F75" s="240"/>
      <c r="G75" s="240"/>
      <c r="H75" s="241"/>
      <c r="I75" s="301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ht="14.25" customHeight="1">
      <c r="A76" s="302">
        <f t="shared" si="4"/>
        <v>46248</v>
      </c>
      <c r="B76" s="241">
        <f t="shared" si="1"/>
        <v>2026</v>
      </c>
      <c r="C76" s="241">
        <f t="shared" si="2"/>
        <v>8</v>
      </c>
      <c r="D76" s="301" t="str">
        <f t="shared" si="3"/>
        <v>Friday</v>
      </c>
      <c r="E76" s="240"/>
      <c r="F76" s="240"/>
      <c r="G76" s="240"/>
      <c r="H76" s="241"/>
      <c r="I76" s="301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ht="14.25" customHeight="1">
      <c r="A77" s="302">
        <f t="shared" si="4"/>
        <v>46249</v>
      </c>
      <c r="B77" s="241">
        <f t="shared" si="1"/>
        <v>2026</v>
      </c>
      <c r="C77" s="241">
        <f t="shared" si="2"/>
        <v>8</v>
      </c>
      <c r="D77" s="301" t="str">
        <f t="shared" si="3"/>
        <v>Saturday</v>
      </c>
      <c r="E77" s="240"/>
      <c r="F77" s="240"/>
      <c r="G77" s="240"/>
      <c r="H77" s="241"/>
      <c r="I77" s="301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ht="14.25" customHeight="1">
      <c r="A78" s="302">
        <f t="shared" si="4"/>
        <v>46250</v>
      </c>
      <c r="B78" s="241">
        <f t="shared" si="1"/>
        <v>2026</v>
      </c>
      <c r="C78" s="241">
        <f t="shared" si="2"/>
        <v>8</v>
      </c>
      <c r="D78" s="301" t="str">
        <f t="shared" si="3"/>
        <v>Sunday</v>
      </c>
      <c r="E78" s="240"/>
      <c r="F78" s="240"/>
      <c r="G78" s="240"/>
      <c r="H78" s="241"/>
      <c r="I78" s="301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ht="14.25" customHeight="1">
      <c r="A79" s="302">
        <f t="shared" si="4"/>
        <v>46251</v>
      </c>
      <c r="B79" s="241">
        <f t="shared" si="1"/>
        <v>2026</v>
      </c>
      <c r="C79" s="241">
        <f t="shared" si="2"/>
        <v>8</v>
      </c>
      <c r="D79" s="301" t="str">
        <f t="shared" si="3"/>
        <v>Monday</v>
      </c>
      <c r="E79" s="240"/>
      <c r="F79" s="240"/>
      <c r="G79" s="240"/>
      <c r="H79" s="241"/>
      <c r="I79" s="301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ht="14.25" customHeight="1">
      <c r="A80" s="302">
        <f t="shared" si="4"/>
        <v>46252</v>
      </c>
      <c r="B80" s="241">
        <f t="shared" si="1"/>
        <v>2026</v>
      </c>
      <c r="C80" s="241">
        <f t="shared" si="2"/>
        <v>8</v>
      </c>
      <c r="D80" s="301" t="str">
        <f t="shared" si="3"/>
        <v>Tuesday</v>
      </c>
      <c r="E80" s="240"/>
      <c r="F80" s="240"/>
      <c r="G80" s="240"/>
      <c r="H80" s="241"/>
      <c r="I80" s="301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ht="14.25" customHeight="1">
      <c r="A81" s="302">
        <f t="shared" si="4"/>
        <v>46253</v>
      </c>
      <c r="B81" s="241">
        <f t="shared" si="1"/>
        <v>2026</v>
      </c>
      <c r="C81" s="241">
        <f t="shared" si="2"/>
        <v>8</v>
      </c>
      <c r="D81" s="301" t="str">
        <f t="shared" si="3"/>
        <v>Wednesday</v>
      </c>
      <c r="E81" s="240"/>
      <c r="F81" s="240"/>
      <c r="G81" s="240"/>
      <c r="H81" s="241"/>
      <c r="I81" s="301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ht="14.25" customHeight="1">
      <c r="A82" s="302">
        <f t="shared" si="4"/>
        <v>46254</v>
      </c>
      <c r="B82" s="241">
        <f t="shared" si="1"/>
        <v>2026</v>
      </c>
      <c r="C82" s="241">
        <f t="shared" si="2"/>
        <v>8</v>
      </c>
      <c r="D82" s="301" t="str">
        <f t="shared" si="3"/>
        <v>Thursday</v>
      </c>
      <c r="E82" s="240"/>
      <c r="F82" s="240"/>
      <c r="G82" s="240"/>
      <c r="H82" s="241"/>
      <c r="I82" s="301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ht="14.25" customHeight="1">
      <c r="A83" s="302">
        <f t="shared" si="4"/>
        <v>46255</v>
      </c>
      <c r="B83" s="241">
        <f t="shared" si="1"/>
        <v>2026</v>
      </c>
      <c r="C83" s="241">
        <f t="shared" si="2"/>
        <v>8</v>
      </c>
      <c r="D83" s="301" t="str">
        <f t="shared" si="3"/>
        <v>Friday</v>
      </c>
      <c r="E83" s="240"/>
      <c r="F83" s="240"/>
      <c r="G83" s="240"/>
      <c r="H83" s="241"/>
      <c r="I83" s="301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ht="14.25" customHeight="1">
      <c r="A84" s="302">
        <f t="shared" si="4"/>
        <v>46256</v>
      </c>
      <c r="B84" s="241">
        <f t="shared" si="1"/>
        <v>2026</v>
      </c>
      <c r="C84" s="241">
        <f t="shared" si="2"/>
        <v>8</v>
      </c>
      <c r="D84" s="301" t="str">
        <f t="shared" si="3"/>
        <v>Saturday</v>
      </c>
      <c r="E84" s="240"/>
      <c r="F84" s="240"/>
      <c r="G84" s="240"/>
      <c r="H84" s="241"/>
      <c r="I84" s="301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ht="14.25" customHeight="1">
      <c r="A85" s="302">
        <f t="shared" si="4"/>
        <v>46257</v>
      </c>
      <c r="B85" s="241">
        <f t="shared" si="1"/>
        <v>2026</v>
      </c>
      <c r="C85" s="241">
        <f t="shared" si="2"/>
        <v>8</v>
      </c>
      <c r="D85" s="301" t="str">
        <f t="shared" si="3"/>
        <v>Sunday</v>
      </c>
      <c r="E85" s="240"/>
      <c r="F85" s="240"/>
      <c r="G85" s="240"/>
      <c r="H85" s="241"/>
      <c r="I85" s="301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ht="14.25" customHeight="1">
      <c r="A86" s="302">
        <f t="shared" si="4"/>
        <v>46258</v>
      </c>
      <c r="B86" s="241">
        <f t="shared" si="1"/>
        <v>2026</v>
      </c>
      <c r="C86" s="241">
        <f t="shared" si="2"/>
        <v>8</v>
      </c>
      <c r="D86" s="301" t="str">
        <f t="shared" si="3"/>
        <v>Monday</v>
      </c>
      <c r="E86" s="240"/>
      <c r="F86" s="240"/>
      <c r="G86" s="240"/>
      <c r="H86" s="241"/>
      <c r="I86" s="301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ht="14.25" customHeight="1">
      <c r="A87" s="302">
        <f t="shared" si="4"/>
        <v>46259</v>
      </c>
      <c r="B87" s="241">
        <f t="shared" si="1"/>
        <v>2026</v>
      </c>
      <c r="C87" s="241">
        <f t="shared" si="2"/>
        <v>8</v>
      </c>
      <c r="D87" s="301" t="str">
        <f t="shared" si="3"/>
        <v>Tuesday</v>
      </c>
      <c r="E87" s="240"/>
      <c r="F87" s="240"/>
      <c r="G87" s="240"/>
      <c r="H87" s="241"/>
      <c r="I87" s="301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ht="14.25" customHeight="1">
      <c r="A88" s="302">
        <f t="shared" si="4"/>
        <v>46260</v>
      </c>
      <c r="B88" s="241">
        <f t="shared" si="1"/>
        <v>2026</v>
      </c>
      <c r="C88" s="241">
        <f t="shared" si="2"/>
        <v>8</v>
      </c>
      <c r="D88" s="301" t="str">
        <f t="shared" si="3"/>
        <v>Wednesday</v>
      </c>
      <c r="E88" s="240"/>
      <c r="F88" s="240"/>
      <c r="G88" s="240"/>
      <c r="H88" s="241"/>
      <c r="I88" s="301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ht="14.25" customHeight="1">
      <c r="A89" s="302">
        <f t="shared" si="4"/>
        <v>46261</v>
      </c>
      <c r="B89" s="241">
        <f t="shared" si="1"/>
        <v>2026</v>
      </c>
      <c r="C89" s="241">
        <f t="shared" si="2"/>
        <v>8</v>
      </c>
      <c r="D89" s="301" t="str">
        <f t="shared" si="3"/>
        <v>Thursday</v>
      </c>
      <c r="E89" s="240"/>
      <c r="F89" s="240"/>
      <c r="G89" s="240"/>
      <c r="H89" s="241"/>
      <c r="I89" s="301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ht="14.25" customHeight="1">
      <c r="A90" s="302">
        <f t="shared" si="4"/>
        <v>46262</v>
      </c>
      <c r="B90" s="241">
        <f t="shared" si="1"/>
        <v>2026</v>
      </c>
      <c r="C90" s="241">
        <f t="shared" si="2"/>
        <v>8</v>
      </c>
      <c r="D90" s="301" t="str">
        <f t="shared" si="3"/>
        <v>Friday</v>
      </c>
      <c r="E90" s="240"/>
      <c r="F90" s="240"/>
      <c r="G90" s="240"/>
      <c r="H90" s="241"/>
      <c r="I90" s="301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ht="14.25" customHeight="1">
      <c r="A91" s="302">
        <f t="shared" si="4"/>
        <v>46263</v>
      </c>
      <c r="B91" s="241">
        <f t="shared" si="1"/>
        <v>2026</v>
      </c>
      <c r="C91" s="241">
        <f t="shared" si="2"/>
        <v>8</v>
      </c>
      <c r="D91" s="301" t="str">
        <f t="shared" si="3"/>
        <v>Saturday</v>
      </c>
      <c r="E91" s="240"/>
      <c r="F91" s="240"/>
      <c r="G91" s="240"/>
      <c r="H91" s="241"/>
      <c r="I91" s="301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ht="14.25" customHeight="1">
      <c r="A92" s="302">
        <f t="shared" si="4"/>
        <v>46264</v>
      </c>
      <c r="B92" s="241">
        <f t="shared" si="1"/>
        <v>2026</v>
      </c>
      <c r="C92" s="241">
        <f t="shared" si="2"/>
        <v>8</v>
      </c>
      <c r="D92" s="301" t="str">
        <f t="shared" si="3"/>
        <v>Sunday</v>
      </c>
      <c r="E92" s="240"/>
      <c r="F92" s="240"/>
      <c r="G92" s="240"/>
      <c r="H92" s="241"/>
      <c r="I92" s="301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ht="14.25" customHeight="1">
      <c r="A93" s="302">
        <f t="shared" si="4"/>
        <v>46265</v>
      </c>
      <c r="B93" s="241">
        <f t="shared" si="1"/>
        <v>2026</v>
      </c>
      <c r="C93" s="241">
        <f t="shared" si="2"/>
        <v>8</v>
      </c>
      <c r="D93" s="301" t="str">
        <f t="shared" si="3"/>
        <v>Monday</v>
      </c>
      <c r="E93" s="240"/>
      <c r="F93" s="240"/>
      <c r="G93" s="240"/>
      <c r="H93" s="241"/>
      <c r="I93" s="301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ht="14.25" customHeight="1">
      <c r="A94" s="302">
        <f t="shared" si="4"/>
        <v>46266</v>
      </c>
      <c r="B94" s="241">
        <f t="shared" si="1"/>
        <v>2026</v>
      </c>
      <c r="C94" s="241">
        <f t="shared" si="2"/>
        <v>9</v>
      </c>
      <c r="D94" s="301" t="str">
        <f t="shared" si="3"/>
        <v>Tuesday</v>
      </c>
      <c r="E94" s="240"/>
      <c r="F94" s="240"/>
      <c r="G94" s="240"/>
      <c r="H94" s="241"/>
      <c r="I94" s="301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ht="14.25" customHeight="1">
      <c r="A95" s="302">
        <f t="shared" si="4"/>
        <v>46267</v>
      </c>
      <c r="B95" s="241">
        <f t="shared" si="1"/>
        <v>2026</v>
      </c>
      <c r="C95" s="241">
        <f t="shared" si="2"/>
        <v>9</v>
      </c>
      <c r="D95" s="301" t="str">
        <f t="shared" si="3"/>
        <v>Wednesday</v>
      </c>
      <c r="E95" s="240"/>
      <c r="F95" s="240"/>
      <c r="G95" s="240"/>
      <c r="H95" s="241"/>
      <c r="I95" s="301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ht="14.25" customHeight="1">
      <c r="A96" s="302">
        <f t="shared" si="4"/>
        <v>46268</v>
      </c>
      <c r="B96" s="241">
        <f t="shared" si="1"/>
        <v>2026</v>
      </c>
      <c r="C96" s="241">
        <f t="shared" si="2"/>
        <v>9</v>
      </c>
      <c r="D96" s="301" t="str">
        <f t="shared" si="3"/>
        <v>Thursday</v>
      </c>
      <c r="E96" s="240"/>
      <c r="F96" s="240"/>
      <c r="G96" s="240"/>
      <c r="H96" s="241"/>
      <c r="I96" s="301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ht="14.25" customHeight="1">
      <c r="A97" s="302">
        <f t="shared" si="4"/>
        <v>46269</v>
      </c>
      <c r="B97" s="241">
        <f t="shared" si="1"/>
        <v>2026</v>
      </c>
      <c r="C97" s="241">
        <f t="shared" si="2"/>
        <v>9</v>
      </c>
      <c r="D97" s="301" t="str">
        <f t="shared" si="3"/>
        <v>Friday</v>
      </c>
      <c r="E97" s="240"/>
      <c r="F97" s="240"/>
      <c r="G97" s="240"/>
      <c r="H97" s="241"/>
      <c r="I97" s="301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ht="14.25" customHeight="1">
      <c r="A98" s="302">
        <f t="shared" si="4"/>
        <v>46270</v>
      </c>
      <c r="B98" s="241">
        <f t="shared" si="1"/>
        <v>2026</v>
      </c>
      <c r="C98" s="241">
        <f t="shared" si="2"/>
        <v>9</v>
      </c>
      <c r="D98" s="301" t="str">
        <f t="shared" si="3"/>
        <v>Saturday</v>
      </c>
      <c r="E98" s="240"/>
      <c r="F98" s="240"/>
      <c r="G98" s="240"/>
      <c r="H98" s="241"/>
      <c r="I98" s="301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ht="14.25" customHeight="1">
      <c r="A99" s="302">
        <f t="shared" si="4"/>
        <v>46271</v>
      </c>
      <c r="B99" s="241">
        <f t="shared" si="1"/>
        <v>2026</v>
      </c>
      <c r="C99" s="241">
        <f t="shared" si="2"/>
        <v>9</v>
      </c>
      <c r="D99" s="301" t="str">
        <f t="shared" si="3"/>
        <v>Sunday</v>
      </c>
      <c r="E99" s="240"/>
      <c r="F99" s="240"/>
      <c r="G99" s="240"/>
      <c r="H99" s="241"/>
      <c r="I99" s="301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ht="14.25" customHeight="1">
      <c r="A100" s="302">
        <f t="shared" si="4"/>
        <v>46272</v>
      </c>
      <c r="B100" s="241">
        <f t="shared" si="1"/>
        <v>2026</v>
      </c>
      <c r="C100" s="241">
        <f t="shared" si="2"/>
        <v>9</v>
      </c>
      <c r="D100" s="301" t="str">
        <f t="shared" si="3"/>
        <v>Monday</v>
      </c>
      <c r="E100" s="240"/>
      <c r="F100" s="240"/>
      <c r="G100" s="240"/>
      <c r="H100" s="241"/>
      <c r="I100" s="301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ht="14.25" customHeight="1">
      <c r="A101" s="302">
        <f t="shared" si="4"/>
        <v>46273</v>
      </c>
      <c r="B101" s="241">
        <f t="shared" si="1"/>
        <v>2026</v>
      </c>
      <c r="C101" s="241">
        <f t="shared" si="2"/>
        <v>9</v>
      </c>
      <c r="D101" s="301" t="str">
        <f t="shared" si="3"/>
        <v>Tuesday</v>
      </c>
      <c r="E101" s="240"/>
      <c r="F101" s="240"/>
      <c r="G101" s="240"/>
      <c r="H101" s="241"/>
      <c r="I101" s="301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ht="14.25" customHeight="1">
      <c r="A102" s="302">
        <f t="shared" si="4"/>
        <v>46274</v>
      </c>
      <c r="B102" s="241">
        <f t="shared" si="1"/>
        <v>2026</v>
      </c>
      <c r="C102" s="241">
        <f t="shared" si="2"/>
        <v>9</v>
      </c>
      <c r="D102" s="301" t="str">
        <f t="shared" si="3"/>
        <v>Wednesday</v>
      </c>
      <c r="E102" s="240"/>
      <c r="F102" s="240"/>
      <c r="G102" s="240"/>
      <c r="H102" s="241"/>
      <c r="I102" s="301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ht="14.25" customHeight="1">
      <c r="A103" s="302">
        <f t="shared" si="4"/>
        <v>46275</v>
      </c>
      <c r="B103" s="241">
        <f t="shared" si="1"/>
        <v>2026</v>
      </c>
      <c r="C103" s="241">
        <f t="shared" si="2"/>
        <v>9</v>
      </c>
      <c r="D103" s="301" t="str">
        <f t="shared" si="3"/>
        <v>Thursday</v>
      </c>
      <c r="E103" s="240"/>
      <c r="F103" s="240"/>
      <c r="G103" s="240"/>
      <c r="H103" s="241"/>
      <c r="I103" s="301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ht="14.25" customHeight="1">
      <c r="A104" s="302">
        <f t="shared" si="4"/>
        <v>46276</v>
      </c>
      <c r="B104" s="241">
        <f t="shared" si="1"/>
        <v>2026</v>
      </c>
      <c r="C104" s="241">
        <f t="shared" si="2"/>
        <v>9</v>
      </c>
      <c r="D104" s="301" t="str">
        <f t="shared" si="3"/>
        <v>Friday</v>
      </c>
      <c r="E104" s="240"/>
      <c r="F104" s="240"/>
      <c r="G104" s="240"/>
      <c r="H104" s="241"/>
      <c r="I104" s="301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ht="14.25" customHeight="1">
      <c r="A105" s="302">
        <f t="shared" si="4"/>
        <v>46277</v>
      </c>
      <c r="B105" s="241">
        <f t="shared" si="1"/>
        <v>2026</v>
      </c>
      <c r="C105" s="241">
        <f t="shared" si="2"/>
        <v>9</v>
      </c>
      <c r="D105" s="301" t="str">
        <f t="shared" si="3"/>
        <v>Saturday</v>
      </c>
      <c r="E105" s="240"/>
      <c r="F105" s="240"/>
      <c r="G105" s="240"/>
      <c r="H105" s="241"/>
      <c r="I105" s="301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ht="14.25" customHeight="1">
      <c r="A106" s="302">
        <f t="shared" si="4"/>
        <v>46278</v>
      </c>
      <c r="B106" s="241">
        <f t="shared" si="1"/>
        <v>2026</v>
      </c>
      <c r="C106" s="241">
        <f t="shared" si="2"/>
        <v>9</v>
      </c>
      <c r="D106" s="301" t="str">
        <f t="shared" si="3"/>
        <v>Sunday</v>
      </c>
      <c r="E106" s="240"/>
      <c r="F106" s="240"/>
      <c r="G106" s="240"/>
      <c r="H106" s="241"/>
      <c r="I106" s="301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ht="14.25" customHeight="1">
      <c r="A107" s="302">
        <f t="shared" si="4"/>
        <v>46279</v>
      </c>
      <c r="B107" s="241">
        <f t="shared" si="1"/>
        <v>2026</v>
      </c>
      <c r="C107" s="241">
        <f t="shared" si="2"/>
        <v>9</v>
      </c>
      <c r="D107" s="301" t="str">
        <f t="shared" si="3"/>
        <v>Monday</v>
      </c>
      <c r="E107" s="240"/>
      <c r="F107" s="240"/>
      <c r="G107" s="240"/>
      <c r="H107" s="241"/>
      <c r="I107" s="301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ht="14.25" customHeight="1">
      <c r="A108" s="302">
        <f t="shared" si="4"/>
        <v>46280</v>
      </c>
      <c r="B108" s="241">
        <f t="shared" si="1"/>
        <v>2026</v>
      </c>
      <c r="C108" s="241">
        <f t="shared" si="2"/>
        <v>9</v>
      </c>
      <c r="D108" s="301" t="str">
        <f t="shared" si="3"/>
        <v>Tuesday</v>
      </c>
      <c r="E108" s="240"/>
      <c r="F108" s="240"/>
      <c r="G108" s="240"/>
      <c r="H108" s="241"/>
      <c r="I108" s="301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ht="14.25" customHeight="1">
      <c r="A109" s="302">
        <f t="shared" si="4"/>
        <v>46281</v>
      </c>
      <c r="B109" s="241">
        <f t="shared" si="1"/>
        <v>2026</v>
      </c>
      <c r="C109" s="241">
        <f t="shared" si="2"/>
        <v>9</v>
      </c>
      <c r="D109" s="301" t="str">
        <f t="shared" si="3"/>
        <v>Wednesday</v>
      </c>
      <c r="E109" s="240"/>
      <c r="F109" s="240"/>
      <c r="G109" s="240"/>
      <c r="H109" s="241"/>
      <c r="I109" s="301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ht="14.25" customHeight="1">
      <c r="A110" s="302">
        <f t="shared" si="4"/>
        <v>46282</v>
      </c>
      <c r="B110" s="241">
        <f t="shared" si="1"/>
        <v>2026</v>
      </c>
      <c r="C110" s="241">
        <f t="shared" si="2"/>
        <v>9</v>
      </c>
      <c r="D110" s="301" t="str">
        <f t="shared" si="3"/>
        <v>Thursday</v>
      </c>
      <c r="E110" s="240"/>
      <c r="F110" s="240"/>
      <c r="G110" s="240"/>
      <c r="H110" s="241"/>
      <c r="I110" s="301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ht="14.25" customHeight="1">
      <c r="A111" s="302">
        <f t="shared" si="4"/>
        <v>46283</v>
      </c>
      <c r="B111" s="241">
        <f t="shared" si="1"/>
        <v>2026</v>
      </c>
      <c r="C111" s="241">
        <f t="shared" si="2"/>
        <v>9</v>
      </c>
      <c r="D111" s="301" t="str">
        <f t="shared" si="3"/>
        <v>Friday</v>
      </c>
      <c r="E111" s="240"/>
      <c r="F111" s="240"/>
      <c r="G111" s="240"/>
      <c r="H111" s="241"/>
      <c r="I111" s="301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ht="14.25" customHeight="1">
      <c r="A112" s="302">
        <f t="shared" si="4"/>
        <v>46284</v>
      </c>
      <c r="B112" s="241">
        <f t="shared" si="1"/>
        <v>2026</v>
      </c>
      <c r="C112" s="241">
        <f t="shared" si="2"/>
        <v>9</v>
      </c>
      <c r="D112" s="301" t="str">
        <f t="shared" si="3"/>
        <v>Saturday</v>
      </c>
      <c r="E112" s="240"/>
      <c r="F112" s="240"/>
      <c r="G112" s="240"/>
      <c r="H112" s="241"/>
      <c r="I112" s="301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ht="14.25" customHeight="1">
      <c r="A113" s="302">
        <f t="shared" si="4"/>
        <v>46285</v>
      </c>
      <c r="B113" s="241">
        <f t="shared" si="1"/>
        <v>2026</v>
      </c>
      <c r="C113" s="241">
        <f t="shared" si="2"/>
        <v>9</v>
      </c>
      <c r="D113" s="301" t="str">
        <f t="shared" si="3"/>
        <v>Sunday</v>
      </c>
      <c r="E113" s="240"/>
      <c r="F113" s="240"/>
      <c r="G113" s="240"/>
      <c r="H113" s="241"/>
      <c r="I113" s="301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ht="14.25" customHeight="1">
      <c r="A114" s="302">
        <f t="shared" si="4"/>
        <v>46286</v>
      </c>
      <c r="B114" s="241">
        <f t="shared" si="1"/>
        <v>2026</v>
      </c>
      <c r="C114" s="241">
        <f t="shared" si="2"/>
        <v>9</v>
      </c>
      <c r="D114" s="301" t="str">
        <f t="shared" si="3"/>
        <v>Monday</v>
      </c>
      <c r="E114" s="240"/>
      <c r="F114" s="240"/>
      <c r="G114" s="240"/>
      <c r="H114" s="241"/>
      <c r="I114" s="301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ht="14.25" customHeight="1">
      <c r="A115" s="302">
        <f t="shared" si="4"/>
        <v>46287</v>
      </c>
      <c r="B115" s="241">
        <f t="shared" si="1"/>
        <v>2026</v>
      </c>
      <c r="C115" s="241">
        <f t="shared" si="2"/>
        <v>9</v>
      </c>
      <c r="D115" s="301" t="str">
        <f t="shared" si="3"/>
        <v>Tuesday</v>
      </c>
      <c r="E115" s="240"/>
      <c r="F115" s="240"/>
      <c r="G115" s="240"/>
      <c r="H115" s="241"/>
      <c r="I115" s="301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ht="14.25" customHeight="1">
      <c r="A116" s="302">
        <f t="shared" si="4"/>
        <v>46288</v>
      </c>
      <c r="B116" s="241">
        <f t="shared" si="1"/>
        <v>2026</v>
      </c>
      <c r="C116" s="241">
        <f t="shared" si="2"/>
        <v>9</v>
      </c>
      <c r="D116" s="301" t="str">
        <f t="shared" si="3"/>
        <v>Wednesday</v>
      </c>
      <c r="E116" s="240"/>
      <c r="F116" s="240"/>
      <c r="G116" s="240"/>
      <c r="H116" s="241"/>
      <c r="I116" s="301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ht="14.25" customHeight="1">
      <c r="A117" s="302">
        <f t="shared" si="4"/>
        <v>46289</v>
      </c>
      <c r="B117" s="241">
        <f t="shared" si="1"/>
        <v>2026</v>
      </c>
      <c r="C117" s="241">
        <f t="shared" si="2"/>
        <v>9</v>
      </c>
      <c r="D117" s="301" t="str">
        <f t="shared" si="3"/>
        <v>Thursday</v>
      </c>
      <c r="E117" s="240"/>
      <c r="F117" s="240"/>
      <c r="G117" s="240"/>
      <c r="H117" s="241"/>
      <c r="I117" s="301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ht="14.25" customHeight="1">
      <c r="A118" s="302">
        <f t="shared" si="4"/>
        <v>46290</v>
      </c>
      <c r="B118" s="241">
        <f t="shared" si="1"/>
        <v>2026</v>
      </c>
      <c r="C118" s="241">
        <f t="shared" si="2"/>
        <v>9</v>
      </c>
      <c r="D118" s="301" t="str">
        <f t="shared" si="3"/>
        <v>Friday</v>
      </c>
      <c r="E118" s="240"/>
      <c r="F118" s="240"/>
      <c r="G118" s="240"/>
      <c r="H118" s="241"/>
      <c r="I118" s="301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ht="14.25" customHeight="1">
      <c r="A119" s="302">
        <f t="shared" si="4"/>
        <v>46291</v>
      </c>
      <c r="B119" s="241">
        <f t="shared" si="1"/>
        <v>2026</v>
      </c>
      <c r="C119" s="241">
        <f t="shared" si="2"/>
        <v>9</v>
      </c>
      <c r="D119" s="301" t="str">
        <f t="shared" si="3"/>
        <v>Saturday</v>
      </c>
      <c r="E119" s="240"/>
      <c r="F119" s="240"/>
      <c r="G119" s="240"/>
      <c r="H119" s="241"/>
      <c r="I119" s="301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ht="14.25" customHeight="1">
      <c r="A120" s="302">
        <f t="shared" si="4"/>
        <v>46292</v>
      </c>
      <c r="B120" s="241">
        <f t="shared" si="1"/>
        <v>2026</v>
      </c>
      <c r="C120" s="241">
        <f t="shared" si="2"/>
        <v>9</v>
      </c>
      <c r="D120" s="301" t="str">
        <f t="shared" si="3"/>
        <v>Sunday</v>
      </c>
      <c r="E120" s="240"/>
      <c r="F120" s="240"/>
      <c r="G120" s="240"/>
      <c r="H120" s="241"/>
      <c r="I120" s="301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ht="14.25" customHeight="1">
      <c r="A121" s="302">
        <f t="shared" si="4"/>
        <v>46293</v>
      </c>
      <c r="B121" s="241">
        <f t="shared" si="1"/>
        <v>2026</v>
      </c>
      <c r="C121" s="241">
        <f t="shared" si="2"/>
        <v>9</v>
      </c>
      <c r="D121" s="301" t="str">
        <f t="shared" si="3"/>
        <v>Monday</v>
      </c>
      <c r="E121" s="240"/>
      <c r="F121" s="240"/>
      <c r="G121" s="240"/>
      <c r="H121" s="241"/>
      <c r="I121" s="301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ht="14.25" customHeight="1">
      <c r="A122" s="302">
        <f t="shared" si="4"/>
        <v>46294</v>
      </c>
      <c r="B122" s="241">
        <f t="shared" si="1"/>
        <v>2026</v>
      </c>
      <c r="C122" s="241">
        <f t="shared" si="2"/>
        <v>9</v>
      </c>
      <c r="D122" s="301" t="str">
        <f t="shared" si="3"/>
        <v>Tuesday</v>
      </c>
      <c r="E122" s="240"/>
      <c r="F122" s="240"/>
      <c r="G122" s="240"/>
      <c r="H122" s="241"/>
      <c r="I122" s="301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</row>
    <row r="123" ht="14.25" customHeight="1">
      <c r="A123" s="302">
        <f t="shared" si="4"/>
        <v>46295</v>
      </c>
      <c r="B123" s="241">
        <f t="shared" si="1"/>
        <v>2026</v>
      </c>
      <c r="C123" s="241">
        <f t="shared" si="2"/>
        <v>9</v>
      </c>
      <c r="D123" s="301" t="str">
        <f t="shared" si="3"/>
        <v>Wednesday</v>
      </c>
      <c r="E123" s="240"/>
      <c r="F123" s="240"/>
      <c r="G123" s="240"/>
      <c r="H123" s="241"/>
      <c r="I123" s="301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</row>
    <row r="124" ht="14.25" customHeight="1">
      <c r="A124" s="302">
        <f t="shared" si="4"/>
        <v>46296</v>
      </c>
      <c r="B124" s="241">
        <f t="shared" si="1"/>
        <v>2026</v>
      </c>
      <c r="C124" s="241">
        <f t="shared" si="2"/>
        <v>10</v>
      </c>
      <c r="D124" s="301" t="str">
        <f t="shared" si="3"/>
        <v>Thursday</v>
      </c>
      <c r="E124" s="240"/>
      <c r="F124" s="240"/>
      <c r="G124" s="240"/>
      <c r="H124" s="241"/>
      <c r="I124" s="301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</row>
    <row r="125" ht="14.25" customHeight="1">
      <c r="A125" s="302">
        <f t="shared" si="4"/>
        <v>46297</v>
      </c>
      <c r="B125" s="241">
        <f t="shared" si="1"/>
        <v>2026</v>
      </c>
      <c r="C125" s="241">
        <f t="shared" si="2"/>
        <v>10</v>
      </c>
      <c r="D125" s="301" t="str">
        <f t="shared" si="3"/>
        <v>Friday</v>
      </c>
      <c r="E125" s="240"/>
      <c r="F125" s="240"/>
      <c r="G125" s="240"/>
      <c r="H125" s="241"/>
      <c r="I125" s="301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</row>
    <row r="126" ht="14.25" customHeight="1">
      <c r="A126" s="302">
        <f t="shared" si="4"/>
        <v>46298</v>
      </c>
      <c r="B126" s="241">
        <f t="shared" si="1"/>
        <v>2026</v>
      </c>
      <c r="C126" s="241">
        <f t="shared" si="2"/>
        <v>10</v>
      </c>
      <c r="D126" s="301" t="str">
        <f t="shared" si="3"/>
        <v>Saturday</v>
      </c>
      <c r="E126" s="240"/>
      <c r="F126" s="240"/>
      <c r="G126" s="240"/>
      <c r="H126" s="241"/>
      <c r="I126" s="301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</row>
    <row r="127" ht="14.25" customHeight="1">
      <c r="A127" s="302">
        <f t="shared" si="4"/>
        <v>46299</v>
      </c>
      <c r="B127" s="241">
        <f t="shared" si="1"/>
        <v>2026</v>
      </c>
      <c r="C127" s="241">
        <f t="shared" si="2"/>
        <v>10</v>
      </c>
      <c r="D127" s="301" t="str">
        <f t="shared" si="3"/>
        <v>Sunday</v>
      </c>
      <c r="E127" s="240"/>
      <c r="F127" s="240"/>
      <c r="G127" s="240"/>
      <c r="H127" s="241"/>
      <c r="I127" s="301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 ht="14.25" customHeight="1">
      <c r="A128" s="302">
        <f t="shared" si="4"/>
        <v>46300</v>
      </c>
      <c r="B128" s="241">
        <f t="shared" si="1"/>
        <v>2026</v>
      </c>
      <c r="C128" s="241">
        <f t="shared" si="2"/>
        <v>10</v>
      </c>
      <c r="D128" s="301" t="str">
        <f t="shared" si="3"/>
        <v>Monday</v>
      </c>
      <c r="E128" s="240"/>
      <c r="F128" s="240"/>
      <c r="G128" s="240"/>
      <c r="H128" s="241"/>
      <c r="I128" s="301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</row>
    <row r="129" ht="14.25" customHeight="1">
      <c r="A129" s="302">
        <f t="shared" si="4"/>
        <v>46301</v>
      </c>
      <c r="B129" s="241">
        <f t="shared" si="1"/>
        <v>2026</v>
      </c>
      <c r="C129" s="241">
        <f t="shared" si="2"/>
        <v>10</v>
      </c>
      <c r="D129" s="301" t="str">
        <f t="shared" si="3"/>
        <v>Tuesday</v>
      </c>
      <c r="E129" s="240"/>
      <c r="F129" s="240"/>
      <c r="G129" s="240"/>
      <c r="H129" s="241"/>
      <c r="I129" s="301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</row>
    <row r="130" ht="14.25" customHeight="1">
      <c r="A130" s="302">
        <f t="shared" si="4"/>
        <v>46302</v>
      </c>
      <c r="B130" s="241">
        <f t="shared" si="1"/>
        <v>2026</v>
      </c>
      <c r="C130" s="241">
        <f t="shared" si="2"/>
        <v>10</v>
      </c>
      <c r="D130" s="301" t="str">
        <f t="shared" si="3"/>
        <v>Wednesday</v>
      </c>
      <c r="E130" s="240"/>
      <c r="F130" s="240"/>
      <c r="G130" s="240"/>
      <c r="H130" s="241"/>
      <c r="I130" s="301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</row>
    <row r="131" ht="14.25" customHeight="1">
      <c r="A131" s="302">
        <f t="shared" si="4"/>
        <v>46303</v>
      </c>
      <c r="B131" s="241">
        <f t="shared" si="1"/>
        <v>2026</v>
      </c>
      <c r="C131" s="241">
        <f t="shared" si="2"/>
        <v>10</v>
      </c>
      <c r="D131" s="301" t="str">
        <f t="shared" si="3"/>
        <v>Thursday</v>
      </c>
      <c r="E131" s="240"/>
      <c r="F131" s="240"/>
      <c r="G131" s="240"/>
      <c r="H131" s="241"/>
      <c r="I131" s="301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</row>
    <row r="132" ht="14.25" customHeight="1">
      <c r="A132" s="302">
        <f t="shared" si="4"/>
        <v>46304</v>
      </c>
      <c r="B132" s="241">
        <f t="shared" si="1"/>
        <v>2026</v>
      </c>
      <c r="C132" s="241">
        <f t="shared" si="2"/>
        <v>10</v>
      </c>
      <c r="D132" s="301" t="str">
        <f t="shared" si="3"/>
        <v>Friday</v>
      </c>
      <c r="E132" s="240"/>
      <c r="F132" s="240"/>
      <c r="G132" s="240"/>
      <c r="H132" s="241"/>
      <c r="I132" s="301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</row>
    <row r="133" ht="14.25" customHeight="1">
      <c r="A133" s="302">
        <f t="shared" si="4"/>
        <v>46305</v>
      </c>
      <c r="B133" s="241">
        <f t="shared" si="1"/>
        <v>2026</v>
      </c>
      <c r="C133" s="241">
        <f t="shared" si="2"/>
        <v>10</v>
      </c>
      <c r="D133" s="301" t="str">
        <f t="shared" si="3"/>
        <v>Saturday</v>
      </c>
      <c r="E133" s="240"/>
      <c r="F133" s="240"/>
      <c r="G133" s="240"/>
      <c r="H133" s="241"/>
      <c r="I133" s="301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</row>
    <row r="134" ht="14.25" customHeight="1">
      <c r="A134" s="302">
        <f t="shared" si="4"/>
        <v>46306</v>
      </c>
      <c r="B134" s="241">
        <f t="shared" si="1"/>
        <v>2026</v>
      </c>
      <c r="C134" s="241">
        <f t="shared" si="2"/>
        <v>10</v>
      </c>
      <c r="D134" s="301" t="str">
        <f t="shared" si="3"/>
        <v>Sunday</v>
      </c>
      <c r="E134" s="240"/>
      <c r="F134" s="240"/>
      <c r="G134" s="240"/>
      <c r="H134" s="241"/>
      <c r="I134" s="301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</row>
    <row r="135" ht="14.25" customHeight="1">
      <c r="A135" s="302">
        <f t="shared" si="4"/>
        <v>46307</v>
      </c>
      <c r="B135" s="241">
        <f t="shared" si="1"/>
        <v>2026</v>
      </c>
      <c r="C135" s="241">
        <f t="shared" si="2"/>
        <v>10</v>
      </c>
      <c r="D135" s="301" t="str">
        <f t="shared" si="3"/>
        <v>Monday</v>
      </c>
      <c r="E135" s="240"/>
      <c r="F135" s="240"/>
      <c r="G135" s="240"/>
      <c r="H135" s="241"/>
      <c r="I135" s="301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</row>
    <row r="136" ht="14.25" customHeight="1">
      <c r="A136" s="302">
        <f t="shared" si="4"/>
        <v>46308</v>
      </c>
      <c r="B136" s="241">
        <f t="shared" si="1"/>
        <v>2026</v>
      </c>
      <c r="C136" s="241">
        <f t="shared" si="2"/>
        <v>10</v>
      </c>
      <c r="D136" s="301" t="str">
        <f t="shared" si="3"/>
        <v>Tuesday</v>
      </c>
      <c r="E136" s="240"/>
      <c r="F136" s="240"/>
      <c r="G136" s="240"/>
      <c r="H136" s="241"/>
      <c r="I136" s="301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</row>
    <row r="137" ht="14.25" customHeight="1">
      <c r="A137" s="302">
        <f t="shared" si="4"/>
        <v>46309</v>
      </c>
      <c r="B137" s="241">
        <f t="shared" si="1"/>
        <v>2026</v>
      </c>
      <c r="C137" s="241">
        <f t="shared" si="2"/>
        <v>10</v>
      </c>
      <c r="D137" s="301" t="str">
        <f t="shared" si="3"/>
        <v>Wednesday</v>
      </c>
      <c r="E137" s="240"/>
      <c r="F137" s="240"/>
      <c r="G137" s="240"/>
      <c r="H137" s="241"/>
      <c r="I137" s="301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</row>
    <row r="138" ht="14.25" customHeight="1">
      <c r="A138" s="302">
        <f t="shared" si="4"/>
        <v>46310</v>
      </c>
      <c r="B138" s="241">
        <f t="shared" si="1"/>
        <v>2026</v>
      </c>
      <c r="C138" s="241">
        <f t="shared" si="2"/>
        <v>10</v>
      </c>
      <c r="D138" s="301" t="str">
        <f t="shared" si="3"/>
        <v>Thursday</v>
      </c>
      <c r="E138" s="240"/>
      <c r="F138" s="240"/>
      <c r="G138" s="240"/>
      <c r="H138" s="241"/>
      <c r="I138" s="301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</row>
    <row r="139" ht="14.25" customHeight="1">
      <c r="A139" s="302">
        <f t="shared" si="4"/>
        <v>46311</v>
      </c>
      <c r="B139" s="241">
        <f t="shared" si="1"/>
        <v>2026</v>
      </c>
      <c r="C139" s="241">
        <f t="shared" si="2"/>
        <v>10</v>
      </c>
      <c r="D139" s="301" t="str">
        <f t="shared" si="3"/>
        <v>Friday</v>
      </c>
      <c r="E139" s="240"/>
      <c r="F139" s="240"/>
      <c r="G139" s="240"/>
      <c r="H139" s="241"/>
      <c r="I139" s="301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</row>
    <row r="140" ht="14.25" customHeight="1">
      <c r="A140" s="302">
        <f t="shared" si="4"/>
        <v>46312</v>
      </c>
      <c r="B140" s="241">
        <f t="shared" si="1"/>
        <v>2026</v>
      </c>
      <c r="C140" s="241">
        <f t="shared" si="2"/>
        <v>10</v>
      </c>
      <c r="D140" s="301" t="str">
        <f t="shared" si="3"/>
        <v>Saturday</v>
      </c>
      <c r="E140" s="240"/>
      <c r="F140" s="240"/>
      <c r="G140" s="240"/>
      <c r="H140" s="241"/>
      <c r="I140" s="301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</row>
    <row r="141" ht="14.25" customHeight="1">
      <c r="A141" s="302">
        <f t="shared" si="4"/>
        <v>46313</v>
      </c>
      <c r="B141" s="241">
        <f t="shared" si="1"/>
        <v>2026</v>
      </c>
      <c r="C141" s="241">
        <f t="shared" si="2"/>
        <v>10</v>
      </c>
      <c r="D141" s="301" t="str">
        <f t="shared" si="3"/>
        <v>Sunday</v>
      </c>
      <c r="E141" s="240"/>
      <c r="F141" s="240"/>
      <c r="G141" s="240"/>
      <c r="H141" s="241"/>
      <c r="I141" s="301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</row>
    <row r="142" ht="14.25" customHeight="1">
      <c r="A142" s="302">
        <f t="shared" si="4"/>
        <v>46314</v>
      </c>
      <c r="B142" s="241">
        <f t="shared" si="1"/>
        <v>2026</v>
      </c>
      <c r="C142" s="241">
        <f t="shared" si="2"/>
        <v>10</v>
      </c>
      <c r="D142" s="301" t="str">
        <f t="shared" si="3"/>
        <v>Monday</v>
      </c>
      <c r="E142" s="240"/>
      <c r="F142" s="240"/>
      <c r="G142" s="240"/>
      <c r="H142" s="241"/>
      <c r="I142" s="301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</row>
    <row r="143" ht="14.25" customHeight="1">
      <c r="A143" s="302">
        <f t="shared" si="4"/>
        <v>46315</v>
      </c>
      <c r="B143" s="241">
        <f t="shared" si="1"/>
        <v>2026</v>
      </c>
      <c r="C143" s="241">
        <f t="shared" si="2"/>
        <v>10</v>
      </c>
      <c r="D143" s="301" t="str">
        <f t="shared" si="3"/>
        <v>Tuesday</v>
      </c>
      <c r="E143" s="240"/>
      <c r="F143" s="240"/>
      <c r="G143" s="240"/>
      <c r="H143" s="241"/>
      <c r="I143" s="301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</row>
    <row r="144" ht="14.25" customHeight="1">
      <c r="A144" s="302">
        <f t="shared" si="4"/>
        <v>46316</v>
      </c>
      <c r="B144" s="241">
        <f t="shared" si="1"/>
        <v>2026</v>
      </c>
      <c r="C144" s="241">
        <f t="shared" si="2"/>
        <v>10</v>
      </c>
      <c r="D144" s="301" t="str">
        <f t="shared" si="3"/>
        <v>Wednesday</v>
      </c>
      <c r="E144" s="240"/>
      <c r="F144" s="240"/>
      <c r="G144" s="240"/>
      <c r="H144" s="241"/>
      <c r="I144" s="301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</row>
    <row r="145" ht="14.25" customHeight="1">
      <c r="A145" s="302">
        <f t="shared" si="4"/>
        <v>46317</v>
      </c>
      <c r="B145" s="241">
        <f t="shared" si="1"/>
        <v>2026</v>
      </c>
      <c r="C145" s="241">
        <f t="shared" si="2"/>
        <v>10</v>
      </c>
      <c r="D145" s="301" t="str">
        <f t="shared" si="3"/>
        <v>Thursday</v>
      </c>
      <c r="E145" s="240"/>
      <c r="F145" s="240"/>
      <c r="G145" s="240"/>
      <c r="H145" s="241"/>
      <c r="I145" s="301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</row>
    <row r="146" ht="14.25" customHeight="1">
      <c r="A146" s="302">
        <f t="shared" si="4"/>
        <v>46318</v>
      </c>
      <c r="B146" s="241">
        <f t="shared" si="1"/>
        <v>2026</v>
      </c>
      <c r="C146" s="241">
        <f t="shared" si="2"/>
        <v>10</v>
      </c>
      <c r="D146" s="301" t="str">
        <f t="shared" si="3"/>
        <v>Friday</v>
      </c>
      <c r="E146" s="240"/>
      <c r="F146" s="240"/>
      <c r="G146" s="240"/>
      <c r="H146" s="241"/>
      <c r="I146" s="301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</row>
    <row r="147" ht="14.25" customHeight="1">
      <c r="A147" s="302">
        <f t="shared" si="4"/>
        <v>46319</v>
      </c>
      <c r="B147" s="241">
        <f t="shared" si="1"/>
        <v>2026</v>
      </c>
      <c r="C147" s="241">
        <f t="shared" si="2"/>
        <v>10</v>
      </c>
      <c r="D147" s="301" t="str">
        <f t="shared" si="3"/>
        <v>Saturday</v>
      </c>
      <c r="E147" s="240"/>
      <c r="F147" s="240"/>
      <c r="G147" s="240"/>
      <c r="H147" s="241"/>
      <c r="I147" s="301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</row>
    <row r="148" ht="14.25" customHeight="1">
      <c r="A148" s="302">
        <f t="shared" si="4"/>
        <v>46320</v>
      </c>
      <c r="B148" s="241">
        <f t="shared" si="1"/>
        <v>2026</v>
      </c>
      <c r="C148" s="241">
        <f t="shared" si="2"/>
        <v>10</v>
      </c>
      <c r="D148" s="301" t="str">
        <f t="shared" si="3"/>
        <v>Sunday</v>
      </c>
      <c r="E148" s="240"/>
      <c r="F148" s="240"/>
      <c r="G148" s="240"/>
      <c r="H148" s="241"/>
      <c r="I148" s="301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</row>
    <row r="149" ht="14.25" customHeight="1">
      <c r="A149" s="302">
        <f t="shared" si="4"/>
        <v>46321</v>
      </c>
      <c r="B149" s="241">
        <f t="shared" si="1"/>
        <v>2026</v>
      </c>
      <c r="C149" s="241">
        <f t="shared" si="2"/>
        <v>10</v>
      </c>
      <c r="D149" s="301" t="str">
        <f t="shared" si="3"/>
        <v>Monday</v>
      </c>
      <c r="E149" s="240"/>
      <c r="F149" s="240"/>
      <c r="G149" s="240"/>
      <c r="H149" s="241"/>
      <c r="I149" s="301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</row>
    <row r="150" ht="14.25" customHeight="1">
      <c r="A150" s="302">
        <f t="shared" si="4"/>
        <v>46322</v>
      </c>
      <c r="B150" s="241">
        <f t="shared" si="1"/>
        <v>2026</v>
      </c>
      <c r="C150" s="241">
        <f t="shared" si="2"/>
        <v>10</v>
      </c>
      <c r="D150" s="301" t="str">
        <f t="shared" si="3"/>
        <v>Tuesday</v>
      </c>
      <c r="E150" s="240"/>
      <c r="F150" s="240"/>
      <c r="G150" s="240"/>
      <c r="H150" s="241"/>
      <c r="I150" s="301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</row>
    <row r="151" ht="14.25" customHeight="1">
      <c r="A151" s="302">
        <f t="shared" si="4"/>
        <v>46323</v>
      </c>
      <c r="B151" s="241">
        <f t="shared" si="1"/>
        <v>2026</v>
      </c>
      <c r="C151" s="241">
        <f t="shared" si="2"/>
        <v>10</v>
      </c>
      <c r="D151" s="301" t="str">
        <f t="shared" si="3"/>
        <v>Wednesday</v>
      </c>
      <c r="E151" s="240"/>
      <c r="F151" s="240"/>
      <c r="G151" s="240"/>
      <c r="H151" s="241"/>
      <c r="I151" s="301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</row>
    <row r="152" ht="14.25" customHeight="1">
      <c r="A152" s="302">
        <f t="shared" si="4"/>
        <v>46324</v>
      </c>
      <c r="B152" s="241">
        <f t="shared" si="1"/>
        <v>2026</v>
      </c>
      <c r="C152" s="241">
        <f t="shared" si="2"/>
        <v>10</v>
      </c>
      <c r="D152" s="301" t="str">
        <f t="shared" si="3"/>
        <v>Thursday</v>
      </c>
      <c r="E152" s="240"/>
      <c r="F152" s="240"/>
      <c r="G152" s="240"/>
      <c r="H152" s="241"/>
      <c r="I152" s="301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</row>
    <row r="153" ht="14.25" customHeight="1">
      <c r="A153" s="302">
        <f t="shared" si="4"/>
        <v>46325</v>
      </c>
      <c r="B153" s="241">
        <f t="shared" si="1"/>
        <v>2026</v>
      </c>
      <c r="C153" s="241">
        <f t="shared" si="2"/>
        <v>10</v>
      </c>
      <c r="D153" s="301" t="str">
        <f t="shared" si="3"/>
        <v>Friday</v>
      </c>
      <c r="E153" s="240"/>
      <c r="F153" s="240"/>
      <c r="G153" s="240"/>
      <c r="H153" s="241"/>
      <c r="I153" s="301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</row>
    <row r="154" ht="14.25" customHeight="1">
      <c r="A154" s="302">
        <f t="shared" si="4"/>
        <v>46326</v>
      </c>
      <c r="B154" s="241">
        <f t="shared" si="1"/>
        <v>2026</v>
      </c>
      <c r="C154" s="241">
        <f t="shared" si="2"/>
        <v>10</v>
      </c>
      <c r="D154" s="301" t="str">
        <f t="shared" si="3"/>
        <v>Saturday</v>
      </c>
      <c r="E154" s="240"/>
      <c r="F154" s="240"/>
      <c r="G154" s="240"/>
      <c r="H154" s="241"/>
      <c r="I154" s="301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</row>
    <row r="155" ht="14.25" customHeight="1">
      <c r="A155" s="302">
        <f t="shared" si="4"/>
        <v>46327</v>
      </c>
      <c r="B155" s="241">
        <f t="shared" si="1"/>
        <v>2026</v>
      </c>
      <c r="C155" s="241">
        <f t="shared" si="2"/>
        <v>11</v>
      </c>
      <c r="D155" s="301" t="str">
        <f t="shared" si="3"/>
        <v>Sunday</v>
      </c>
      <c r="E155" s="240"/>
      <c r="F155" s="240"/>
      <c r="G155" s="240"/>
      <c r="H155" s="241"/>
      <c r="I155" s="301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ht="14.25" customHeight="1">
      <c r="A156" s="302">
        <f t="shared" si="4"/>
        <v>46328</v>
      </c>
      <c r="B156" s="241">
        <f t="shared" si="1"/>
        <v>2026</v>
      </c>
      <c r="C156" s="241">
        <f t="shared" si="2"/>
        <v>11</v>
      </c>
      <c r="D156" s="301" t="str">
        <f t="shared" si="3"/>
        <v>Monday</v>
      </c>
      <c r="E156" s="240"/>
      <c r="F156" s="240"/>
      <c r="G156" s="240"/>
      <c r="H156" s="241"/>
      <c r="I156" s="301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ht="14.25" customHeight="1">
      <c r="A157" s="302">
        <f t="shared" si="4"/>
        <v>46329</v>
      </c>
      <c r="B157" s="241">
        <f t="shared" si="1"/>
        <v>2026</v>
      </c>
      <c r="C157" s="241">
        <f t="shared" si="2"/>
        <v>11</v>
      </c>
      <c r="D157" s="301" t="str">
        <f t="shared" si="3"/>
        <v>Tuesday</v>
      </c>
      <c r="E157" s="240"/>
      <c r="F157" s="240"/>
      <c r="G157" s="240"/>
      <c r="H157" s="241"/>
      <c r="I157" s="301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ht="14.25" customHeight="1">
      <c r="A158" s="302">
        <f t="shared" si="4"/>
        <v>46330</v>
      </c>
      <c r="B158" s="241">
        <f t="shared" si="1"/>
        <v>2026</v>
      </c>
      <c r="C158" s="241">
        <f t="shared" si="2"/>
        <v>11</v>
      </c>
      <c r="D158" s="301" t="str">
        <f t="shared" si="3"/>
        <v>Wednesday</v>
      </c>
      <c r="E158" s="240"/>
      <c r="F158" s="240"/>
      <c r="G158" s="240"/>
      <c r="H158" s="241"/>
      <c r="I158" s="301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ht="14.25" customHeight="1">
      <c r="A159" s="302">
        <f t="shared" si="4"/>
        <v>46331</v>
      </c>
      <c r="B159" s="241">
        <f t="shared" si="1"/>
        <v>2026</v>
      </c>
      <c r="C159" s="241">
        <f t="shared" si="2"/>
        <v>11</v>
      </c>
      <c r="D159" s="301" t="str">
        <f t="shared" si="3"/>
        <v>Thursday</v>
      </c>
      <c r="E159" s="240"/>
      <c r="F159" s="240"/>
      <c r="G159" s="240"/>
      <c r="H159" s="241"/>
      <c r="I159" s="301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ht="14.25" customHeight="1">
      <c r="A160" s="302">
        <f t="shared" si="4"/>
        <v>46332</v>
      </c>
      <c r="B160" s="241">
        <f t="shared" si="1"/>
        <v>2026</v>
      </c>
      <c r="C160" s="241">
        <f t="shared" si="2"/>
        <v>11</v>
      </c>
      <c r="D160" s="301" t="str">
        <f t="shared" si="3"/>
        <v>Friday</v>
      </c>
      <c r="E160" s="240"/>
      <c r="F160" s="240"/>
      <c r="G160" s="240"/>
      <c r="H160" s="241"/>
      <c r="I160" s="301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ht="14.25" customHeight="1">
      <c r="A161" s="302">
        <f t="shared" si="4"/>
        <v>46333</v>
      </c>
      <c r="B161" s="241">
        <f t="shared" si="1"/>
        <v>2026</v>
      </c>
      <c r="C161" s="241">
        <f t="shared" si="2"/>
        <v>11</v>
      </c>
      <c r="D161" s="301" t="str">
        <f t="shared" si="3"/>
        <v>Saturday</v>
      </c>
      <c r="E161" s="240"/>
      <c r="F161" s="240"/>
      <c r="G161" s="240"/>
      <c r="H161" s="241"/>
      <c r="I161" s="301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ht="14.25" customHeight="1">
      <c r="A162" s="302">
        <f t="shared" si="4"/>
        <v>46334</v>
      </c>
      <c r="B162" s="241">
        <f t="shared" si="1"/>
        <v>2026</v>
      </c>
      <c r="C162" s="241">
        <f t="shared" si="2"/>
        <v>11</v>
      </c>
      <c r="D162" s="301" t="str">
        <f t="shared" si="3"/>
        <v>Sunday</v>
      </c>
      <c r="E162" s="240"/>
      <c r="F162" s="240"/>
      <c r="G162" s="240"/>
      <c r="H162" s="241"/>
      <c r="I162" s="301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ht="14.25" customHeight="1">
      <c r="A163" s="302">
        <f t="shared" si="4"/>
        <v>46335</v>
      </c>
      <c r="B163" s="241">
        <f t="shared" si="1"/>
        <v>2026</v>
      </c>
      <c r="C163" s="241">
        <f t="shared" si="2"/>
        <v>11</v>
      </c>
      <c r="D163" s="301" t="str">
        <f t="shared" si="3"/>
        <v>Monday</v>
      </c>
      <c r="E163" s="240"/>
      <c r="F163" s="240"/>
      <c r="G163" s="240"/>
      <c r="H163" s="241"/>
      <c r="I163" s="301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ht="14.25" customHeight="1">
      <c r="A164" s="302">
        <f t="shared" si="4"/>
        <v>46336</v>
      </c>
      <c r="B164" s="241">
        <f t="shared" si="1"/>
        <v>2026</v>
      </c>
      <c r="C164" s="241">
        <f t="shared" si="2"/>
        <v>11</v>
      </c>
      <c r="D164" s="301" t="str">
        <f t="shared" si="3"/>
        <v>Tuesday</v>
      </c>
      <c r="E164" s="240"/>
      <c r="F164" s="240"/>
      <c r="G164" s="240"/>
      <c r="H164" s="241"/>
      <c r="I164" s="301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ht="14.25" customHeight="1">
      <c r="A165" s="302">
        <f t="shared" si="4"/>
        <v>46337</v>
      </c>
      <c r="B165" s="241">
        <f t="shared" si="1"/>
        <v>2026</v>
      </c>
      <c r="C165" s="241">
        <f t="shared" si="2"/>
        <v>11</v>
      </c>
      <c r="D165" s="301" t="str">
        <f t="shared" si="3"/>
        <v>Wednesday</v>
      </c>
      <c r="E165" s="240"/>
      <c r="F165" s="240"/>
      <c r="G165" s="240"/>
      <c r="H165" s="241"/>
      <c r="I165" s="301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ht="14.25" customHeight="1">
      <c r="A166" s="302">
        <f t="shared" si="4"/>
        <v>46338</v>
      </c>
      <c r="B166" s="241">
        <f t="shared" si="1"/>
        <v>2026</v>
      </c>
      <c r="C166" s="241">
        <f t="shared" si="2"/>
        <v>11</v>
      </c>
      <c r="D166" s="301" t="str">
        <f t="shared" si="3"/>
        <v>Thursday</v>
      </c>
      <c r="E166" s="240"/>
      <c r="F166" s="240"/>
      <c r="G166" s="240"/>
      <c r="H166" s="241"/>
      <c r="I166" s="301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ht="14.25" customHeight="1">
      <c r="A167" s="302">
        <f t="shared" si="4"/>
        <v>46339</v>
      </c>
      <c r="B167" s="241">
        <f t="shared" si="1"/>
        <v>2026</v>
      </c>
      <c r="C167" s="241">
        <f t="shared" si="2"/>
        <v>11</v>
      </c>
      <c r="D167" s="301" t="str">
        <f t="shared" si="3"/>
        <v>Friday</v>
      </c>
      <c r="E167" s="240"/>
      <c r="F167" s="240"/>
      <c r="G167" s="240"/>
      <c r="H167" s="241"/>
      <c r="I167" s="301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ht="14.25" customHeight="1">
      <c r="A168" s="302">
        <f t="shared" si="4"/>
        <v>46340</v>
      </c>
      <c r="B168" s="241">
        <f t="shared" si="1"/>
        <v>2026</v>
      </c>
      <c r="C168" s="241">
        <f t="shared" si="2"/>
        <v>11</v>
      </c>
      <c r="D168" s="301" t="str">
        <f t="shared" si="3"/>
        <v>Saturday</v>
      </c>
      <c r="E168" s="240"/>
      <c r="F168" s="240"/>
      <c r="G168" s="240"/>
      <c r="H168" s="241"/>
      <c r="I168" s="301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ht="14.25" customHeight="1">
      <c r="A169" s="302">
        <f t="shared" si="4"/>
        <v>46341</v>
      </c>
      <c r="B169" s="241">
        <f t="shared" si="1"/>
        <v>2026</v>
      </c>
      <c r="C169" s="241">
        <f t="shared" si="2"/>
        <v>11</v>
      </c>
      <c r="D169" s="301" t="str">
        <f t="shared" si="3"/>
        <v>Sunday</v>
      </c>
      <c r="E169" s="240"/>
      <c r="F169" s="240"/>
      <c r="G169" s="240"/>
      <c r="H169" s="241"/>
      <c r="I169" s="301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ht="14.25" customHeight="1">
      <c r="A170" s="302">
        <f t="shared" si="4"/>
        <v>46342</v>
      </c>
      <c r="B170" s="241">
        <f t="shared" si="1"/>
        <v>2026</v>
      </c>
      <c r="C170" s="241">
        <f t="shared" si="2"/>
        <v>11</v>
      </c>
      <c r="D170" s="301" t="str">
        <f t="shared" si="3"/>
        <v>Monday</v>
      </c>
      <c r="E170" s="240"/>
      <c r="F170" s="240"/>
      <c r="G170" s="240"/>
      <c r="H170" s="241"/>
      <c r="I170" s="301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ht="14.25" customHeight="1">
      <c r="A171" s="302">
        <f t="shared" si="4"/>
        <v>46343</v>
      </c>
      <c r="B171" s="241">
        <f t="shared" si="1"/>
        <v>2026</v>
      </c>
      <c r="C171" s="241">
        <f t="shared" si="2"/>
        <v>11</v>
      </c>
      <c r="D171" s="301" t="str">
        <f t="shared" si="3"/>
        <v>Tuesday</v>
      </c>
      <c r="E171" s="240"/>
      <c r="F171" s="240"/>
      <c r="G171" s="240"/>
      <c r="H171" s="241"/>
      <c r="I171" s="301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</row>
    <row r="172" ht="14.25" customHeight="1">
      <c r="A172" s="302">
        <f t="shared" si="4"/>
        <v>46344</v>
      </c>
      <c r="B172" s="241">
        <f t="shared" si="1"/>
        <v>2026</v>
      </c>
      <c r="C172" s="241">
        <f t="shared" si="2"/>
        <v>11</v>
      </c>
      <c r="D172" s="301" t="str">
        <f t="shared" si="3"/>
        <v>Wednesday</v>
      </c>
      <c r="E172" s="240"/>
      <c r="F172" s="240"/>
      <c r="G172" s="240"/>
      <c r="H172" s="241"/>
      <c r="I172" s="301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</row>
    <row r="173" ht="14.25" customHeight="1">
      <c r="A173" s="302">
        <f t="shared" si="4"/>
        <v>46345</v>
      </c>
      <c r="B173" s="241">
        <f t="shared" si="1"/>
        <v>2026</v>
      </c>
      <c r="C173" s="241">
        <f t="shared" si="2"/>
        <v>11</v>
      </c>
      <c r="D173" s="301" t="str">
        <f t="shared" si="3"/>
        <v>Thursday</v>
      </c>
      <c r="E173" s="240"/>
      <c r="F173" s="240"/>
      <c r="G173" s="240"/>
      <c r="H173" s="241"/>
      <c r="I173" s="301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</row>
    <row r="174" ht="14.25" customHeight="1">
      <c r="A174" s="302">
        <f t="shared" si="4"/>
        <v>46346</v>
      </c>
      <c r="B174" s="241">
        <f t="shared" si="1"/>
        <v>2026</v>
      </c>
      <c r="C174" s="241">
        <f t="shared" si="2"/>
        <v>11</v>
      </c>
      <c r="D174" s="301" t="str">
        <f t="shared" si="3"/>
        <v>Friday</v>
      </c>
      <c r="E174" s="240"/>
      <c r="F174" s="240"/>
      <c r="G174" s="240"/>
      <c r="H174" s="241"/>
      <c r="I174" s="301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</row>
    <row r="175" ht="14.25" customHeight="1">
      <c r="A175" s="302">
        <f t="shared" si="4"/>
        <v>46347</v>
      </c>
      <c r="B175" s="241">
        <f t="shared" si="1"/>
        <v>2026</v>
      </c>
      <c r="C175" s="241">
        <f t="shared" si="2"/>
        <v>11</v>
      </c>
      <c r="D175" s="301" t="str">
        <f t="shared" si="3"/>
        <v>Saturday</v>
      </c>
      <c r="E175" s="240"/>
      <c r="F175" s="240"/>
      <c r="G175" s="240"/>
      <c r="H175" s="241"/>
      <c r="I175" s="301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</row>
    <row r="176" ht="14.25" customHeight="1">
      <c r="A176" s="302">
        <f t="shared" si="4"/>
        <v>46348</v>
      </c>
      <c r="B176" s="241">
        <f t="shared" si="1"/>
        <v>2026</v>
      </c>
      <c r="C176" s="241">
        <f t="shared" si="2"/>
        <v>11</v>
      </c>
      <c r="D176" s="301" t="str">
        <f t="shared" si="3"/>
        <v>Sunday</v>
      </c>
      <c r="E176" s="240"/>
      <c r="F176" s="240"/>
      <c r="G176" s="240"/>
      <c r="H176" s="241"/>
      <c r="I176" s="301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</row>
    <row r="177" ht="14.25" customHeight="1">
      <c r="A177" s="302">
        <f t="shared" si="4"/>
        <v>46349</v>
      </c>
      <c r="B177" s="241">
        <f t="shared" si="1"/>
        <v>2026</v>
      </c>
      <c r="C177" s="241">
        <f t="shared" si="2"/>
        <v>11</v>
      </c>
      <c r="D177" s="301" t="str">
        <f t="shared" si="3"/>
        <v>Monday</v>
      </c>
      <c r="E177" s="240"/>
      <c r="F177" s="240"/>
      <c r="G177" s="240"/>
      <c r="H177" s="241"/>
      <c r="I177" s="301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</row>
    <row r="178" ht="14.25" customHeight="1">
      <c r="A178" s="302">
        <f t="shared" si="4"/>
        <v>46350</v>
      </c>
      <c r="B178" s="241">
        <f t="shared" si="1"/>
        <v>2026</v>
      </c>
      <c r="C178" s="241">
        <f t="shared" si="2"/>
        <v>11</v>
      </c>
      <c r="D178" s="301" t="str">
        <f t="shared" si="3"/>
        <v>Tuesday</v>
      </c>
      <c r="E178" s="240"/>
      <c r="F178" s="240"/>
      <c r="G178" s="240"/>
      <c r="H178" s="241"/>
      <c r="I178" s="301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ht="14.25" customHeight="1">
      <c r="A179" s="302">
        <f t="shared" si="4"/>
        <v>46351</v>
      </c>
      <c r="B179" s="241">
        <f t="shared" si="1"/>
        <v>2026</v>
      </c>
      <c r="C179" s="241">
        <f t="shared" si="2"/>
        <v>11</v>
      </c>
      <c r="D179" s="301" t="str">
        <f t="shared" si="3"/>
        <v>Wednesday</v>
      </c>
      <c r="E179" s="240"/>
      <c r="F179" s="240"/>
      <c r="G179" s="240"/>
      <c r="H179" s="241"/>
      <c r="I179" s="301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ht="14.25" customHeight="1">
      <c r="A180" s="302">
        <f t="shared" si="4"/>
        <v>46352</v>
      </c>
      <c r="B180" s="241">
        <f t="shared" si="1"/>
        <v>2026</v>
      </c>
      <c r="C180" s="241">
        <f t="shared" si="2"/>
        <v>11</v>
      </c>
      <c r="D180" s="301" t="str">
        <f t="shared" si="3"/>
        <v>Thursday</v>
      </c>
      <c r="E180" s="240"/>
      <c r="F180" s="240"/>
      <c r="G180" s="240"/>
      <c r="H180" s="241"/>
      <c r="I180" s="301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ht="14.25" customHeight="1">
      <c r="A181" s="302">
        <f t="shared" si="4"/>
        <v>46353</v>
      </c>
      <c r="B181" s="241">
        <f t="shared" si="1"/>
        <v>2026</v>
      </c>
      <c r="C181" s="241">
        <f t="shared" si="2"/>
        <v>11</v>
      </c>
      <c r="D181" s="301" t="str">
        <f t="shared" si="3"/>
        <v>Friday</v>
      </c>
      <c r="E181" s="240"/>
      <c r="F181" s="240"/>
      <c r="G181" s="240"/>
      <c r="H181" s="241"/>
      <c r="I181" s="301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ht="14.25" customHeight="1">
      <c r="A182" s="302">
        <f t="shared" si="4"/>
        <v>46354</v>
      </c>
      <c r="B182" s="241">
        <f t="shared" si="1"/>
        <v>2026</v>
      </c>
      <c r="C182" s="241">
        <f t="shared" si="2"/>
        <v>11</v>
      </c>
      <c r="D182" s="301" t="str">
        <f t="shared" si="3"/>
        <v>Saturday</v>
      </c>
      <c r="E182" s="240"/>
      <c r="F182" s="240"/>
      <c r="G182" s="240"/>
      <c r="H182" s="241"/>
      <c r="I182" s="301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ht="14.25" customHeight="1">
      <c r="A183" s="302">
        <f t="shared" si="4"/>
        <v>46355</v>
      </c>
      <c r="B183" s="241">
        <f t="shared" si="1"/>
        <v>2026</v>
      </c>
      <c r="C183" s="241">
        <f t="shared" si="2"/>
        <v>11</v>
      </c>
      <c r="D183" s="301" t="str">
        <f t="shared" si="3"/>
        <v>Sunday</v>
      </c>
      <c r="E183" s="240"/>
      <c r="F183" s="240"/>
      <c r="G183" s="240"/>
      <c r="H183" s="241"/>
      <c r="I183" s="301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ht="14.25" customHeight="1">
      <c r="A184" s="302">
        <f t="shared" si="4"/>
        <v>46356</v>
      </c>
      <c r="B184" s="241">
        <f t="shared" si="1"/>
        <v>2026</v>
      </c>
      <c r="C184" s="241">
        <f t="shared" si="2"/>
        <v>11</v>
      </c>
      <c r="D184" s="301" t="str">
        <f t="shared" si="3"/>
        <v>Monday</v>
      </c>
      <c r="E184" s="240"/>
      <c r="F184" s="240"/>
      <c r="G184" s="240"/>
      <c r="H184" s="241"/>
      <c r="I184" s="301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ht="14.25" customHeight="1">
      <c r="A185" s="302">
        <f t="shared" si="4"/>
        <v>46357</v>
      </c>
      <c r="B185" s="241">
        <f t="shared" si="1"/>
        <v>2026</v>
      </c>
      <c r="C185" s="241">
        <f t="shared" si="2"/>
        <v>12</v>
      </c>
      <c r="D185" s="301" t="str">
        <f t="shared" si="3"/>
        <v>Tuesday</v>
      </c>
      <c r="E185" s="240"/>
      <c r="F185" s="240"/>
      <c r="G185" s="240"/>
      <c r="H185" s="241"/>
      <c r="I185" s="301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ht="14.25" customHeight="1">
      <c r="A186" s="302">
        <f t="shared" si="4"/>
        <v>46358</v>
      </c>
      <c r="B186" s="241">
        <f t="shared" si="1"/>
        <v>2026</v>
      </c>
      <c r="C186" s="241">
        <f t="shared" si="2"/>
        <v>12</v>
      </c>
      <c r="D186" s="301" t="str">
        <f t="shared" si="3"/>
        <v>Wednesday</v>
      </c>
      <c r="E186" s="240"/>
      <c r="F186" s="240"/>
      <c r="G186" s="240"/>
      <c r="H186" s="241"/>
      <c r="I186" s="301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ht="14.25" customHeight="1">
      <c r="A187" s="302">
        <f t="shared" si="4"/>
        <v>46359</v>
      </c>
      <c r="B187" s="241">
        <f t="shared" si="1"/>
        <v>2026</v>
      </c>
      <c r="C187" s="241">
        <f t="shared" si="2"/>
        <v>12</v>
      </c>
      <c r="D187" s="301" t="str">
        <f t="shared" si="3"/>
        <v>Thursday</v>
      </c>
      <c r="E187" s="240"/>
      <c r="F187" s="240"/>
      <c r="G187" s="240"/>
      <c r="H187" s="241"/>
      <c r="I187" s="301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ht="14.25" customHeight="1">
      <c r="A188" s="302">
        <f t="shared" si="4"/>
        <v>46360</v>
      </c>
      <c r="B188" s="241">
        <f t="shared" si="1"/>
        <v>2026</v>
      </c>
      <c r="C188" s="241">
        <f t="shared" si="2"/>
        <v>12</v>
      </c>
      <c r="D188" s="301" t="str">
        <f t="shared" si="3"/>
        <v>Friday</v>
      </c>
      <c r="E188" s="240"/>
      <c r="F188" s="240"/>
      <c r="G188" s="240"/>
      <c r="H188" s="241"/>
      <c r="I188" s="301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ht="14.25" customHeight="1">
      <c r="A189" s="302">
        <f t="shared" si="4"/>
        <v>46361</v>
      </c>
      <c r="B189" s="241">
        <f t="shared" si="1"/>
        <v>2026</v>
      </c>
      <c r="C189" s="241">
        <f t="shared" si="2"/>
        <v>12</v>
      </c>
      <c r="D189" s="301" t="str">
        <f t="shared" si="3"/>
        <v>Saturday</v>
      </c>
      <c r="E189" s="240"/>
      <c r="F189" s="240"/>
      <c r="G189" s="240"/>
      <c r="H189" s="241"/>
      <c r="I189" s="301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ht="14.25" customHeight="1">
      <c r="A190" s="302">
        <f t="shared" si="4"/>
        <v>46362</v>
      </c>
      <c r="B190" s="241">
        <f t="shared" si="1"/>
        <v>2026</v>
      </c>
      <c r="C190" s="241">
        <f t="shared" si="2"/>
        <v>12</v>
      </c>
      <c r="D190" s="301" t="str">
        <f t="shared" si="3"/>
        <v>Sunday</v>
      </c>
      <c r="E190" s="240"/>
      <c r="F190" s="240"/>
      <c r="G190" s="240"/>
      <c r="H190" s="241"/>
      <c r="I190" s="301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ht="14.25" customHeight="1">
      <c r="A191" s="302">
        <f t="shared" si="4"/>
        <v>46363</v>
      </c>
      <c r="B191" s="241">
        <f t="shared" si="1"/>
        <v>2026</v>
      </c>
      <c r="C191" s="241">
        <f t="shared" si="2"/>
        <v>12</v>
      </c>
      <c r="D191" s="301" t="str">
        <f t="shared" si="3"/>
        <v>Monday</v>
      </c>
      <c r="E191" s="240"/>
      <c r="F191" s="240"/>
      <c r="G191" s="240"/>
      <c r="H191" s="241"/>
      <c r="I191" s="301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ht="14.25" customHeight="1">
      <c r="A192" s="302">
        <f t="shared" si="4"/>
        <v>46364</v>
      </c>
      <c r="B192" s="241">
        <f t="shared" si="1"/>
        <v>2026</v>
      </c>
      <c r="C192" s="241">
        <f t="shared" si="2"/>
        <v>12</v>
      </c>
      <c r="D192" s="301" t="str">
        <f t="shared" si="3"/>
        <v>Tuesday</v>
      </c>
      <c r="E192" s="240"/>
      <c r="F192" s="240"/>
      <c r="G192" s="240"/>
      <c r="H192" s="241"/>
      <c r="I192" s="301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ht="14.25" customHeight="1">
      <c r="A193" s="302">
        <f t="shared" si="4"/>
        <v>46365</v>
      </c>
      <c r="B193" s="241">
        <f t="shared" si="1"/>
        <v>2026</v>
      </c>
      <c r="C193" s="241">
        <f t="shared" si="2"/>
        <v>12</v>
      </c>
      <c r="D193" s="301" t="str">
        <f t="shared" si="3"/>
        <v>Wednesday</v>
      </c>
      <c r="E193" s="240"/>
      <c r="F193" s="240"/>
      <c r="G193" s="240"/>
      <c r="H193" s="241"/>
      <c r="I193" s="301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ht="14.25" customHeight="1">
      <c r="A194" s="302">
        <f t="shared" si="4"/>
        <v>46366</v>
      </c>
      <c r="B194" s="241">
        <f t="shared" si="1"/>
        <v>2026</v>
      </c>
      <c r="C194" s="241">
        <f t="shared" si="2"/>
        <v>12</v>
      </c>
      <c r="D194" s="301" t="str">
        <f t="shared" si="3"/>
        <v>Thursday</v>
      </c>
      <c r="E194" s="240"/>
      <c r="F194" s="240"/>
      <c r="G194" s="240"/>
      <c r="H194" s="241"/>
      <c r="I194" s="301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ht="14.25" customHeight="1">
      <c r="A195" s="302">
        <f t="shared" si="4"/>
        <v>46367</v>
      </c>
      <c r="B195" s="241">
        <f t="shared" si="1"/>
        <v>2026</v>
      </c>
      <c r="C195" s="241">
        <f t="shared" si="2"/>
        <v>12</v>
      </c>
      <c r="D195" s="301" t="str">
        <f t="shared" si="3"/>
        <v>Friday</v>
      </c>
      <c r="E195" s="240"/>
      <c r="F195" s="240"/>
      <c r="G195" s="240"/>
      <c r="H195" s="241"/>
      <c r="I195" s="301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ht="14.25" customHeight="1">
      <c r="A196" s="302">
        <f t="shared" si="4"/>
        <v>46368</v>
      </c>
      <c r="B196" s="241">
        <f t="shared" si="1"/>
        <v>2026</v>
      </c>
      <c r="C196" s="241">
        <f t="shared" si="2"/>
        <v>12</v>
      </c>
      <c r="D196" s="301" t="str">
        <f t="shared" si="3"/>
        <v>Saturday</v>
      </c>
      <c r="E196" s="240"/>
      <c r="F196" s="240"/>
      <c r="G196" s="240"/>
      <c r="H196" s="241"/>
      <c r="I196" s="301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ht="14.25" customHeight="1">
      <c r="A197" s="302">
        <f t="shared" si="4"/>
        <v>46369</v>
      </c>
      <c r="B197" s="241">
        <f t="shared" si="1"/>
        <v>2026</v>
      </c>
      <c r="C197" s="241">
        <f t="shared" si="2"/>
        <v>12</v>
      </c>
      <c r="D197" s="301" t="str">
        <f t="shared" si="3"/>
        <v>Sunday</v>
      </c>
      <c r="E197" s="240"/>
      <c r="F197" s="240"/>
      <c r="G197" s="240"/>
      <c r="H197" s="241"/>
      <c r="I197" s="301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ht="14.25" customHeight="1">
      <c r="A198" s="302">
        <f t="shared" si="4"/>
        <v>46370</v>
      </c>
      <c r="B198" s="241">
        <f t="shared" si="1"/>
        <v>2026</v>
      </c>
      <c r="C198" s="241">
        <f t="shared" si="2"/>
        <v>12</v>
      </c>
      <c r="D198" s="301" t="str">
        <f t="shared" si="3"/>
        <v>Monday</v>
      </c>
      <c r="E198" s="240"/>
      <c r="F198" s="240"/>
      <c r="G198" s="240"/>
      <c r="H198" s="241"/>
      <c r="I198" s="301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ht="14.25" customHeight="1">
      <c r="A199" s="302">
        <f t="shared" si="4"/>
        <v>46371</v>
      </c>
      <c r="B199" s="241">
        <f t="shared" si="1"/>
        <v>2026</v>
      </c>
      <c r="C199" s="241">
        <f t="shared" si="2"/>
        <v>12</v>
      </c>
      <c r="D199" s="301" t="str">
        <f t="shared" si="3"/>
        <v>Tuesday</v>
      </c>
      <c r="E199" s="240"/>
      <c r="F199" s="240"/>
      <c r="G199" s="240"/>
      <c r="H199" s="241"/>
      <c r="I199" s="301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ht="14.25" customHeight="1">
      <c r="A200" s="302">
        <f t="shared" si="4"/>
        <v>46372</v>
      </c>
      <c r="B200" s="241">
        <f t="shared" si="1"/>
        <v>2026</v>
      </c>
      <c r="C200" s="241">
        <f t="shared" si="2"/>
        <v>12</v>
      </c>
      <c r="D200" s="301" t="str">
        <f t="shared" si="3"/>
        <v>Wednesday</v>
      </c>
      <c r="E200" s="240"/>
      <c r="F200" s="240"/>
      <c r="G200" s="240"/>
      <c r="H200" s="241"/>
      <c r="I200" s="301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ht="14.25" customHeight="1">
      <c r="A201" s="302">
        <f t="shared" si="4"/>
        <v>46373</v>
      </c>
      <c r="B201" s="241">
        <f t="shared" si="1"/>
        <v>2026</v>
      </c>
      <c r="C201" s="241">
        <f t="shared" si="2"/>
        <v>12</v>
      </c>
      <c r="D201" s="301" t="str">
        <f t="shared" si="3"/>
        <v>Thursday</v>
      </c>
      <c r="E201" s="240"/>
      <c r="F201" s="240"/>
      <c r="G201" s="240"/>
      <c r="H201" s="241"/>
      <c r="I201" s="301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ht="14.25" customHeight="1">
      <c r="A202" s="302">
        <f t="shared" si="4"/>
        <v>46374</v>
      </c>
      <c r="B202" s="241">
        <f t="shared" si="1"/>
        <v>2026</v>
      </c>
      <c r="C202" s="241">
        <f t="shared" si="2"/>
        <v>12</v>
      </c>
      <c r="D202" s="301" t="str">
        <f t="shared" si="3"/>
        <v>Friday</v>
      </c>
      <c r="E202" s="240"/>
      <c r="F202" s="240"/>
      <c r="G202" s="240"/>
      <c r="H202" s="241"/>
      <c r="I202" s="301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ht="14.25" customHeight="1">
      <c r="A203" s="302">
        <f t="shared" si="4"/>
        <v>46375</v>
      </c>
      <c r="B203" s="241">
        <f t="shared" si="1"/>
        <v>2026</v>
      </c>
      <c r="C203" s="241">
        <f t="shared" si="2"/>
        <v>12</v>
      </c>
      <c r="D203" s="301" t="str">
        <f t="shared" si="3"/>
        <v>Saturday</v>
      </c>
      <c r="E203" s="240"/>
      <c r="F203" s="240"/>
      <c r="G203" s="240"/>
      <c r="H203" s="241"/>
      <c r="I203" s="301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ht="14.25" customHeight="1">
      <c r="A204" s="302">
        <f t="shared" si="4"/>
        <v>46376</v>
      </c>
      <c r="B204" s="241">
        <f t="shared" si="1"/>
        <v>2026</v>
      </c>
      <c r="C204" s="241">
        <f t="shared" si="2"/>
        <v>12</v>
      </c>
      <c r="D204" s="301" t="str">
        <f t="shared" si="3"/>
        <v>Sunday</v>
      </c>
      <c r="E204" s="240"/>
      <c r="F204" s="240"/>
      <c r="G204" s="240"/>
      <c r="H204" s="241"/>
      <c r="I204" s="301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ht="14.25" customHeight="1">
      <c r="A205" s="302">
        <f t="shared" si="4"/>
        <v>46377</v>
      </c>
      <c r="B205" s="241">
        <f t="shared" si="1"/>
        <v>2026</v>
      </c>
      <c r="C205" s="241">
        <f t="shared" si="2"/>
        <v>12</v>
      </c>
      <c r="D205" s="301" t="str">
        <f t="shared" si="3"/>
        <v>Monday</v>
      </c>
      <c r="E205" s="240"/>
      <c r="F205" s="240"/>
      <c r="G205" s="240"/>
      <c r="H205" s="241"/>
      <c r="I205" s="301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ht="14.25" customHeight="1">
      <c r="A206" s="302">
        <f t="shared" si="4"/>
        <v>46378</v>
      </c>
      <c r="B206" s="241">
        <f t="shared" si="1"/>
        <v>2026</v>
      </c>
      <c r="C206" s="241">
        <f t="shared" si="2"/>
        <v>12</v>
      </c>
      <c r="D206" s="301" t="str">
        <f t="shared" si="3"/>
        <v>Tuesday</v>
      </c>
      <c r="E206" s="240"/>
      <c r="F206" s="240"/>
      <c r="G206" s="240"/>
      <c r="H206" s="241"/>
      <c r="I206" s="301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ht="14.25" customHeight="1">
      <c r="A207" s="302">
        <f t="shared" si="4"/>
        <v>46379</v>
      </c>
      <c r="B207" s="241">
        <f t="shared" si="1"/>
        <v>2026</v>
      </c>
      <c r="C207" s="241">
        <f t="shared" si="2"/>
        <v>12</v>
      </c>
      <c r="D207" s="301" t="str">
        <f t="shared" si="3"/>
        <v>Wednesday</v>
      </c>
      <c r="E207" s="240"/>
      <c r="F207" s="240"/>
      <c r="G207" s="240"/>
      <c r="H207" s="241"/>
      <c r="I207" s="301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ht="14.25" customHeight="1">
      <c r="A208" s="302">
        <f t="shared" si="4"/>
        <v>46380</v>
      </c>
      <c r="B208" s="241">
        <f t="shared" si="1"/>
        <v>2026</v>
      </c>
      <c r="C208" s="241">
        <f t="shared" si="2"/>
        <v>12</v>
      </c>
      <c r="D208" s="301" t="str">
        <f t="shared" si="3"/>
        <v>Thursday</v>
      </c>
      <c r="E208" s="240"/>
      <c r="F208" s="240"/>
      <c r="G208" s="240"/>
      <c r="H208" s="241"/>
      <c r="I208" s="301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ht="14.25" customHeight="1">
      <c r="A209" s="302">
        <f t="shared" si="4"/>
        <v>46381</v>
      </c>
      <c r="B209" s="241">
        <f t="shared" si="1"/>
        <v>2026</v>
      </c>
      <c r="C209" s="241">
        <f t="shared" si="2"/>
        <v>12</v>
      </c>
      <c r="D209" s="301" t="str">
        <f t="shared" si="3"/>
        <v>Friday</v>
      </c>
      <c r="E209" s="240"/>
      <c r="F209" s="240"/>
      <c r="G209" s="240"/>
      <c r="H209" s="241"/>
      <c r="I209" s="301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ht="14.25" customHeight="1">
      <c r="A210" s="302">
        <f t="shared" si="4"/>
        <v>46382</v>
      </c>
      <c r="B210" s="241">
        <f t="shared" si="1"/>
        <v>2026</v>
      </c>
      <c r="C210" s="241">
        <f t="shared" si="2"/>
        <v>12</v>
      </c>
      <c r="D210" s="301" t="str">
        <f t="shared" si="3"/>
        <v>Saturday</v>
      </c>
      <c r="E210" s="240"/>
      <c r="F210" s="240"/>
      <c r="G210" s="240"/>
      <c r="H210" s="241"/>
      <c r="I210" s="301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ht="14.25" customHeight="1">
      <c r="A211" s="302">
        <f t="shared" si="4"/>
        <v>46383</v>
      </c>
      <c r="B211" s="241">
        <f t="shared" si="1"/>
        <v>2026</v>
      </c>
      <c r="C211" s="241">
        <f t="shared" si="2"/>
        <v>12</v>
      </c>
      <c r="D211" s="301" t="str">
        <f t="shared" si="3"/>
        <v>Sunday</v>
      </c>
      <c r="E211" s="240"/>
      <c r="F211" s="240"/>
      <c r="G211" s="240"/>
      <c r="H211" s="241"/>
      <c r="I211" s="301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ht="14.25" customHeight="1">
      <c r="A212" s="302">
        <f t="shared" si="4"/>
        <v>46384</v>
      </c>
      <c r="B212" s="241">
        <f t="shared" si="1"/>
        <v>2026</v>
      </c>
      <c r="C212" s="241">
        <f t="shared" si="2"/>
        <v>12</v>
      </c>
      <c r="D212" s="301" t="str">
        <f t="shared" si="3"/>
        <v>Monday</v>
      </c>
      <c r="E212" s="240"/>
      <c r="F212" s="240"/>
      <c r="G212" s="240"/>
      <c r="H212" s="241"/>
      <c r="I212" s="301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ht="14.25" customHeight="1">
      <c r="A213" s="302">
        <f t="shared" si="4"/>
        <v>46385</v>
      </c>
      <c r="B213" s="241">
        <f t="shared" si="1"/>
        <v>2026</v>
      </c>
      <c r="C213" s="241">
        <f t="shared" si="2"/>
        <v>12</v>
      </c>
      <c r="D213" s="301" t="str">
        <f t="shared" si="3"/>
        <v>Tuesday</v>
      </c>
      <c r="E213" s="240"/>
      <c r="F213" s="240"/>
      <c r="G213" s="240"/>
      <c r="H213" s="241"/>
      <c r="I213" s="301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ht="14.25" customHeight="1">
      <c r="A214" s="302">
        <f t="shared" si="4"/>
        <v>46386</v>
      </c>
      <c r="B214" s="241">
        <f t="shared" si="1"/>
        <v>2026</v>
      </c>
      <c r="C214" s="241">
        <f t="shared" si="2"/>
        <v>12</v>
      </c>
      <c r="D214" s="301" t="str">
        <f t="shared" si="3"/>
        <v>Wednesday</v>
      </c>
      <c r="E214" s="240"/>
      <c r="F214" s="240"/>
      <c r="G214" s="240"/>
      <c r="H214" s="241"/>
      <c r="I214" s="301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ht="14.25" customHeight="1">
      <c r="A215" s="302">
        <f t="shared" si="4"/>
        <v>46387</v>
      </c>
      <c r="B215" s="241">
        <f t="shared" si="1"/>
        <v>2026</v>
      </c>
      <c r="C215" s="241">
        <f t="shared" si="2"/>
        <v>12</v>
      </c>
      <c r="D215" s="301" t="str">
        <f t="shared" si="3"/>
        <v>Thursday</v>
      </c>
      <c r="E215" s="240"/>
      <c r="F215" s="240"/>
      <c r="G215" s="240"/>
      <c r="H215" s="241"/>
      <c r="I215" s="301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ht="14.25" customHeight="1">
      <c r="A216" s="302">
        <f t="shared" si="4"/>
        <v>46388</v>
      </c>
      <c r="B216" s="241">
        <f t="shared" si="1"/>
        <v>2027</v>
      </c>
      <c r="C216" s="241">
        <f t="shared" si="2"/>
        <v>1</v>
      </c>
      <c r="D216" s="301" t="str">
        <f t="shared" si="3"/>
        <v>Friday</v>
      </c>
      <c r="E216" s="240"/>
      <c r="F216" s="240"/>
      <c r="G216" s="240"/>
      <c r="H216" s="241"/>
      <c r="I216" s="301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ht="14.25" customHeight="1">
      <c r="A217" s="302">
        <f t="shared" si="4"/>
        <v>46389</v>
      </c>
      <c r="B217" s="241">
        <f t="shared" si="1"/>
        <v>2027</v>
      </c>
      <c r="C217" s="241">
        <f t="shared" si="2"/>
        <v>1</v>
      </c>
      <c r="D217" s="301" t="str">
        <f t="shared" si="3"/>
        <v>Saturday</v>
      </c>
      <c r="E217" s="240"/>
      <c r="F217" s="240"/>
      <c r="G217" s="240"/>
      <c r="H217" s="241"/>
      <c r="I217" s="301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ht="14.25" customHeight="1">
      <c r="A218" s="302">
        <f t="shared" si="4"/>
        <v>46390</v>
      </c>
      <c r="B218" s="241">
        <f t="shared" si="1"/>
        <v>2027</v>
      </c>
      <c r="C218" s="241">
        <f t="shared" si="2"/>
        <v>1</v>
      </c>
      <c r="D218" s="301" t="str">
        <f t="shared" si="3"/>
        <v>Sunday</v>
      </c>
      <c r="E218" s="240"/>
      <c r="F218" s="240"/>
      <c r="G218" s="240"/>
      <c r="H218" s="241"/>
      <c r="I218" s="301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ht="14.25" customHeight="1">
      <c r="A219" s="302">
        <f t="shared" si="4"/>
        <v>46391</v>
      </c>
      <c r="B219" s="241">
        <f t="shared" si="1"/>
        <v>2027</v>
      </c>
      <c r="C219" s="241">
        <f t="shared" si="2"/>
        <v>1</v>
      </c>
      <c r="D219" s="301" t="str">
        <f t="shared" si="3"/>
        <v>Monday</v>
      </c>
      <c r="E219" s="240"/>
      <c r="F219" s="240"/>
      <c r="G219" s="240"/>
      <c r="H219" s="241"/>
      <c r="I219" s="301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ht="14.25" customHeight="1">
      <c r="A220" s="302">
        <f t="shared" si="4"/>
        <v>46392</v>
      </c>
      <c r="B220" s="241">
        <f t="shared" si="1"/>
        <v>2027</v>
      </c>
      <c r="C220" s="241">
        <f t="shared" si="2"/>
        <v>1</v>
      </c>
      <c r="D220" s="301" t="str">
        <f t="shared" si="3"/>
        <v>Tuesday</v>
      </c>
      <c r="E220" s="240"/>
      <c r="F220" s="240"/>
      <c r="G220" s="240"/>
      <c r="H220" s="241"/>
      <c r="I220" s="301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ht="14.25" customHeight="1">
      <c r="A221" s="302">
        <f t="shared" si="4"/>
        <v>46393</v>
      </c>
      <c r="B221" s="241">
        <f t="shared" si="1"/>
        <v>2027</v>
      </c>
      <c r="C221" s="241">
        <f t="shared" si="2"/>
        <v>1</v>
      </c>
      <c r="D221" s="301" t="str">
        <f t="shared" si="3"/>
        <v>Wednesday</v>
      </c>
      <c r="E221" s="240"/>
      <c r="F221" s="240"/>
      <c r="G221" s="240"/>
      <c r="H221" s="241"/>
      <c r="I221" s="301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ht="14.25" customHeight="1">
      <c r="A222" s="302">
        <f t="shared" si="4"/>
        <v>46394</v>
      </c>
      <c r="B222" s="241">
        <f t="shared" si="1"/>
        <v>2027</v>
      </c>
      <c r="C222" s="241">
        <f t="shared" si="2"/>
        <v>1</v>
      </c>
      <c r="D222" s="301" t="str">
        <f t="shared" si="3"/>
        <v>Thursday</v>
      </c>
      <c r="E222" s="240"/>
      <c r="F222" s="240"/>
      <c r="G222" s="240"/>
      <c r="H222" s="241"/>
      <c r="I222" s="301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ht="14.25" customHeight="1">
      <c r="A223" s="302">
        <f t="shared" si="4"/>
        <v>46395</v>
      </c>
      <c r="B223" s="241">
        <f t="shared" si="1"/>
        <v>2027</v>
      </c>
      <c r="C223" s="241">
        <f t="shared" si="2"/>
        <v>1</v>
      </c>
      <c r="D223" s="301" t="str">
        <f t="shared" si="3"/>
        <v>Friday</v>
      </c>
      <c r="E223" s="240"/>
      <c r="F223" s="240"/>
      <c r="G223" s="240"/>
      <c r="H223" s="241"/>
      <c r="I223" s="301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ht="14.25" customHeight="1">
      <c r="A224" s="302">
        <f t="shared" si="4"/>
        <v>46396</v>
      </c>
      <c r="B224" s="241">
        <f t="shared" si="1"/>
        <v>2027</v>
      </c>
      <c r="C224" s="241">
        <f t="shared" si="2"/>
        <v>1</v>
      </c>
      <c r="D224" s="301" t="str">
        <f t="shared" si="3"/>
        <v>Saturday</v>
      </c>
      <c r="E224" s="240"/>
      <c r="F224" s="240"/>
      <c r="G224" s="240"/>
      <c r="H224" s="241"/>
      <c r="I224" s="301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ht="14.25" customHeight="1">
      <c r="A225" s="302">
        <f t="shared" si="4"/>
        <v>46397</v>
      </c>
      <c r="B225" s="241">
        <f t="shared" si="1"/>
        <v>2027</v>
      </c>
      <c r="C225" s="241">
        <f t="shared" si="2"/>
        <v>1</v>
      </c>
      <c r="D225" s="301" t="str">
        <f t="shared" si="3"/>
        <v>Sunday</v>
      </c>
      <c r="E225" s="240"/>
      <c r="F225" s="240"/>
      <c r="G225" s="240"/>
      <c r="H225" s="241"/>
      <c r="I225" s="301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ht="14.25" customHeight="1">
      <c r="A226" s="302">
        <f t="shared" si="4"/>
        <v>46398</v>
      </c>
      <c r="B226" s="241">
        <f t="shared" si="1"/>
        <v>2027</v>
      </c>
      <c r="C226" s="241">
        <f t="shared" si="2"/>
        <v>1</v>
      </c>
      <c r="D226" s="301" t="str">
        <f t="shared" si="3"/>
        <v>Monday</v>
      </c>
      <c r="E226" s="240"/>
      <c r="F226" s="240"/>
      <c r="G226" s="240"/>
      <c r="H226" s="241"/>
      <c r="I226" s="301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ht="14.25" customHeight="1">
      <c r="A227" s="302">
        <f t="shared" si="4"/>
        <v>46399</v>
      </c>
      <c r="B227" s="241">
        <f t="shared" si="1"/>
        <v>2027</v>
      </c>
      <c r="C227" s="241">
        <f t="shared" si="2"/>
        <v>1</v>
      </c>
      <c r="D227" s="301" t="str">
        <f t="shared" si="3"/>
        <v>Tuesday</v>
      </c>
      <c r="E227" s="240"/>
      <c r="F227" s="240"/>
      <c r="G227" s="240"/>
      <c r="H227" s="241"/>
      <c r="I227" s="301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ht="14.25" customHeight="1">
      <c r="A228" s="302">
        <f t="shared" si="4"/>
        <v>46400</v>
      </c>
      <c r="B228" s="241">
        <f t="shared" si="1"/>
        <v>2027</v>
      </c>
      <c r="C228" s="241">
        <f t="shared" si="2"/>
        <v>1</v>
      </c>
      <c r="D228" s="301" t="str">
        <f t="shared" si="3"/>
        <v>Wednesday</v>
      </c>
      <c r="E228" s="240"/>
      <c r="F228" s="240"/>
      <c r="G228" s="240"/>
      <c r="H228" s="241"/>
      <c r="I228" s="301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ht="14.25" customHeight="1">
      <c r="A229" s="302">
        <f t="shared" si="4"/>
        <v>46401</v>
      </c>
      <c r="B229" s="241">
        <f t="shared" si="1"/>
        <v>2027</v>
      </c>
      <c r="C229" s="241">
        <f t="shared" si="2"/>
        <v>1</v>
      </c>
      <c r="D229" s="301" t="str">
        <f t="shared" si="3"/>
        <v>Thursday</v>
      </c>
      <c r="E229" s="240"/>
      <c r="F229" s="240"/>
      <c r="G229" s="240"/>
      <c r="H229" s="241"/>
      <c r="I229" s="301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ht="14.25" customHeight="1">
      <c r="A230" s="302">
        <f t="shared" si="4"/>
        <v>46402</v>
      </c>
      <c r="B230" s="241">
        <f t="shared" si="1"/>
        <v>2027</v>
      </c>
      <c r="C230" s="241">
        <f t="shared" si="2"/>
        <v>1</v>
      </c>
      <c r="D230" s="301" t="str">
        <f t="shared" si="3"/>
        <v>Friday</v>
      </c>
      <c r="E230" s="240"/>
      <c r="F230" s="240"/>
      <c r="G230" s="240"/>
      <c r="H230" s="241"/>
      <c r="I230" s="301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ht="14.25" customHeight="1">
      <c r="A231" s="302">
        <f t="shared" si="4"/>
        <v>46403</v>
      </c>
      <c r="B231" s="241">
        <f t="shared" si="1"/>
        <v>2027</v>
      </c>
      <c r="C231" s="241">
        <f t="shared" si="2"/>
        <v>1</v>
      </c>
      <c r="D231" s="301" t="str">
        <f t="shared" si="3"/>
        <v>Saturday</v>
      </c>
      <c r="E231" s="240"/>
      <c r="F231" s="240"/>
      <c r="G231" s="240"/>
      <c r="H231" s="241"/>
      <c r="I231" s="301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ht="14.25" customHeight="1">
      <c r="A232" s="302">
        <f t="shared" si="4"/>
        <v>46404</v>
      </c>
      <c r="B232" s="241">
        <f t="shared" si="1"/>
        <v>2027</v>
      </c>
      <c r="C232" s="241">
        <f t="shared" si="2"/>
        <v>1</v>
      </c>
      <c r="D232" s="301" t="str">
        <f t="shared" si="3"/>
        <v>Sunday</v>
      </c>
      <c r="E232" s="240"/>
      <c r="F232" s="240"/>
      <c r="G232" s="240"/>
      <c r="H232" s="241"/>
      <c r="I232" s="301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ht="14.25" customHeight="1">
      <c r="A233" s="302">
        <f t="shared" si="4"/>
        <v>46405</v>
      </c>
      <c r="B233" s="241">
        <f t="shared" si="1"/>
        <v>2027</v>
      </c>
      <c r="C233" s="241">
        <f t="shared" si="2"/>
        <v>1</v>
      </c>
      <c r="D233" s="301" t="str">
        <f t="shared" si="3"/>
        <v>Monday</v>
      </c>
      <c r="E233" s="240"/>
      <c r="F233" s="240"/>
      <c r="G233" s="240"/>
      <c r="H233" s="241"/>
      <c r="I233" s="301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ht="14.25" customHeight="1">
      <c r="A234" s="302">
        <f t="shared" si="4"/>
        <v>46406</v>
      </c>
      <c r="B234" s="241">
        <f t="shared" si="1"/>
        <v>2027</v>
      </c>
      <c r="C234" s="241">
        <f t="shared" si="2"/>
        <v>1</v>
      </c>
      <c r="D234" s="301" t="str">
        <f t="shared" si="3"/>
        <v>Tuesday</v>
      </c>
      <c r="E234" s="240"/>
      <c r="F234" s="240"/>
      <c r="G234" s="240"/>
      <c r="H234" s="241"/>
      <c r="I234" s="301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ht="14.25" customHeight="1">
      <c r="A235" s="302">
        <f t="shared" si="4"/>
        <v>46407</v>
      </c>
      <c r="B235" s="241">
        <f t="shared" si="1"/>
        <v>2027</v>
      </c>
      <c r="C235" s="241">
        <f t="shared" si="2"/>
        <v>1</v>
      </c>
      <c r="D235" s="301" t="str">
        <f t="shared" si="3"/>
        <v>Wednesday</v>
      </c>
      <c r="E235" s="240"/>
      <c r="F235" s="240"/>
      <c r="G235" s="240"/>
      <c r="H235" s="241"/>
      <c r="I235" s="301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ht="14.25" customHeight="1">
      <c r="A236" s="302">
        <f t="shared" si="4"/>
        <v>46408</v>
      </c>
      <c r="B236" s="241">
        <f t="shared" si="1"/>
        <v>2027</v>
      </c>
      <c r="C236" s="241">
        <f t="shared" si="2"/>
        <v>1</v>
      </c>
      <c r="D236" s="301" t="str">
        <f t="shared" si="3"/>
        <v>Thursday</v>
      </c>
      <c r="E236" s="240"/>
      <c r="F236" s="240"/>
      <c r="G236" s="240"/>
      <c r="H236" s="241"/>
      <c r="I236" s="301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ht="14.25" customHeight="1">
      <c r="A237" s="302">
        <f t="shared" si="4"/>
        <v>46409</v>
      </c>
      <c r="B237" s="241">
        <f t="shared" si="1"/>
        <v>2027</v>
      </c>
      <c r="C237" s="241">
        <f t="shared" si="2"/>
        <v>1</v>
      </c>
      <c r="D237" s="301" t="str">
        <f t="shared" si="3"/>
        <v>Friday</v>
      </c>
      <c r="E237" s="240"/>
      <c r="F237" s="240"/>
      <c r="G237" s="240"/>
      <c r="H237" s="241"/>
      <c r="I237" s="301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ht="14.25" customHeight="1">
      <c r="A238" s="302">
        <f t="shared" si="4"/>
        <v>46410</v>
      </c>
      <c r="B238" s="241">
        <f t="shared" si="1"/>
        <v>2027</v>
      </c>
      <c r="C238" s="241">
        <f t="shared" si="2"/>
        <v>1</v>
      </c>
      <c r="D238" s="301" t="str">
        <f t="shared" si="3"/>
        <v>Saturday</v>
      </c>
      <c r="E238" s="240"/>
      <c r="F238" s="240"/>
      <c r="G238" s="240"/>
      <c r="H238" s="241"/>
      <c r="I238" s="301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ht="14.25" customHeight="1">
      <c r="A239" s="302">
        <f t="shared" si="4"/>
        <v>46411</v>
      </c>
      <c r="B239" s="241">
        <f t="shared" si="1"/>
        <v>2027</v>
      </c>
      <c r="C239" s="241">
        <f t="shared" si="2"/>
        <v>1</v>
      </c>
      <c r="D239" s="301" t="str">
        <f t="shared" si="3"/>
        <v>Sunday</v>
      </c>
      <c r="E239" s="240"/>
      <c r="F239" s="240"/>
      <c r="G239" s="240"/>
      <c r="H239" s="241"/>
      <c r="I239" s="301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ht="14.25" customHeight="1">
      <c r="A240" s="302">
        <f t="shared" si="4"/>
        <v>46412</v>
      </c>
      <c r="B240" s="241">
        <f t="shared" si="1"/>
        <v>2027</v>
      </c>
      <c r="C240" s="241">
        <f t="shared" si="2"/>
        <v>1</v>
      </c>
      <c r="D240" s="301" t="str">
        <f t="shared" si="3"/>
        <v>Monday</v>
      </c>
      <c r="E240" s="240"/>
      <c r="F240" s="240"/>
      <c r="G240" s="240"/>
      <c r="H240" s="241"/>
      <c r="I240" s="301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ht="14.25" customHeight="1">
      <c r="A241" s="302">
        <f t="shared" si="4"/>
        <v>46413</v>
      </c>
      <c r="B241" s="241">
        <f t="shared" si="1"/>
        <v>2027</v>
      </c>
      <c r="C241" s="241">
        <f t="shared" si="2"/>
        <v>1</v>
      </c>
      <c r="D241" s="301" t="str">
        <f t="shared" si="3"/>
        <v>Tuesday</v>
      </c>
      <c r="E241" s="240"/>
      <c r="F241" s="240"/>
      <c r="G241" s="240"/>
      <c r="H241" s="241"/>
      <c r="I241" s="301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ht="14.25" customHeight="1">
      <c r="A242" s="302">
        <f t="shared" si="4"/>
        <v>46414</v>
      </c>
      <c r="B242" s="241">
        <f t="shared" si="1"/>
        <v>2027</v>
      </c>
      <c r="C242" s="241">
        <f t="shared" si="2"/>
        <v>1</v>
      </c>
      <c r="D242" s="301" t="str">
        <f t="shared" si="3"/>
        <v>Wednesday</v>
      </c>
      <c r="E242" s="240"/>
      <c r="F242" s="240"/>
      <c r="G242" s="240"/>
      <c r="H242" s="241"/>
      <c r="I242" s="301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ht="14.25" customHeight="1">
      <c r="A243" s="302">
        <f t="shared" si="4"/>
        <v>46415</v>
      </c>
      <c r="B243" s="241">
        <f t="shared" si="1"/>
        <v>2027</v>
      </c>
      <c r="C243" s="241">
        <f t="shared" si="2"/>
        <v>1</v>
      </c>
      <c r="D243" s="301" t="str">
        <f t="shared" si="3"/>
        <v>Thursday</v>
      </c>
      <c r="E243" s="240"/>
      <c r="F243" s="240"/>
      <c r="G243" s="240"/>
      <c r="H243" s="241"/>
      <c r="I243" s="301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ht="14.25" customHeight="1">
      <c r="A244" s="302">
        <f t="shared" si="4"/>
        <v>46416</v>
      </c>
      <c r="B244" s="241">
        <f t="shared" si="1"/>
        <v>2027</v>
      </c>
      <c r="C244" s="241">
        <f t="shared" si="2"/>
        <v>1</v>
      </c>
      <c r="D244" s="301" t="str">
        <f t="shared" si="3"/>
        <v>Friday</v>
      </c>
      <c r="E244" s="240"/>
      <c r="F244" s="240"/>
      <c r="G244" s="240"/>
      <c r="H244" s="241"/>
      <c r="I244" s="301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ht="14.25" customHeight="1">
      <c r="A245" s="302">
        <f t="shared" si="4"/>
        <v>46417</v>
      </c>
      <c r="B245" s="241">
        <f t="shared" si="1"/>
        <v>2027</v>
      </c>
      <c r="C245" s="241">
        <f t="shared" si="2"/>
        <v>1</v>
      </c>
      <c r="D245" s="301" t="str">
        <f t="shared" si="3"/>
        <v>Saturday</v>
      </c>
      <c r="E245" s="240"/>
      <c r="F245" s="240"/>
      <c r="G245" s="240"/>
      <c r="H245" s="241"/>
      <c r="I245" s="301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ht="14.25" customHeight="1">
      <c r="A246" s="302">
        <f t="shared" si="4"/>
        <v>46418</v>
      </c>
      <c r="B246" s="241">
        <f t="shared" si="1"/>
        <v>2027</v>
      </c>
      <c r="C246" s="241">
        <f t="shared" si="2"/>
        <v>1</v>
      </c>
      <c r="D246" s="301" t="str">
        <f t="shared" si="3"/>
        <v>Sunday</v>
      </c>
      <c r="E246" s="240"/>
      <c r="F246" s="240"/>
      <c r="G246" s="240"/>
      <c r="H246" s="241"/>
      <c r="I246" s="301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ht="14.25" customHeight="1">
      <c r="A247" s="302">
        <f t="shared" si="4"/>
        <v>46419</v>
      </c>
      <c r="B247" s="241">
        <f t="shared" si="1"/>
        <v>2027</v>
      </c>
      <c r="C247" s="241">
        <f t="shared" si="2"/>
        <v>2</v>
      </c>
      <c r="D247" s="301" t="str">
        <f t="shared" si="3"/>
        <v>Monday</v>
      </c>
      <c r="E247" s="240"/>
      <c r="F247" s="240"/>
      <c r="G247" s="240"/>
      <c r="H247" s="241"/>
      <c r="I247" s="301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ht="14.25" customHeight="1">
      <c r="A248" s="302">
        <f t="shared" si="4"/>
        <v>46420</v>
      </c>
      <c r="B248" s="241">
        <f t="shared" si="1"/>
        <v>2027</v>
      </c>
      <c r="C248" s="241">
        <f t="shared" si="2"/>
        <v>2</v>
      </c>
      <c r="D248" s="301" t="str">
        <f t="shared" si="3"/>
        <v>Tuesday</v>
      </c>
      <c r="E248" s="240"/>
      <c r="F248" s="240"/>
      <c r="G248" s="240"/>
      <c r="H248" s="241"/>
      <c r="I248" s="301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ht="14.25" customHeight="1">
      <c r="A249" s="302">
        <f t="shared" si="4"/>
        <v>46421</v>
      </c>
      <c r="B249" s="241">
        <f t="shared" si="1"/>
        <v>2027</v>
      </c>
      <c r="C249" s="241">
        <f t="shared" si="2"/>
        <v>2</v>
      </c>
      <c r="D249" s="301" t="str">
        <f t="shared" si="3"/>
        <v>Wednesday</v>
      </c>
      <c r="E249" s="240"/>
      <c r="F249" s="240"/>
      <c r="G249" s="240"/>
      <c r="H249" s="241"/>
      <c r="I249" s="301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ht="14.25" customHeight="1">
      <c r="A250" s="302">
        <f t="shared" si="4"/>
        <v>46422</v>
      </c>
      <c r="B250" s="241">
        <f t="shared" si="1"/>
        <v>2027</v>
      </c>
      <c r="C250" s="241">
        <f t="shared" si="2"/>
        <v>2</v>
      </c>
      <c r="D250" s="301" t="str">
        <f t="shared" si="3"/>
        <v>Thursday</v>
      </c>
      <c r="E250" s="240"/>
      <c r="F250" s="240"/>
      <c r="G250" s="240"/>
      <c r="H250" s="241"/>
      <c r="I250" s="301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ht="14.25" customHeight="1">
      <c r="A251" s="302">
        <f t="shared" si="4"/>
        <v>46423</v>
      </c>
      <c r="B251" s="241">
        <f t="shared" si="1"/>
        <v>2027</v>
      </c>
      <c r="C251" s="241">
        <f t="shared" si="2"/>
        <v>2</v>
      </c>
      <c r="D251" s="301" t="str">
        <f t="shared" si="3"/>
        <v>Friday</v>
      </c>
      <c r="E251" s="240"/>
      <c r="F251" s="240"/>
      <c r="G251" s="240"/>
      <c r="H251" s="241"/>
      <c r="I251" s="301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ht="14.25" customHeight="1">
      <c r="A252" s="302">
        <f t="shared" si="4"/>
        <v>46424</v>
      </c>
      <c r="B252" s="241">
        <f t="shared" si="1"/>
        <v>2027</v>
      </c>
      <c r="C252" s="241">
        <f t="shared" si="2"/>
        <v>2</v>
      </c>
      <c r="D252" s="301" t="str">
        <f t="shared" si="3"/>
        <v>Saturday</v>
      </c>
      <c r="E252" s="240"/>
      <c r="F252" s="240"/>
      <c r="G252" s="240"/>
      <c r="H252" s="241"/>
      <c r="I252" s="301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ht="14.25" customHeight="1">
      <c r="A253" s="302">
        <f t="shared" si="4"/>
        <v>46425</v>
      </c>
      <c r="B253" s="241">
        <f t="shared" si="1"/>
        <v>2027</v>
      </c>
      <c r="C253" s="241">
        <f t="shared" si="2"/>
        <v>2</v>
      </c>
      <c r="D253" s="301" t="str">
        <f t="shared" si="3"/>
        <v>Sunday</v>
      </c>
      <c r="E253" s="240"/>
      <c r="F253" s="240"/>
      <c r="G253" s="240"/>
      <c r="H253" s="241"/>
      <c r="I253" s="301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ht="14.25" customHeight="1">
      <c r="A254" s="302">
        <f t="shared" si="4"/>
        <v>46426</v>
      </c>
      <c r="B254" s="241">
        <f t="shared" si="1"/>
        <v>2027</v>
      </c>
      <c r="C254" s="241">
        <f t="shared" si="2"/>
        <v>2</v>
      </c>
      <c r="D254" s="301" t="str">
        <f t="shared" si="3"/>
        <v>Monday</v>
      </c>
      <c r="E254" s="240"/>
      <c r="F254" s="240"/>
      <c r="G254" s="240"/>
      <c r="H254" s="241"/>
      <c r="I254" s="301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ht="14.25" customHeight="1">
      <c r="A255" s="302">
        <f t="shared" si="4"/>
        <v>46427</v>
      </c>
      <c r="B255" s="241">
        <f t="shared" si="1"/>
        <v>2027</v>
      </c>
      <c r="C255" s="241">
        <f t="shared" si="2"/>
        <v>2</v>
      </c>
      <c r="D255" s="301" t="str">
        <f t="shared" si="3"/>
        <v>Tuesday</v>
      </c>
      <c r="E255" s="240"/>
      <c r="F255" s="240"/>
      <c r="G255" s="240"/>
      <c r="H255" s="241"/>
      <c r="I255" s="301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ht="14.25" customHeight="1">
      <c r="A256" s="302">
        <f t="shared" si="4"/>
        <v>46428</v>
      </c>
      <c r="B256" s="241">
        <f t="shared" si="1"/>
        <v>2027</v>
      </c>
      <c r="C256" s="241">
        <f t="shared" si="2"/>
        <v>2</v>
      </c>
      <c r="D256" s="301" t="str">
        <f t="shared" si="3"/>
        <v>Wednesday</v>
      </c>
      <c r="E256" s="240"/>
      <c r="F256" s="240"/>
      <c r="G256" s="240"/>
      <c r="H256" s="241"/>
      <c r="I256" s="301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ht="14.25" customHeight="1">
      <c r="A257" s="302">
        <f t="shared" si="4"/>
        <v>46429</v>
      </c>
      <c r="B257" s="241">
        <f t="shared" si="1"/>
        <v>2027</v>
      </c>
      <c r="C257" s="241">
        <f t="shared" si="2"/>
        <v>2</v>
      </c>
      <c r="D257" s="301" t="str">
        <f t="shared" si="3"/>
        <v>Thursday</v>
      </c>
      <c r="E257" s="240"/>
      <c r="F257" s="240"/>
      <c r="G257" s="240"/>
      <c r="H257" s="241"/>
      <c r="I257" s="301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ht="14.25" customHeight="1">
      <c r="A258" s="302">
        <f t="shared" si="4"/>
        <v>46430</v>
      </c>
      <c r="B258" s="241">
        <f t="shared" si="1"/>
        <v>2027</v>
      </c>
      <c r="C258" s="241">
        <f t="shared" si="2"/>
        <v>2</v>
      </c>
      <c r="D258" s="301" t="str">
        <f t="shared" si="3"/>
        <v>Friday</v>
      </c>
      <c r="E258" s="240"/>
      <c r="F258" s="240"/>
      <c r="G258" s="240"/>
      <c r="H258" s="241"/>
      <c r="I258" s="301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ht="14.25" customHeight="1">
      <c r="A259" s="302">
        <f t="shared" si="4"/>
        <v>46431</v>
      </c>
      <c r="B259" s="241">
        <f t="shared" si="1"/>
        <v>2027</v>
      </c>
      <c r="C259" s="241">
        <f t="shared" si="2"/>
        <v>2</v>
      </c>
      <c r="D259" s="301" t="str">
        <f t="shared" si="3"/>
        <v>Saturday</v>
      </c>
      <c r="E259" s="240"/>
      <c r="F259" s="240"/>
      <c r="G259" s="240"/>
      <c r="H259" s="241"/>
      <c r="I259" s="301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ht="14.25" customHeight="1">
      <c r="A260" s="302">
        <f t="shared" si="4"/>
        <v>46432</v>
      </c>
      <c r="B260" s="241">
        <f t="shared" si="1"/>
        <v>2027</v>
      </c>
      <c r="C260" s="241">
        <f t="shared" si="2"/>
        <v>2</v>
      </c>
      <c r="D260" s="301" t="str">
        <f t="shared" si="3"/>
        <v>Sunday</v>
      </c>
      <c r="E260" s="240"/>
      <c r="F260" s="240"/>
      <c r="G260" s="240"/>
      <c r="H260" s="241"/>
      <c r="I260" s="301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ht="14.25" customHeight="1">
      <c r="A261" s="302">
        <f t="shared" si="4"/>
        <v>46433</v>
      </c>
      <c r="B261" s="241">
        <f t="shared" si="1"/>
        <v>2027</v>
      </c>
      <c r="C261" s="241">
        <f t="shared" si="2"/>
        <v>2</v>
      </c>
      <c r="D261" s="301" t="str">
        <f t="shared" si="3"/>
        <v>Monday</v>
      </c>
      <c r="E261" s="240"/>
      <c r="F261" s="240"/>
      <c r="G261" s="240"/>
      <c r="H261" s="241"/>
      <c r="I261" s="301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ht="14.25" customHeight="1">
      <c r="A262" s="302">
        <f t="shared" si="4"/>
        <v>46434</v>
      </c>
      <c r="B262" s="241">
        <f t="shared" si="1"/>
        <v>2027</v>
      </c>
      <c r="C262" s="241">
        <f t="shared" si="2"/>
        <v>2</v>
      </c>
      <c r="D262" s="301" t="str">
        <f t="shared" si="3"/>
        <v>Tuesday</v>
      </c>
      <c r="E262" s="240"/>
      <c r="F262" s="240"/>
      <c r="G262" s="240"/>
      <c r="H262" s="241"/>
      <c r="I262" s="301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ht="14.25" customHeight="1">
      <c r="A263" s="302">
        <f t="shared" si="4"/>
        <v>46435</v>
      </c>
      <c r="B263" s="241">
        <f t="shared" si="1"/>
        <v>2027</v>
      </c>
      <c r="C263" s="241">
        <f t="shared" si="2"/>
        <v>2</v>
      </c>
      <c r="D263" s="301" t="str">
        <f t="shared" si="3"/>
        <v>Wednesday</v>
      </c>
      <c r="E263" s="240"/>
      <c r="F263" s="240"/>
      <c r="G263" s="240"/>
      <c r="H263" s="241"/>
      <c r="I263" s="301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ht="14.25" customHeight="1">
      <c r="A264" s="302">
        <f t="shared" si="4"/>
        <v>46436</v>
      </c>
      <c r="B264" s="241">
        <f t="shared" si="1"/>
        <v>2027</v>
      </c>
      <c r="C264" s="241">
        <f t="shared" si="2"/>
        <v>2</v>
      </c>
      <c r="D264" s="301" t="str">
        <f t="shared" si="3"/>
        <v>Thursday</v>
      </c>
      <c r="E264" s="240"/>
      <c r="F264" s="240"/>
      <c r="G264" s="240"/>
      <c r="H264" s="241"/>
      <c r="I264" s="301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ht="14.25" customHeight="1">
      <c r="A265" s="302">
        <f t="shared" si="4"/>
        <v>46437</v>
      </c>
      <c r="B265" s="241">
        <f t="shared" si="1"/>
        <v>2027</v>
      </c>
      <c r="C265" s="241">
        <f t="shared" si="2"/>
        <v>2</v>
      </c>
      <c r="D265" s="301" t="str">
        <f t="shared" si="3"/>
        <v>Friday</v>
      </c>
      <c r="E265" s="240"/>
      <c r="F265" s="240"/>
      <c r="G265" s="240"/>
      <c r="H265" s="241"/>
      <c r="I265" s="301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ht="14.25" customHeight="1">
      <c r="A266" s="302">
        <f t="shared" si="4"/>
        <v>46438</v>
      </c>
      <c r="B266" s="241">
        <f t="shared" si="1"/>
        <v>2027</v>
      </c>
      <c r="C266" s="241">
        <f t="shared" si="2"/>
        <v>2</v>
      </c>
      <c r="D266" s="301" t="str">
        <f t="shared" si="3"/>
        <v>Saturday</v>
      </c>
      <c r="E266" s="240"/>
      <c r="F266" s="240"/>
      <c r="G266" s="240"/>
      <c r="H266" s="241"/>
      <c r="I266" s="301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ht="14.25" customHeight="1">
      <c r="A267" s="302">
        <f t="shared" si="4"/>
        <v>46439</v>
      </c>
      <c r="B267" s="241">
        <f t="shared" si="1"/>
        <v>2027</v>
      </c>
      <c r="C267" s="241">
        <f t="shared" si="2"/>
        <v>2</v>
      </c>
      <c r="D267" s="301" t="str">
        <f t="shared" si="3"/>
        <v>Sunday</v>
      </c>
      <c r="E267" s="240"/>
      <c r="F267" s="240"/>
      <c r="G267" s="240"/>
      <c r="H267" s="241"/>
      <c r="I267" s="301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ht="14.25" customHeight="1">
      <c r="A268" s="302">
        <f t="shared" si="4"/>
        <v>46440</v>
      </c>
      <c r="B268" s="241">
        <f t="shared" si="1"/>
        <v>2027</v>
      </c>
      <c r="C268" s="241">
        <f t="shared" si="2"/>
        <v>2</v>
      </c>
      <c r="D268" s="301" t="str">
        <f t="shared" si="3"/>
        <v>Monday</v>
      </c>
      <c r="E268" s="240"/>
      <c r="F268" s="240"/>
      <c r="G268" s="240"/>
      <c r="H268" s="241"/>
      <c r="I268" s="301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ht="14.25" customHeight="1">
      <c r="A269" s="302">
        <f t="shared" si="4"/>
        <v>46441</v>
      </c>
      <c r="B269" s="241">
        <f t="shared" si="1"/>
        <v>2027</v>
      </c>
      <c r="C269" s="241">
        <f t="shared" si="2"/>
        <v>2</v>
      </c>
      <c r="D269" s="301" t="str">
        <f t="shared" si="3"/>
        <v>Tuesday</v>
      </c>
      <c r="E269" s="240"/>
      <c r="F269" s="240"/>
      <c r="G269" s="240"/>
      <c r="H269" s="241"/>
      <c r="I269" s="301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ht="14.25" customHeight="1">
      <c r="A270" s="302">
        <f t="shared" si="4"/>
        <v>46442</v>
      </c>
      <c r="B270" s="241">
        <f t="shared" si="1"/>
        <v>2027</v>
      </c>
      <c r="C270" s="241">
        <f t="shared" si="2"/>
        <v>2</v>
      </c>
      <c r="D270" s="301" t="str">
        <f t="shared" si="3"/>
        <v>Wednesday</v>
      </c>
      <c r="E270" s="240"/>
      <c r="F270" s="240"/>
      <c r="G270" s="240"/>
      <c r="H270" s="241"/>
      <c r="I270" s="301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ht="14.25" customHeight="1">
      <c r="A271" s="302">
        <f t="shared" si="4"/>
        <v>46443</v>
      </c>
      <c r="B271" s="241">
        <f t="shared" si="1"/>
        <v>2027</v>
      </c>
      <c r="C271" s="241">
        <f t="shared" si="2"/>
        <v>2</v>
      </c>
      <c r="D271" s="301" t="str">
        <f t="shared" si="3"/>
        <v>Thursday</v>
      </c>
      <c r="E271" s="240"/>
      <c r="F271" s="240"/>
      <c r="G271" s="240"/>
      <c r="H271" s="241"/>
      <c r="I271" s="301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ht="14.25" customHeight="1">
      <c r="A272" s="302">
        <f t="shared" si="4"/>
        <v>46444</v>
      </c>
      <c r="B272" s="241">
        <f t="shared" si="1"/>
        <v>2027</v>
      </c>
      <c r="C272" s="241">
        <f t="shared" si="2"/>
        <v>2</v>
      </c>
      <c r="D272" s="301" t="str">
        <f t="shared" si="3"/>
        <v>Friday</v>
      </c>
      <c r="E272" s="240"/>
      <c r="F272" s="240"/>
      <c r="G272" s="240"/>
      <c r="H272" s="241"/>
      <c r="I272" s="301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ht="14.25" customHeight="1">
      <c r="A273" s="302">
        <f t="shared" si="4"/>
        <v>46445</v>
      </c>
      <c r="B273" s="241">
        <f t="shared" si="1"/>
        <v>2027</v>
      </c>
      <c r="C273" s="241">
        <f t="shared" si="2"/>
        <v>2</v>
      </c>
      <c r="D273" s="301" t="str">
        <f t="shared" si="3"/>
        <v>Saturday</v>
      </c>
      <c r="E273" s="240"/>
      <c r="F273" s="240"/>
      <c r="G273" s="240"/>
      <c r="H273" s="241"/>
      <c r="I273" s="301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ht="14.25" customHeight="1">
      <c r="A274" s="302">
        <f t="shared" si="4"/>
        <v>46446</v>
      </c>
      <c r="B274" s="241">
        <f t="shared" si="1"/>
        <v>2027</v>
      </c>
      <c r="C274" s="241">
        <f t="shared" si="2"/>
        <v>2</v>
      </c>
      <c r="D274" s="301" t="str">
        <f t="shared" si="3"/>
        <v>Sunday</v>
      </c>
      <c r="E274" s="240"/>
      <c r="F274" s="240"/>
      <c r="G274" s="240"/>
      <c r="H274" s="241"/>
      <c r="I274" s="301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ht="14.25" customHeight="1">
      <c r="A275" s="302">
        <f t="shared" si="4"/>
        <v>46447</v>
      </c>
      <c r="B275" s="241">
        <f t="shared" si="1"/>
        <v>2027</v>
      </c>
      <c r="C275" s="241">
        <f t="shared" si="2"/>
        <v>3</v>
      </c>
      <c r="D275" s="301" t="str">
        <f t="shared" si="3"/>
        <v>Monday</v>
      </c>
      <c r="E275" s="240"/>
      <c r="F275" s="240"/>
      <c r="G275" s="240"/>
      <c r="H275" s="241"/>
      <c r="I275" s="301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ht="14.25" customHeight="1">
      <c r="A276" s="302">
        <f t="shared" si="4"/>
        <v>46448</v>
      </c>
      <c r="B276" s="241">
        <f t="shared" si="1"/>
        <v>2027</v>
      </c>
      <c r="C276" s="241">
        <f t="shared" si="2"/>
        <v>3</v>
      </c>
      <c r="D276" s="301" t="str">
        <f t="shared" si="3"/>
        <v>Tuesday</v>
      </c>
      <c r="E276" s="240"/>
      <c r="F276" s="240"/>
      <c r="G276" s="240"/>
      <c r="H276" s="241"/>
      <c r="I276" s="301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ht="14.25" customHeight="1">
      <c r="A277" s="302">
        <f t="shared" si="4"/>
        <v>46449</v>
      </c>
      <c r="B277" s="241">
        <f t="shared" si="1"/>
        <v>2027</v>
      </c>
      <c r="C277" s="241">
        <f t="shared" si="2"/>
        <v>3</v>
      </c>
      <c r="D277" s="301" t="str">
        <f t="shared" si="3"/>
        <v>Wednesday</v>
      </c>
      <c r="E277" s="240"/>
      <c r="F277" s="240"/>
      <c r="G277" s="240"/>
      <c r="H277" s="241"/>
      <c r="I277" s="301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ht="14.25" customHeight="1">
      <c r="A278" s="302">
        <f t="shared" si="4"/>
        <v>46450</v>
      </c>
      <c r="B278" s="241">
        <f t="shared" si="1"/>
        <v>2027</v>
      </c>
      <c r="C278" s="241">
        <f t="shared" si="2"/>
        <v>3</v>
      </c>
      <c r="D278" s="301" t="str">
        <f t="shared" si="3"/>
        <v>Thursday</v>
      </c>
      <c r="E278" s="240"/>
      <c r="F278" s="240"/>
      <c r="G278" s="240"/>
      <c r="H278" s="241"/>
      <c r="I278" s="301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ht="14.25" customHeight="1">
      <c r="A279" s="302">
        <f t="shared" si="4"/>
        <v>46451</v>
      </c>
      <c r="B279" s="241">
        <f t="shared" si="1"/>
        <v>2027</v>
      </c>
      <c r="C279" s="241">
        <f t="shared" si="2"/>
        <v>3</v>
      </c>
      <c r="D279" s="301" t="str">
        <f t="shared" si="3"/>
        <v>Friday</v>
      </c>
      <c r="E279" s="240"/>
      <c r="F279" s="240"/>
      <c r="G279" s="240"/>
      <c r="H279" s="241"/>
      <c r="I279" s="301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ht="14.25" customHeight="1">
      <c r="A280" s="302">
        <f t="shared" si="4"/>
        <v>46452</v>
      </c>
      <c r="B280" s="241">
        <f t="shared" si="1"/>
        <v>2027</v>
      </c>
      <c r="C280" s="241">
        <f t="shared" si="2"/>
        <v>3</v>
      </c>
      <c r="D280" s="301" t="str">
        <f t="shared" si="3"/>
        <v>Saturday</v>
      </c>
      <c r="E280" s="240"/>
      <c r="F280" s="240"/>
      <c r="G280" s="240"/>
      <c r="H280" s="241"/>
      <c r="I280" s="301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ht="14.25" customHeight="1">
      <c r="A281" s="302">
        <f t="shared" si="4"/>
        <v>46453</v>
      </c>
      <c r="B281" s="241">
        <f t="shared" si="1"/>
        <v>2027</v>
      </c>
      <c r="C281" s="241">
        <f t="shared" si="2"/>
        <v>3</v>
      </c>
      <c r="D281" s="301" t="str">
        <f t="shared" si="3"/>
        <v>Sunday</v>
      </c>
      <c r="E281" s="240"/>
      <c r="F281" s="240"/>
      <c r="G281" s="240"/>
      <c r="H281" s="241"/>
      <c r="I281" s="301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ht="14.25" customHeight="1">
      <c r="A282" s="302">
        <f t="shared" si="4"/>
        <v>46454</v>
      </c>
      <c r="B282" s="241">
        <f t="shared" si="1"/>
        <v>2027</v>
      </c>
      <c r="C282" s="241">
        <f t="shared" si="2"/>
        <v>3</v>
      </c>
      <c r="D282" s="301" t="str">
        <f t="shared" si="3"/>
        <v>Monday</v>
      </c>
      <c r="E282" s="240"/>
      <c r="F282" s="240"/>
      <c r="G282" s="240"/>
      <c r="H282" s="241"/>
      <c r="I282" s="301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ht="14.25" customHeight="1">
      <c r="A283" s="302">
        <f t="shared" si="4"/>
        <v>46455</v>
      </c>
      <c r="B283" s="241">
        <f t="shared" si="1"/>
        <v>2027</v>
      </c>
      <c r="C283" s="241">
        <f t="shared" si="2"/>
        <v>3</v>
      </c>
      <c r="D283" s="301" t="str">
        <f t="shared" si="3"/>
        <v>Tuesday</v>
      </c>
      <c r="E283" s="240"/>
      <c r="F283" s="240"/>
      <c r="G283" s="240"/>
      <c r="H283" s="241"/>
      <c r="I283" s="301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ht="14.25" customHeight="1">
      <c r="A284" s="302">
        <f t="shared" si="4"/>
        <v>46456</v>
      </c>
      <c r="B284" s="241">
        <f t="shared" si="1"/>
        <v>2027</v>
      </c>
      <c r="C284" s="241">
        <f t="shared" si="2"/>
        <v>3</v>
      </c>
      <c r="D284" s="301" t="str">
        <f t="shared" si="3"/>
        <v>Wednesday</v>
      </c>
      <c r="E284" s="240"/>
      <c r="F284" s="240"/>
      <c r="G284" s="240"/>
      <c r="H284" s="241"/>
      <c r="I284" s="301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ht="14.25" customHeight="1">
      <c r="A285" s="302">
        <f t="shared" si="4"/>
        <v>46457</v>
      </c>
      <c r="B285" s="241">
        <f t="shared" si="1"/>
        <v>2027</v>
      </c>
      <c r="C285" s="241">
        <f t="shared" si="2"/>
        <v>3</v>
      </c>
      <c r="D285" s="301" t="str">
        <f t="shared" si="3"/>
        <v>Thursday</v>
      </c>
      <c r="E285" s="240"/>
      <c r="F285" s="240"/>
      <c r="G285" s="240"/>
      <c r="H285" s="241"/>
      <c r="I285" s="301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ht="14.25" customHeight="1">
      <c r="A286" s="302">
        <f t="shared" si="4"/>
        <v>46458</v>
      </c>
      <c r="B286" s="241">
        <f t="shared" si="1"/>
        <v>2027</v>
      </c>
      <c r="C286" s="241">
        <f t="shared" si="2"/>
        <v>3</v>
      </c>
      <c r="D286" s="301" t="str">
        <f t="shared" si="3"/>
        <v>Friday</v>
      </c>
      <c r="E286" s="240"/>
      <c r="F286" s="240"/>
      <c r="G286" s="240"/>
      <c r="H286" s="241"/>
      <c r="I286" s="301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ht="14.25" customHeight="1">
      <c r="A287" s="302">
        <f t="shared" si="4"/>
        <v>46459</v>
      </c>
      <c r="B287" s="241">
        <f t="shared" si="1"/>
        <v>2027</v>
      </c>
      <c r="C287" s="241">
        <f t="shared" si="2"/>
        <v>3</v>
      </c>
      <c r="D287" s="301" t="str">
        <f t="shared" si="3"/>
        <v>Saturday</v>
      </c>
      <c r="E287" s="240"/>
      <c r="F287" s="240"/>
      <c r="G287" s="240"/>
      <c r="H287" s="241"/>
      <c r="I287" s="301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ht="14.25" customHeight="1">
      <c r="A288" s="302">
        <f t="shared" si="4"/>
        <v>46460</v>
      </c>
      <c r="B288" s="241">
        <f t="shared" si="1"/>
        <v>2027</v>
      </c>
      <c r="C288" s="241">
        <f t="shared" si="2"/>
        <v>3</v>
      </c>
      <c r="D288" s="301" t="str">
        <f t="shared" si="3"/>
        <v>Sunday</v>
      </c>
      <c r="E288" s="240"/>
      <c r="F288" s="240"/>
      <c r="G288" s="240"/>
      <c r="H288" s="241"/>
      <c r="I288" s="301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ht="14.25" customHeight="1">
      <c r="A289" s="302">
        <f t="shared" si="4"/>
        <v>46461</v>
      </c>
      <c r="B289" s="241">
        <f t="shared" si="1"/>
        <v>2027</v>
      </c>
      <c r="C289" s="241">
        <f t="shared" si="2"/>
        <v>3</v>
      </c>
      <c r="D289" s="301" t="str">
        <f t="shared" si="3"/>
        <v>Monday</v>
      </c>
      <c r="E289" s="240"/>
      <c r="F289" s="240"/>
      <c r="G289" s="240"/>
      <c r="H289" s="241"/>
      <c r="I289" s="301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ht="14.25" customHeight="1">
      <c r="A290" s="302">
        <f t="shared" si="4"/>
        <v>46462</v>
      </c>
      <c r="B290" s="241">
        <f t="shared" si="1"/>
        <v>2027</v>
      </c>
      <c r="C290" s="241">
        <f t="shared" si="2"/>
        <v>3</v>
      </c>
      <c r="D290" s="301" t="str">
        <f t="shared" si="3"/>
        <v>Tuesday</v>
      </c>
      <c r="E290" s="240"/>
      <c r="F290" s="240"/>
      <c r="G290" s="240"/>
      <c r="H290" s="241"/>
      <c r="I290" s="301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ht="14.25" customHeight="1">
      <c r="A291" s="302">
        <f t="shared" si="4"/>
        <v>46463</v>
      </c>
      <c r="B291" s="241">
        <f t="shared" si="1"/>
        <v>2027</v>
      </c>
      <c r="C291" s="241">
        <f t="shared" si="2"/>
        <v>3</v>
      </c>
      <c r="D291" s="301" t="str">
        <f t="shared" si="3"/>
        <v>Wednesday</v>
      </c>
      <c r="E291" s="240"/>
      <c r="F291" s="240"/>
      <c r="G291" s="240"/>
      <c r="H291" s="241"/>
      <c r="I291" s="301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ht="14.25" customHeight="1">
      <c r="A292" s="302">
        <f t="shared" si="4"/>
        <v>46464</v>
      </c>
      <c r="B292" s="241">
        <f t="shared" si="1"/>
        <v>2027</v>
      </c>
      <c r="C292" s="241">
        <f t="shared" si="2"/>
        <v>3</v>
      </c>
      <c r="D292" s="301" t="str">
        <f t="shared" si="3"/>
        <v>Thursday</v>
      </c>
      <c r="E292" s="240"/>
      <c r="F292" s="240"/>
      <c r="G292" s="240"/>
      <c r="H292" s="241"/>
      <c r="I292" s="30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ht="14.25" customHeight="1">
      <c r="A293" s="302">
        <f t="shared" si="4"/>
        <v>46465</v>
      </c>
      <c r="B293" s="241">
        <f t="shared" si="1"/>
        <v>2027</v>
      </c>
      <c r="C293" s="241">
        <f t="shared" si="2"/>
        <v>3</v>
      </c>
      <c r="D293" s="301" t="str">
        <f t="shared" si="3"/>
        <v>Friday</v>
      </c>
      <c r="E293" s="240"/>
      <c r="F293" s="240"/>
      <c r="G293" s="240"/>
      <c r="H293" s="241"/>
      <c r="I293" s="301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ht="14.25" customHeight="1">
      <c r="A294" s="302">
        <f t="shared" si="4"/>
        <v>46466</v>
      </c>
      <c r="B294" s="241">
        <f t="shared" si="1"/>
        <v>2027</v>
      </c>
      <c r="C294" s="241">
        <f t="shared" si="2"/>
        <v>3</v>
      </c>
      <c r="D294" s="301" t="str">
        <f t="shared" si="3"/>
        <v>Saturday</v>
      </c>
      <c r="E294" s="240"/>
      <c r="F294" s="240"/>
      <c r="G294" s="240"/>
      <c r="H294" s="241"/>
      <c r="I294" s="301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ht="14.25" customHeight="1">
      <c r="A295" s="302">
        <f t="shared" si="4"/>
        <v>46467</v>
      </c>
      <c r="B295" s="241">
        <f t="shared" si="1"/>
        <v>2027</v>
      </c>
      <c r="C295" s="241">
        <f t="shared" si="2"/>
        <v>3</v>
      </c>
      <c r="D295" s="301" t="str">
        <f t="shared" si="3"/>
        <v>Sunday</v>
      </c>
      <c r="E295" s="240"/>
      <c r="F295" s="240"/>
      <c r="G295" s="240"/>
      <c r="H295" s="241"/>
      <c r="I295" s="301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ht="14.25" customHeight="1">
      <c r="A296" s="302">
        <f t="shared" si="4"/>
        <v>46468</v>
      </c>
      <c r="B296" s="241">
        <f t="shared" si="1"/>
        <v>2027</v>
      </c>
      <c r="C296" s="241">
        <f t="shared" si="2"/>
        <v>3</v>
      </c>
      <c r="D296" s="301" t="str">
        <f t="shared" si="3"/>
        <v>Monday</v>
      </c>
      <c r="E296" s="240"/>
      <c r="F296" s="240"/>
      <c r="G296" s="240"/>
      <c r="H296" s="241"/>
      <c r="I296" s="301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ht="14.25" customHeight="1">
      <c r="A297" s="302">
        <f t="shared" si="4"/>
        <v>46469</v>
      </c>
      <c r="B297" s="241">
        <f t="shared" si="1"/>
        <v>2027</v>
      </c>
      <c r="C297" s="241">
        <f t="shared" si="2"/>
        <v>3</v>
      </c>
      <c r="D297" s="301" t="str">
        <f t="shared" si="3"/>
        <v>Tuesday</v>
      </c>
      <c r="E297" s="240"/>
      <c r="F297" s="240"/>
      <c r="G297" s="240"/>
      <c r="H297" s="241"/>
      <c r="I297" s="301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ht="14.25" customHeight="1">
      <c r="A298" s="302">
        <f t="shared" si="4"/>
        <v>46470</v>
      </c>
      <c r="B298" s="241">
        <f t="shared" si="1"/>
        <v>2027</v>
      </c>
      <c r="C298" s="241">
        <f t="shared" si="2"/>
        <v>3</v>
      </c>
      <c r="D298" s="301" t="str">
        <f t="shared" si="3"/>
        <v>Wednesday</v>
      </c>
      <c r="E298" s="240"/>
      <c r="F298" s="240"/>
      <c r="G298" s="240"/>
      <c r="H298" s="241"/>
      <c r="I298" s="301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ht="14.25" customHeight="1">
      <c r="A299" s="302">
        <f t="shared" si="4"/>
        <v>46471</v>
      </c>
      <c r="B299" s="241">
        <f t="shared" si="1"/>
        <v>2027</v>
      </c>
      <c r="C299" s="241">
        <f t="shared" si="2"/>
        <v>3</v>
      </c>
      <c r="D299" s="301" t="str">
        <f t="shared" si="3"/>
        <v>Thursday</v>
      </c>
      <c r="E299" s="240"/>
      <c r="F299" s="240"/>
      <c r="G299" s="240"/>
      <c r="H299" s="241"/>
      <c r="I299" s="301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ht="14.25" customHeight="1">
      <c r="A300" s="302">
        <f t="shared" si="4"/>
        <v>46472</v>
      </c>
      <c r="B300" s="241">
        <f t="shared" si="1"/>
        <v>2027</v>
      </c>
      <c r="C300" s="241">
        <f t="shared" si="2"/>
        <v>3</v>
      </c>
      <c r="D300" s="301" t="str">
        <f t="shared" si="3"/>
        <v>Friday</v>
      </c>
      <c r="E300" s="240"/>
      <c r="F300" s="240"/>
      <c r="G300" s="240"/>
      <c r="H300" s="241"/>
      <c r="I300" s="301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ht="14.25" customHeight="1">
      <c r="A301" s="302">
        <f t="shared" si="4"/>
        <v>46473</v>
      </c>
      <c r="B301" s="241">
        <f t="shared" si="1"/>
        <v>2027</v>
      </c>
      <c r="C301" s="241">
        <f t="shared" si="2"/>
        <v>3</v>
      </c>
      <c r="D301" s="301" t="str">
        <f t="shared" si="3"/>
        <v>Saturday</v>
      </c>
      <c r="E301" s="240"/>
      <c r="F301" s="240"/>
      <c r="G301" s="240"/>
      <c r="H301" s="241"/>
      <c r="I301" s="301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ht="14.25" customHeight="1">
      <c r="A302" s="302">
        <f t="shared" si="4"/>
        <v>46474</v>
      </c>
      <c r="B302" s="241">
        <f t="shared" si="1"/>
        <v>2027</v>
      </c>
      <c r="C302" s="241">
        <f t="shared" si="2"/>
        <v>3</v>
      </c>
      <c r="D302" s="301" t="str">
        <f t="shared" si="3"/>
        <v>Sunday</v>
      </c>
      <c r="E302" s="240"/>
      <c r="F302" s="240"/>
      <c r="G302" s="240"/>
      <c r="H302" s="241"/>
      <c r="I302" s="301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ht="14.25" customHeight="1">
      <c r="A303" s="302">
        <f t="shared" si="4"/>
        <v>46475</v>
      </c>
      <c r="B303" s="241">
        <f t="shared" si="1"/>
        <v>2027</v>
      </c>
      <c r="C303" s="241">
        <f t="shared" si="2"/>
        <v>3</v>
      </c>
      <c r="D303" s="301" t="str">
        <f t="shared" si="3"/>
        <v>Monday</v>
      </c>
      <c r="E303" s="240"/>
      <c r="F303" s="240"/>
      <c r="G303" s="240"/>
      <c r="H303" s="241"/>
      <c r="I303" s="301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ht="14.25" customHeight="1">
      <c r="A304" s="302">
        <f t="shared" si="4"/>
        <v>46476</v>
      </c>
      <c r="B304" s="241">
        <f t="shared" si="1"/>
        <v>2027</v>
      </c>
      <c r="C304" s="241">
        <f t="shared" si="2"/>
        <v>3</v>
      </c>
      <c r="D304" s="301" t="str">
        <f t="shared" si="3"/>
        <v>Tuesday</v>
      </c>
      <c r="E304" s="240"/>
      <c r="F304" s="240"/>
      <c r="G304" s="240"/>
      <c r="H304" s="241"/>
      <c r="I304" s="301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ht="14.25" customHeight="1">
      <c r="A305" s="302">
        <f t="shared" si="4"/>
        <v>46477</v>
      </c>
      <c r="B305" s="241">
        <f t="shared" si="1"/>
        <v>2027</v>
      </c>
      <c r="C305" s="241">
        <f t="shared" si="2"/>
        <v>3</v>
      </c>
      <c r="D305" s="301" t="str">
        <f t="shared" si="3"/>
        <v>Wednesday</v>
      </c>
      <c r="E305" s="240"/>
      <c r="F305" s="240"/>
      <c r="G305" s="240"/>
      <c r="H305" s="241"/>
      <c r="I305" s="301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ht="14.25" customHeight="1">
      <c r="A306" s="302">
        <f t="shared" si="4"/>
        <v>46478</v>
      </c>
      <c r="B306" s="241">
        <f t="shared" si="1"/>
        <v>2027</v>
      </c>
      <c r="C306" s="241">
        <f t="shared" si="2"/>
        <v>4</v>
      </c>
      <c r="D306" s="301" t="str">
        <f t="shared" si="3"/>
        <v>Thursday</v>
      </c>
      <c r="E306" s="240"/>
      <c r="F306" s="240"/>
      <c r="G306" s="240"/>
      <c r="H306" s="241"/>
      <c r="I306" s="301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ht="14.25" customHeight="1">
      <c r="A307" s="302">
        <f t="shared" si="4"/>
        <v>46479</v>
      </c>
      <c r="B307" s="241">
        <f t="shared" si="1"/>
        <v>2027</v>
      </c>
      <c r="C307" s="241">
        <f t="shared" si="2"/>
        <v>4</v>
      </c>
      <c r="D307" s="301" t="str">
        <f t="shared" si="3"/>
        <v>Friday</v>
      </c>
      <c r="E307" s="240"/>
      <c r="F307" s="240"/>
      <c r="G307" s="240"/>
      <c r="H307" s="241"/>
      <c r="I307" s="301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ht="14.25" customHeight="1">
      <c r="A308" s="302">
        <f t="shared" si="4"/>
        <v>46480</v>
      </c>
      <c r="B308" s="241">
        <f t="shared" si="1"/>
        <v>2027</v>
      </c>
      <c r="C308" s="241">
        <f t="shared" si="2"/>
        <v>4</v>
      </c>
      <c r="D308" s="301" t="str">
        <f t="shared" si="3"/>
        <v>Saturday</v>
      </c>
      <c r="E308" s="240"/>
      <c r="F308" s="240"/>
      <c r="G308" s="240"/>
      <c r="H308" s="241"/>
      <c r="I308" s="301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ht="14.25" customHeight="1">
      <c r="A309" s="302">
        <f t="shared" si="4"/>
        <v>46481</v>
      </c>
      <c r="B309" s="241">
        <f t="shared" si="1"/>
        <v>2027</v>
      </c>
      <c r="C309" s="241">
        <f t="shared" si="2"/>
        <v>4</v>
      </c>
      <c r="D309" s="301" t="str">
        <f t="shared" si="3"/>
        <v>Sunday</v>
      </c>
      <c r="E309" s="240"/>
      <c r="F309" s="240"/>
      <c r="G309" s="240"/>
      <c r="H309" s="241"/>
      <c r="I309" s="301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ht="14.25" customHeight="1">
      <c r="A310" s="302">
        <f t="shared" si="4"/>
        <v>46482</v>
      </c>
      <c r="B310" s="241">
        <f t="shared" si="1"/>
        <v>2027</v>
      </c>
      <c r="C310" s="241">
        <f t="shared" si="2"/>
        <v>4</v>
      </c>
      <c r="D310" s="301" t="str">
        <f t="shared" si="3"/>
        <v>Monday</v>
      </c>
      <c r="E310" s="240"/>
      <c r="F310" s="240"/>
      <c r="G310" s="240"/>
      <c r="H310" s="241"/>
      <c r="I310" s="301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ht="14.25" customHeight="1">
      <c r="A311" s="302">
        <f t="shared" si="4"/>
        <v>46483</v>
      </c>
      <c r="B311" s="241">
        <f t="shared" si="1"/>
        <v>2027</v>
      </c>
      <c r="C311" s="241">
        <f t="shared" si="2"/>
        <v>4</v>
      </c>
      <c r="D311" s="301" t="str">
        <f t="shared" si="3"/>
        <v>Tuesday</v>
      </c>
      <c r="E311" s="240"/>
      <c r="F311" s="240"/>
      <c r="G311" s="240"/>
      <c r="H311" s="241"/>
      <c r="I311" s="301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ht="14.25" customHeight="1">
      <c r="A312" s="302">
        <f t="shared" si="4"/>
        <v>46484</v>
      </c>
      <c r="B312" s="241">
        <f t="shared" si="1"/>
        <v>2027</v>
      </c>
      <c r="C312" s="241">
        <f t="shared" si="2"/>
        <v>4</v>
      </c>
      <c r="D312" s="301" t="str">
        <f t="shared" si="3"/>
        <v>Wednesday</v>
      </c>
      <c r="E312" s="240"/>
      <c r="F312" s="240"/>
      <c r="G312" s="240"/>
      <c r="H312" s="241"/>
      <c r="I312" s="301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ht="14.25" customHeight="1">
      <c r="A313" s="302">
        <f t="shared" si="4"/>
        <v>46485</v>
      </c>
      <c r="B313" s="241">
        <f t="shared" si="1"/>
        <v>2027</v>
      </c>
      <c r="C313" s="241">
        <f t="shared" si="2"/>
        <v>4</v>
      </c>
      <c r="D313" s="301" t="str">
        <f t="shared" si="3"/>
        <v>Thursday</v>
      </c>
      <c r="E313" s="240"/>
      <c r="F313" s="240"/>
      <c r="G313" s="240"/>
      <c r="H313" s="241"/>
      <c r="I313" s="301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ht="14.25" customHeight="1">
      <c r="A314" s="302">
        <f t="shared" si="4"/>
        <v>46486</v>
      </c>
      <c r="B314" s="241">
        <f t="shared" si="1"/>
        <v>2027</v>
      </c>
      <c r="C314" s="241">
        <f t="shared" si="2"/>
        <v>4</v>
      </c>
      <c r="D314" s="301" t="str">
        <f t="shared" si="3"/>
        <v>Friday</v>
      </c>
      <c r="E314" s="240"/>
      <c r="F314" s="240"/>
      <c r="G314" s="240"/>
      <c r="H314" s="241"/>
      <c r="I314" s="301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ht="14.25" customHeight="1">
      <c r="A315" s="302">
        <f t="shared" si="4"/>
        <v>46487</v>
      </c>
      <c r="B315" s="241">
        <f t="shared" si="1"/>
        <v>2027</v>
      </c>
      <c r="C315" s="241">
        <f t="shared" si="2"/>
        <v>4</v>
      </c>
      <c r="D315" s="301" t="str">
        <f t="shared" si="3"/>
        <v>Saturday</v>
      </c>
      <c r="E315" s="240"/>
      <c r="F315" s="240"/>
      <c r="G315" s="240"/>
      <c r="H315" s="241"/>
      <c r="I315" s="301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ht="14.25" customHeight="1">
      <c r="A316" s="302">
        <f t="shared" si="4"/>
        <v>46488</v>
      </c>
      <c r="B316" s="241">
        <f t="shared" si="1"/>
        <v>2027</v>
      </c>
      <c r="C316" s="241">
        <f t="shared" si="2"/>
        <v>4</v>
      </c>
      <c r="D316" s="301" t="str">
        <f t="shared" si="3"/>
        <v>Sunday</v>
      </c>
      <c r="E316" s="240"/>
      <c r="F316" s="240"/>
      <c r="G316" s="240"/>
      <c r="H316" s="241"/>
      <c r="I316" s="301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ht="14.25" customHeight="1">
      <c r="A317" s="302">
        <f t="shared" si="4"/>
        <v>46489</v>
      </c>
      <c r="B317" s="241">
        <f t="shared" si="1"/>
        <v>2027</v>
      </c>
      <c r="C317" s="241">
        <f t="shared" si="2"/>
        <v>4</v>
      </c>
      <c r="D317" s="301" t="str">
        <f t="shared" si="3"/>
        <v>Monday</v>
      </c>
      <c r="E317" s="240"/>
      <c r="F317" s="240"/>
      <c r="G317" s="240"/>
      <c r="H317" s="241"/>
      <c r="I317" s="301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ht="14.25" customHeight="1">
      <c r="A318" s="302">
        <f t="shared" si="4"/>
        <v>46490</v>
      </c>
      <c r="B318" s="241">
        <f t="shared" si="1"/>
        <v>2027</v>
      </c>
      <c r="C318" s="241">
        <f t="shared" si="2"/>
        <v>4</v>
      </c>
      <c r="D318" s="301" t="str">
        <f t="shared" si="3"/>
        <v>Tuesday</v>
      </c>
      <c r="E318" s="240"/>
      <c r="F318" s="240"/>
      <c r="G318" s="240"/>
      <c r="H318" s="241"/>
      <c r="I318" s="301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ht="14.25" customHeight="1">
      <c r="A319" s="302">
        <f t="shared" si="4"/>
        <v>46491</v>
      </c>
      <c r="B319" s="241">
        <f t="shared" si="1"/>
        <v>2027</v>
      </c>
      <c r="C319" s="241">
        <f t="shared" si="2"/>
        <v>4</v>
      </c>
      <c r="D319" s="301" t="str">
        <f t="shared" si="3"/>
        <v>Wednesday</v>
      </c>
      <c r="E319" s="240"/>
      <c r="F319" s="240"/>
      <c r="G319" s="240"/>
      <c r="H319" s="241"/>
      <c r="I319" s="301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ht="14.25" customHeight="1">
      <c r="A320" s="302">
        <f t="shared" si="4"/>
        <v>46492</v>
      </c>
      <c r="B320" s="241">
        <f t="shared" si="1"/>
        <v>2027</v>
      </c>
      <c r="C320" s="241">
        <f t="shared" si="2"/>
        <v>4</v>
      </c>
      <c r="D320" s="301" t="str">
        <f t="shared" si="3"/>
        <v>Thursday</v>
      </c>
      <c r="E320" s="240"/>
      <c r="F320" s="240"/>
      <c r="G320" s="240"/>
      <c r="H320" s="241"/>
      <c r="I320" s="301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ht="14.25" customHeight="1">
      <c r="A321" s="302">
        <f t="shared" si="4"/>
        <v>46493</v>
      </c>
      <c r="B321" s="241">
        <f t="shared" si="1"/>
        <v>2027</v>
      </c>
      <c r="C321" s="241">
        <f t="shared" si="2"/>
        <v>4</v>
      </c>
      <c r="D321" s="301" t="str">
        <f t="shared" si="3"/>
        <v>Friday</v>
      </c>
      <c r="E321" s="240"/>
      <c r="F321" s="240"/>
      <c r="G321" s="240"/>
      <c r="H321" s="241"/>
      <c r="I321" s="301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ht="14.25" customHeight="1">
      <c r="A322" s="302">
        <f t="shared" si="4"/>
        <v>46494</v>
      </c>
      <c r="B322" s="241">
        <f t="shared" si="1"/>
        <v>2027</v>
      </c>
      <c r="C322" s="241">
        <f t="shared" si="2"/>
        <v>4</v>
      </c>
      <c r="D322" s="301" t="str">
        <f t="shared" si="3"/>
        <v>Saturday</v>
      </c>
      <c r="E322" s="240"/>
      <c r="F322" s="240"/>
      <c r="G322" s="240"/>
      <c r="H322" s="241"/>
      <c r="I322" s="301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ht="14.25" customHeight="1">
      <c r="A323" s="302">
        <f t="shared" si="4"/>
        <v>46495</v>
      </c>
      <c r="B323" s="241">
        <f t="shared" si="1"/>
        <v>2027</v>
      </c>
      <c r="C323" s="241">
        <f t="shared" si="2"/>
        <v>4</v>
      </c>
      <c r="D323" s="301" t="str">
        <f t="shared" si="3"/>
        <v>Sunday</v>
      </c>
      <c r="E323" s="240"/>
      <c r="F323" s="240"/>
      <c r="G323" s="240"/>
      <c r="H323" s="241"/>
      <c r="I323" s="301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ht="14.25" customHeight="1">
      <c r="A324" s="302">
        <f t="shared" si="4"/>
        <v>46496</v>
      </c>
      <c r="B324" s="241">
        <f t="shared" si="1"/>
        <v>2027</v>
      </c>
      <c r="C324" s="241">
        <f t="shared" si="2"/>
        <v>4</v>
      </c>
      <c r="D324" s="301" t="str">
        <f t="shared" si="3"/>
        <v>Monday</v>
      </c>
      <c r="E324" s="240"/>
      <c r="F324" s="240"/>
      <c r="G324" s="240"/>
      <c r="H324" s="241"/>
      <c r="I324" s="301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ht="14.25" customHeight="1">
      <c r="A325" s="302">
        <f t="shared" si="4"/>
        <v>46497</v>
      </c>
      <c r="B325" s="241">
        <f t="shared" si="1"/>
        <v>2027</v>
      </c>
      <c r="C325" s="241">
        <f t="shared" si="2"/>
        <v>4</v>
      </c>
      <c r="D325" s="301" t="str">
        <f t="shared" si="3"/>
        <v>Tuesday</v>
      </c>
      <c r="E325" s="240"/>
      <c r="F325" s="240"/>
      <c r="G325" s="240"/>
      <c r="H325" s="241"/>
      <c r="I325" s="301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ht="14.25" customHeight="1">
      <c r="A326" s="302">
        <f t="shared" si="4"/>
        <v>46498</v>
      </c>
      <c r="B326" s="241">
        <f t="shared" si="1"/>
        <v>2027</v>
      </c>
      <c r="C326" s="241">
        <f t="shared" si="2"/>
        <v>4</v>
      </c>
      <c r="D326" s="301" t="str">
        <f t="shared" si="3"/>
        <v>Wednesday</v>
      </c>
      <c r="E326" s="240"/>
      <c r="F326" s="240"/>
      <c r="G326" s="240"/>
      <c r="H326" s="241"/>
      <c r="I326" s="301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ht="14.25" customHeight="1">
      <c r="A327" s="302">
        <f t="shared" si="4"/>
        <v>46499</v>
      </c>
      <c r="B327" s="241">
        <f t="shared" si="1"/>
        <v>2027</v>
      </c>
      <c r="C327" s="241">
        <f t="shared" si="2"/>
        <v>4</v>
      </c>
      <c r="D327" s="301" t="str">
        <f t="shared" si="3"/>
        <v>Thursday</v>
      </c>
      <c r="E327" s="240"/>
      <c r="F327" s="240"/>
      <c r="G327" s="240"/>
      <c r="H327" s="241"/>
      <c r="I327" s="301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ht="14.25" customHeight="1">
      <c r="A328" s="302">
        <f t="shared" si="4"/>
        <v>46500</v>
      </c>
      <c r="B328" s="241">
        <f t="shared" si="1"/>
        <v>2027</v>
      </c>
      <c r="C328" s="241">
        <f t="shared" si="2"/>
        <v>4</v>
      </c>
      <c r="D328" s="301" t="str">
        <f t="shared" si="3"/>
        <v>Friday</v>
      </c>
      <c r="E328" s="240"/>
      <c r="F328" s="240"/>
      <c r="G328" s="240"/>
      <c r="H328" s="241"/>
      <c r="I328" s="301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ht="14.25" customHeight="1">
      <c r="A329" s="302">
        <f t="shared" si="4"/>
        <v>46501</v>
      </c>
      <c r="B329" s="241">
        <f t="shared" si="1"/>
        <v>2027</v>
      </c>
      <c r="C329" s="241">
        <f t="shared" si="2"/>
        <v>4</v>
      </c>
      <c r="D329" s="301" t="str">
        <f t="shared" si="3"/>
        <v>Saturday</v>
      </c>
      <c r="E329" s="240"/>
      <c r="F329" s="240"/>
      <c r="G329" s="240"/>
      <c r="H329" s="241"/>
      <c r="I329" s="301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ht="14.25" customHeight="1">
      <c r="A330" s="302">
        <f t="shared" si="4"/>
        <v>46502</v>
      </c>
      <c r="B330" s="241">
        <f t="shared" si="1"/>
        <v>2027</v>
      </c>
      <c r="C330" s="241">
        <f t="shared" si="2"/>
        <v>4</v>
      </c>
      <c r="D330" s="301" t="str">
        <f t="shared" si="3"/>
        <v>Sunday</v>
      </c>
      <c r="E330" s="240"/>
      <c r="F330" s="240"/>
      <c r="G330" s="240"/>
      <c r="H330" s="241"/>
      <c r="I330" s="301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ht="14.25" customHeight="1">
      <c r="A331" s="302">
        <f t="shared" si="4"/>
        <v>46503</v>
      </c>
      <c r="B331" s="241">
        <f t="shared" si="1"/>
        <v>2027</v>
      </c>
      <c r="C331" s="241">
        <f t="shared" si="2"/>
        <v>4</v>
      </c>
      <c r="D331" s="301" t="str">
        <f t="shared" si="3"/>
        <v>Monday</v>
      </c>
      <c r="E331" s="240"/>
      <c r="F331" s="240"/>
      <c r="G331" s="240"/>
      <c r="H331" s="241"/>
      <c r="I331" s="301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ht="14.25" customHeight="1">
      <c r="A332" s="302">
        <f t="shared" si="4"/>
        <v>46504</v>
      </c>
      <c r="B332" s="241">
        <f t="shared" si="1"/>
        <v>2027</v>
      </c>
      <c r="C332" s="241">
        <f t="shared" si="2"/>
        <v>4</v>
      </c>
      <c r="D332" s="301" t="str">
        <f t="shared" si="3"/>
        <v>Tuesday</v>
      </c>
      <c r="E332" s="240"/>
      <c r="F332" s="240"/>
      <c r="G332" s="240"/>
      <c r="H332" s="241"/>
      <c r="I332" s="301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ht="14.25" customHeight="1">
      <c r="A333" s="302">
        <f t="shared" si="4"/>
        <v>46505</v>
      </c>
      <c r="B333" s="241">
        <f t="shared" si="1"/>
        <v>2027</v>
      </c>
      <c r="C333" s="241">
        <f t="shared" si="2"/>
        <v>4</v>
      </c>
      <c r="D333" s="301" t="str">
        <f t="shared" si="3"/>
        <v>Wednesday</v>
      </c>
      <c r="E333" s="240"/>
      <c r="F333" s="240"/>
      <c r="G333" s="240"/>
      <c r="H333" s="241"/>
      <c r="I333" s="301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ht="14.25" customHeight="1">
      <c r="A334" s="302">
        <f t="shared" si="4"/>
        <v>46506</v>
      </c>
      <c r="B334" s="241">
        <f t="shared" si="1"/>
        <v>2027</v>
      </c>
      <c r="C334" s="241">
        <f t="shared" si="2"/>
        <v>4</v>
      </c>
      <c r="D334" s="301" t="str">
        <f t="shared" si="3"/>
        <v>Thursday</v>
      </c>
      <c r="E334" s="240"/>
      <c r="F334" s="240"/>
      <c r="G334" s="240"/>
      <c r="H334" s="241"/>
      <c r="I334" s="301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ht="14.25" customHeight="1">
      <c r="A335" s="302">
        <f t="shared" si="4"/>
        <v>46507</v>
      </c>
      <c r="B335" s="241">
        <f t="shared" si="1"/>
        <v>2027</v>
      </c>
      <c r="C335" s="241">
        <f t="shared" si="2"/>
        <v>4</v>
      </c>
      <c r="D335" s="301" t="str">
        <f t="shared" si="3"/>
        <v>Friday</v>
      </c>
      <c r="E335" s="240"/>
      <c r="F335" s="240"/>
      <c r="G335" s="240"/>
      <c r="H335" s="241"/>
      <c r="I335" s="30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ht="14.25" customHeight="1">
      <c r="A336" s="302">
        <f t="shared" si="4"/>
        <v>46508</v>
      </c>
      <c r="B336" s="241">
        <f t="shared" si="1"/>
        <v>2027</v>
      </c>
      <c r="C336" s="241">
        <f t="shared" si="2"/>
        <v>5</v>
      </c>
      <c r="D336" s="301" t="str">
        <f t="shared" si="3"/>
        <v>Saturday</v>
      </c>
      <c r="E336" s="240"/>
      <c r="F336" s="240"/>
      <c r="G336" s="240"/>
      <c r="H336" s="241"/>
      <c r="I336" s="301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ht="14.25" customHeight="1">
      <c r="A337" s="302">
        <f t="shared" si="4"/>
        <v>46509</v>
      </c>
      <c r="B337" s="241">
        <f t="shared" si="1"/>
        <v>2027</v>
      </c>
      <c r="C337" s="241">
        <f t="shared" si="2"/>
        <v>5</v>
      </c>
      <c r="D337" s="301" t="str">
        <f t="shared" si="3"/>
        <v>Sunday</v>
      </c>
      <c r="E337" s="240"/>
      <c r="F337" s="240"/>
      <c r="G337" s="240"/>
      <c r="H337" s="241"/>
      <c r="I337" s="301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ht="14.25" customHeight="1">
      <c r="A338" s="302">
        <f t="shared" si="4"/>
        <v>46510</v>
      </c>
      <c r="B338" s="241">
        <f t="shared" si="1"/>
        <v>2027</v>
      </c>
      <c r="C338" s="241">
        <f t="shared" si="2"/>
        <v>5</v>
      </c>
      <c r="D338" s="301" t="str">
        <f t="shared" si="3"/>
        <v>Monday</v>
      </c>
      <c r="E338" s="240"/>
      <c r="F338" s="240"/>
      <c r="G338" s="240"/>
      <c r="H338" s="241"/>
      <c r="I338" s="301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ht="14.25" customHeight="1">
      <c r="A339" s="302">
        <f t="shared" si="4"/>
        <v>46511</v>
      </c>
      <c r="B339" s="241">
        <f t="shared" si="1"/>
        <v>2027</v>
      </c>
      <c r="C339" s="241">
        <f t="shared" si="2"/>
        <v>5</v>
      </c>
      <c r="D339" s="301" t="str">
        <f t="shared" si="3"/>
        <v>Tuesday</v>
      </c>
      <c r="E339" s="240"/>
      <c r="F339" s="240"/>
      <c r="G339" s="240"/>
      <c r="H339" s="241"/>
      <c r="I339" s="301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ht="14.25" customHeight="1">
      <c r="A340" s="302">
        <f t="shared" si="4"/>
        <v>46512</v>
      </c>
      <c r="B340" s="241">
        <f t="shared" si="1"/>
        <v>2027</v>
      </c>
      <c r="C340" s="241">
        <f t="shared" si="2"/>
        <v>5</v>
      </c>
      <c r="D340" s="301" t="str">
        <f t="shared" si="3"/>
        <v>Wednesday</v>
      </c>
      <c r="E340" s="240"/>
      <c r="F340" s="240"/>
      <c r="G340" s="240"/>
      <c r="H340" s="241"/>
      <c r="I340" s="301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ht="14.25" customHeight="1">
      <c r="A341" s="302">
        <f t="shared" si="4"/>
        <v>46513</v>
      </c>
      <c r="B341" s="241">
        <f t="shared" si="1"/>
        <v>2027</v>
      </c>
      <c r="C341" s="241">
        <f t="shared" si="2"/>
        <v>5</v>
      </c>
      <c r="D341" s="301" t="str">
        <f t="shared" si="3"/>
        <v>Thursday</v>
      </c>
      <c r="E341" s="240"/>
      <c r="F341" s="240"/>
      <c r="G341" s="240"/>
      <c r="H341" s="241"/>
      <c r="I341" s="301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ht="14.25" customHeight="1">
      <c r="A342" s="302">
        <f t="shared" si="4"/>
        <v>46514</v>
      </c>
      <c r="B342" s="241">
        <f t="shared" si="1"/>
        <v>2027</v>
      </c>
      <c r="C342" s="241">
        <f t="shared" si="2"/>
        <v>5</v>
      </c>
      <c r="D342" s="301" t="str">
        <f t="shared" si="3"/>
        <v>Friday</v>
      </c>
      <c r="E342" s="240"/>
      <c r="F342" s="240"/>
      <c r="G342" s="240"/>
      <c r="H342" s="241"/>
      <c r="I342" s="301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ht="14.25" customHeight="1">
      <c r="A343" s="302">
        <f t="shared" si="4"/>
        <v>46515</v>
      </c>
      <c r="B343" s="241">
        <f t="shared" si="1"/>
        <v>2027</v>
      </c>
      <c r="C343" s="241">
        <f t="shared" si="2"/>
        <v>5</v>
      </c>
      <c r="D343" s="301" t="str">
        <f t="shared" si="3"/>
        <v>Saturday</v>
      </c>
      <c r="E343" s="240"/>
      <c r="F343" s="240"/>
      <c r="G343" s="240"/>
      <c r="H343" s="241"/>
      <c r="I343" s="301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ht="14.25" customHeight="1">
      <c r="A344" s="302">
        <f t="shared" si="4"/>
        <v>46516</v>
      </c>
      <c r="B344" s="241">
        <f t="shared" si="1"/>
        <v>2027</v>
      </c>
      <c r="C344" s="241">
        <f t="shared" si="2"/>
        <v>5</v>
      </c>
      <c r="D344" s="301" t="str">
        <f t="shared" si="3"/>
        <v>Sunday</v>
      </c>
      <c r="E344" s="240"/>
      <c r="F344" s="240"/>
      <c r="G344" s="240"/>
      <c r="H344" s="241"/>
      <c r="I344" s="301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ht="14.25" customHeight="1">
      <c r="A345" s="302">
        <f t="shared" si="4"/>
        <v>46517</v>
      </c>
      <c r="B345" s="241">
        <f t="shared" si="1"/>
        <v>2027</v>
      </c>
      <c r="C345" s="241">
        <f t="shared" si="2"/>
        <v>5</v>
      </c>
      <c r="D345" s="301" t="str">
        <f t="shared" si="3"/>
        <v>Monday</v>
      </c>
      <c r="E345" s="240"/>
      <c r="F345" s="240"/>
      <c r="G345" s="240"/>
      <c r="H345" s="241"/>
      <c r="I345" s="301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ht="14.25" customHeight="1">
      <c r="A346" s="302">
        <f t="shared" si="4"/>
        <v>46518</v>
      </c>
      <c r="B346" s="241">
        <f t="shared" si="1"/>
        <v>2027</v>
      </c>
      <c r="C346" s="241">
        <f t="shared" si="2"/>
        <v>5</v>
      </c>
      <c r="D346" s="301" t="str">
        <f t="shared" si="3"/>
        <v>Tuesday</v>
      </c>
      <c r="E346" s="240"/>
      <c r="F346" s="240"/>
      <c r="G346" s="240"/>
      <c r="H346" s="241"/>
      <c r="I346" s="301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ht="14.25" customHeight="1">
      <c r="A347" s="302">
        <f t="shared" si="4"/>
        <v>46519</v>
      </c>
      <c r="B347" s="241">
        <f t="shared" si="1"/>
        <v>2027</v>
      </c>
      <c r="C347" s="241">
        <f t="shared" si="2"/>
        <v>5</v>
      </c>
      <c r="D347" s="301" t="str">
        <f t="shared" si="3"/>
        <v>Wednesday</v>
      </c>
      <c r="E347" s="240"/>
      <c r="F347" s="240"/>
      <c r="G347" s="240"/>
      <c r="H347" s="241"/>
      <c r="I347" s="301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ht="14.25" customHeight="1">
      <c r="A348" s="302">
        <f t="shared" si="4"/>
        <v>46520</v>
      </c>
      <c r="B348" s="241">
        <f t="shared" si="1"/>
        <v>2027</v>
      </c>
      <c r="C348" s="241">
        <f t="shared" si="2"/>
        <v>5</v>
      </c>
      <c r="D348" s="301" t="str">
        <f t="shared" si="3"/>
        <v>Thursday</v>
      </c>
      <c r="E348" s="240"/>
      <c r="F348" s="240"/>
      <c r="G348" s="240"/>
      <c r="H348" s="241"/>
      <c r="I348" s="301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ht="14.25" customHeight="1">
      <c r="A349" s="302">
        <f t="shared" si="4"/>
        <v>46521</v>
      </c>
      <c r="B349" s="241">
        <f t="shared" si="1"/>
        <v>2027</v>
      </c>
      <c r="C349" s="241">
        <f t="shared" si="2"/>
        <v>5</v>
      </c>
      <c r="D349" s="301" t="str">
        <f t="shared" si="3"/>
        <v>Friday</v>
      </c>
      <c r="E349" s="240"/>
      <c r="F349" s="240"/>
      <c r="G349" s="240"/>
      <c r="H349" s="241"/>
      <c r="I349" s="301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ht="14.25" customHeight="1">
      <c r="A350" s="302">
        <f t="shared" si="4"/>
        <v>46522</v>
      </c>
      <c r="B350" s="241">
        <f t="shared" si="1"/>
        <v>2027</v>
      </c>
      <c r="C350" s="241">
        <f t="shared" si="2"/>
        <v>5</v>
      </c>
      <c r="D350" s="301" t="str">
        <f t="shared" si="3"/>
        <v>Saturday</v>
      </c>
      <c r="E350" s="240"/>
      <c r="F350" s="240"/>
      <c r="G350" s="240"/>
      <c r="H350" s="241"/>
      <c r="I350" s="301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ht="14.25" customHeight="1">
      <c r="A351" s="302">
        <f t="shared" si="4"/>
        <v>46523</v>
      </c>
      <c r="B351" s="241">
        <f t="shared" si="1"/>
        <v>2027</v>
      </c>
      <c r="C351" s="241">
        <f t="shared" si="2"/>
        <v>5</v>
      </c>
      <c r="D351" s="301" t="str">
        <f t="shared" si="3"/>
        <v>Sunday</v>
      </c>
      <c r="E351" s="240"/>
      <c r="F351" s="240"/>
      <c r="G351" s="240"/>
      <c r="H351" s="241"/>
      <c r="I351" s="301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ht="14.25" customHeight="1">
      <c r="A352" s="302">
        <f t="shared" si="4"/>
        <v>46524</v>
      </c>
      <c r="B352" s="241">
        <f t="shared" si="1"/>
        <v>2027</v>
      </c>
      <c r="C352" s="241">
        <f t="shared" si="2"/>
        <v>5</v>
      </c>
      <c r="D352" s="301" t="str">
        <f t="shared" si="3"/>
        <v>Monday</v>
      </c>
      <c r="E352" s="240"/>
      <c r="F352" s="240"/>
      <c r="G352" s="240"/>
      <c r="H352" s="241"/>
      <c r="I352" s="301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ht="14.25" customHeight="1">
      <c r="A353" s="302">
        <f t="shared" si="4"/>
        <v>46525</v>
      </c>
      <c r="B353" s="241">
        <f t="shared" si="1"/>
        <v>2027</v>
      </c>
      <c r="C353" s="241">
        <f t="shared" si="2"/>
        <v>5</v>
      </c>
      <c r="D353" s="301" t="str">
        <f t="shared" si="3"/>
        <v>Tuesday</v>
      </c>
      <c r="E353" s="240"/>
      <c r="F353" s="240"/>
      <c r="G353" s="240"/>
      <c r="H353" s="241"/>
      <c r="I353" s="301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ht="14.25" customHeight="1">
      <c r="A354" s="302">
        <f t="shared" si="4"/>
        <v>46526</v>
      </c>
      <c r="B354" s="241">
        <f t="shared" si="1"/>
        <v>2027</v>
      </c>
      <c r="C354" s="241">
        <f t="shared" si="2"/>
        <v>5</v>
      </c>
      <c r="D354" s="301" t="str">
        <f t="shared" si="3"/>
        <v>Wednesday</v>
      </c>
      <c r="E354" s="240"/>
      <c r="F354" s="240"/>
      <c r="G354" s="240"/>
      <c r="H354" s="241"/>
      <c r="I354" s="301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ht="14.25" customHeight="1">
      <c r="A355" s="302">
        <f t="shared" si="4"/>
        <v>46527</v>
      </c>
      <c r="B355" s="241">
        <f t="shared" si="1"/>
        <v>2027</v>
      </c>
      <c r="C355" s="241">
        <f t="shared" si="2"/>
        <v>5</v>
      </c>
      <c r="D355" s="301" t="str">
        <f t="shared" si="3"/>
        <v>Thursday</v>
      </c>
      <c r="E355" s="240"/>
      <c r="F355" s="240"/>
      <c r="G355" s="240"/>
      <c r="H355" s="241"/>
      <c r="I355" s="301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ht="14.25" customHeight="1">
      <c r="A356" s="302">
        <f t="shared" si="4"/>
        <v>46528</v>
      </c>
      <c r="B356" s="241">
        <f t="shared" si="1"/>
        <v>2027</v>
      </c>
      <c r="C356" s="241">
        <f t="shared" si="2"/>
        <v>5</v>
      </c>
      <c r="D356" s="301" t="str">
        <f t="shared" si="3"/>
        <v>Friday</v>
      </c>
      <c r="E356" s="240"/>
      <c r="F356" s="240"/>
      <c r="G356" s="240"/>
      <c r="H356" s="241"/>
      <c r="I356" s="301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ht="14.25" customHeight="1">
      <c r="A357" s="302">
        <f t="shared" si="4"/>
        <v>46529</v>
      </c>
      <c r="B357" s="241">
        <f t="shared" si="1"/>
        <v>2027</v>
      </c>
      <c r="C357" s="241">
        <f t="shared" si="2"/>
        <v>5</v>
      </c>
      <c r="D357" s="301" t="str">
        <f t="shared" si="3"/>
        <v>Saturday</v>
      </c>
      <c r="E357" s="240"/>
      <c r="F357" s="240"/>
      <c r="G357" s="240"/>
      <c r="H357" s="241"/>
      <c r="I357" s="301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ht="14.25" customHeight="1">
      <c r="A358" s="302">
        <f t="shared" si="4"/>
        <v>46530</v>
      </c>
      <c r="B358" s="241">
        <f t="shared" si="1"/>
        <v>2027</v>
      </c>
      <c r="C358" s="241">
        <f t="shared" si="2"/>
        <v>5</v>
      </c>
      <c r="D358" s="301" t="str">
        <f t="shared" si="3"/>
        <v>Sunday</v>
      </c>
      <c r="E358" s="240"/>
      <c r="F358" s="240"/>
      <c r="G358" s="240"/>
      <c r="H358" s="241"/>
      <c r="I358" s="301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ht="14.25" customHeight="1">
      <c r="A359" s="302">
        <f t="shared" si="4"/>
        <v>46531</v>
      </c>
      <c r="B359" s="241">
        <f t="shared" si="1"/>
        <v>2027</v>
      </c>
      <c r="C359" s="241">
        <f t="shared" si="2"/>
        <v>5</v>
      </c>
      <c r="D359" s="301" t="str">
        <f t="shared" si="3"/>
        <v>Monday</v>
      </c>
      <c r="E359" s="240"/>
      <c r="F359" s="240"/>
      <c r="G359" s="240"/>
      <c r="H359" s="241"/>
      <c r="I359" s="301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ht="14.25" customHeight="1">
      <c r="A360" s="302">
        <f t="shared" si="4"/>
        <v>46532</v>
      </c>
      <c r="B360" s="241">
        <f t="shared" si="1"/>
        <v>2027</v>
      </c>
      <c r="C360" s="241">
        <f t="shared" si="2"/>
        <v>5</v>
      </c>
      <c r="D360" s="301" t="str">
        <f t="shared" si="3"/>
        <v>Tuesday</v>
      </c>
      <c r="E360" s="240"/>
      <c r="F360" s="240"/>
      <c r="G360" s="240"/>
      <c r="H360" s="241"/>
      <c r="I360" s="301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ht="14.25" customHeight="1">
      <c r="A361" s="302">
        <f t="shared" si="4"/>
        <v>46533</v>
      </c>
      <c r="B361" s="241">
        <f t="shared" si="1"/>
        <v>2027</v>
      </c>
      <c r="C361" s="241">
        <f t="shared" si="2"/>
        <v>5</v>
      </c>
      <c r="D361" s="301" t="str">
        <f t="shared" si="3"/>
        <v>Wednesday</v>
      </c>
      <c r="E361" s="240"/>
      <c r="F361" s="240"/>
      <c r="G361" s="240"/>
      <c r="H361" s="241"/>
      <c r="I361" s="301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ht="14.25" customHeight="1">
      <c r="A362" s="302">
        <f t="shared" si="4"/>
        <v>46534</v>
      </c>
      <c r="B362" s="241">
        <f t="shared" si="1"/>
        <v>2027</v>
      </c>
      <c r="C362" s="241">
        <f t="shared" si="2"/>
        <v>5</v>
      </c>
      <c r="D362" s="301" t="str">
        <f t="shared" si="3"/>
        <v>Thursday</v>
      </c>
      <c r="E362" s="240"/>
      <c r="F362" s="240"/>
      <c r="G362" s="240"/>
      <c r="H362" s="241"/>
      <c r="I362" s="301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ht="14.25" customHeight="1">
      <c r="A363" s="302">
        <f t="shared" si="4"/>
        <v>46535</v>
      </c>
      <c r="B363" s="241">
        <f t="shared" si="1"/>
        <v>2027</v>
      </c>
      <c r="C363" s="241">
        <f t="shared" si="2"/>
        <v>5</v>
      </c>
      <c r="D363" s="301" t="str">
        <f t="shared" si="3"/>
        <v>Friday</v>
      </c>
      <c r="E363" s="240"/>
      <c r="F363" s="240"/>
      <c r="G363" s="240"/>
      <c r="H363" s="241"/>
      <c r="I363" s="301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ht="14.25" customHeight="1">
      <c r="A364" s="302">
        <f t="shared" si="4"/>
        <v>46536</v>
      </c>
      <c r="B364" s="241">
        <f t="shared" si="1"/>
        <v>2027</v>
      </c>
      <c r="C364" s="241">
        <f t="shared" si="2"/>
        <v>5</v>
      </c>
      <c r="D364" s="301" t="str">
        <f t="shared" si="3"/>
        <v>Saturday</v>
      </c>
      <c r="E364" s="240"/>
      <c r="F364" s="240"/>
      <c r="G364" s="240"/>
      <c r="H364" s="241"/>
      <c r="I364" s="301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ht="14.25" customHeight="1">
      <c r="A365" s="302">
        <f t="shared" si="4"/>
        <v>46537</v>
      </c>
      <c r="B365" s="241">
        <f t="shared" si="1"/>
        <v>2027</v>
      </c>
      <c r="C365" s="241">
        <f t="shared" si="2"/>
        <v>5</v>
      </c>
      <c r="D365" s="301" t="str">
        <f t="shared" si="3"/>
        <v>Sunday</v>
      </c>
      <c r="E365" s="240"/>
      <c r="F365" s="240"/>
      <c r="G365" s="240"/>
      <c r="H365" s="241"/>
      <c r="I365" s="301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ht="14.25" customHeight="1">
      <c r="A366" s="302">
        <f t="shared" si="4"/>
        <v>46538</v>
      </c>
      <c r="B366" s="241">
        <f t="shared" si="1"/>
        <v>2027</v>
      </c>
      <c r="C366" s="241">
        <f t="shared" si="2"/>
        <v>5</v>
      </c>
      <c r="D366" s="301" t="str">
        <f t="shared" si="3"/>
        <v>Monday</v>
      </c>
      <c r="E366" s="240"/>
      <c r="F366" s="240"/>
      <c r="G366" s="240"/>
      <c r="H366" s="241"/>
      <c r="I366" s="301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ht="14.25" customHeight="1">
      <c r="A367" s="302">
        <f t="shared" si="4"/>
        <v>46539</v>
      </c>
      <c r="B367" s="241">
        <f t="shared" si="1"/>
        <v>2027</v>
      </c>
      <c r="C367" s="241">
        <f t="shared" si="2"/>
        <v>6</v>
      </c>
      <c r="D367" s="301" t="str">
        <f t="shared" si="3"/>
        <v>Tuesday</v>
      </c>
      <c r="E367" s="240"/>
      <c r="F367" s="240"/>
      <c r="G367" s="240"/>
      <c r="H367" s="241"/>
      <c r="I367" s="301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ht="14.25" customHeight="1">
      <c r="A368" s="302">
        <f t="shared" si="4"/>
        <v>46540</v>
      </c>
      <c r="B368" s="241">
        <f t="shared" si="1"/>
        <v>2027</v>
      </c>
      <c r="C368" s="241">
        <f t="shared" si="2"/>
        <v>6</v>
      </c>
      <c r="D368" s="301" t="str">
        <f t="shared" si="3"/>
        <v>Wednesday</v>
      </c>
      <c r="E368" s="240"/>
      <c r="F368" s="240"/>
      <c r="G368" s="240"/>
      <c r="H368" s="241"/>
      <c r="I368" s="301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ht="14.25" customHeight="1">
      <c r="A369" s="302">
        <f t="shared" si="4"/>
        <v>46541</v>
      </c>
      <c r="B369" s="241">
        <f t="shared" si="1"/>
        <v>2027</v>
      </c>
      <c r="C369" s="241">
        <f t="shared" si="2"/>
        <v>6</v>
      </c>
      <c r="D369" s="301" t="str">
        <f t="shared" si="3"/>
        <v>Thursday</v>
      </c>
      <c r="E369" s="240"/>
      <c r="F369" s="240"/>
      <c r="G369" s="240"/>
      <c r="H369" s="241"/>
      <c r="I369" s="301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ht="14.25" customHeight="1">
      <c r="A370" s="302">
        <f t="shared" si="4"/>
        <v>46542</v>
      </c>
      <c r="B370" s="241">
        <f t="shared" si="1"/>
        <v>2027</v>
      </c>
      <c r="C370" s="241">
        <f t="shared" si="2"/>
        <v>6</v>
      </c>
      <c r="D370" s="301" t="str">
        <f t="shared" si="3"/>
        <v>Friday</v>
      </c>
      <c r="E370" s="240"/>
      <c r="F370" s="240"/>
      <c r="G370" s="240"/>
      <c r="H370" s="241"/>
      <c r="I370" s="301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ht="14.25" customHeight="1">
      <c r="A371" s="302">
        <f t="shared" si="4"/>
        <v>46543</v>
      </c>
      <c r="B371" s="241">
        <f t="shared" si="1"/>
        <v>2027</v>
      </c>
      <c r="C371" s="241">
        <f t="shared" si="2"/>
        <v>6</v>
      </c>
      <c r="D371" s="301" t="str">
        <f t="shared" si="3"/>
        <v>Saturday</v>
      </c>
      <c r="E371" s="240"/>
      <c r="F371" s="240"/>
      <c r="G371" s="240"/>
      <c r="H371" s="241"/>
      <c r="I371" s="301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ht="14.25" customHeight="1">
      <c r="A372" s="302">
        <f t="shared" si="4"/>
        <v>46544</v>
      </c>
      <c r="B372" s="241">
        <f t="shared" si="1"/>
        <v>2027</v>
      </c>
      <c r="C372" s="241">
        <f t="shared" si="2"/>
        <v>6</v>
      </c>
      <c r="D372" s="301" t="str">
        <f t="shared" si="3"/>
        <v>Sunday</v>
      </c>
      <c r="E372" s="240"/>
      <c r="F372" s="240"/>
      <c r="G372" s="240"/>
      <c r="H372" s="241"/>
      <c r="I372" s="301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ht="14.25" customHeight="1">
      <c r="A373" s="302">
        <f t="shared" si="4"/>
        <v>46545</v>
      </c>
      <c r="B373" s="241">
        <f t="shared" si="1"/>
        <v>2027</v>
      </c>
      <c r="C373" s="241">
        <f t="shared" si="2"/>
        <v>6</v>
      </c>
      <c r="D373" s="301" t="str">
        <f t="shared" si="3"/>
        <v>Monday</v>
      </c>
      <c r="E373" s="240"/>
      <c r="F373" s="240"/>
      <c r="G373" s="240"/>
      <c r="H373" s="241"/>
      <c r="I373" s="301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ht="14.25" customHeight="1">
      <c r="A374" s="302">
        <f t="shared" si="4"/>
        <v>46546</v>
      </c>
      <c r="B374" s="241">
        <f t="shared" si="1"/>
        <v>2027</v>
      </c>
      <c r="C374" s="241">
        <f t="shared" si="2"/>
        <v>6</v>
      </c>
      <c r="D374" s="301" t="str">
        <f t="shared" si="3"/>
        <v>Tuesday</v>
      </c>
      <c r="E374" s="240"/>
      <c r="F374" s="240"/>
      <c r="G374" s="240"/>
      <c r="H374" s="241"/>
      <c r="I374" s="301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ht="14.25" customHeight="1">
      <c r="A375" s="302">
        <f t="shared" si="4"/>
        <v>46547</v>
      </c>
      <c r="B375" s="241">
        <f t="shared" si="1"/>
        <v>2027</v>
      </c>
      <c r="C375" s="241">
        <f t="shared" si="2"/>
        <v>6</v>
      </c>
      <c r="D375" s="301" t="str">
        <f t="shared" si="3"/>
        <v>Wednesday</v>
      </c>
      <c r="E375" s="240"/>
      <c r="F375" s="240"/>
      <c r="G375" s="240"/>
      <c r="H375" s="241"/>
      <c r="I375" s="301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ht="14.25" customHeight="1">
      <c r="A376" s="302">
        <f t="shared" si="4"/>
        <v>46548</v>
      </c>
      <c r="B376" s="241">
        <f t="shared" si="1"/>
        <v>2027</v>
      </c>
      <c r="C376" s="241">
        <f t="shared" si="2"/>
        <v>6</v>
      </c>
      <c r="D376" s="301" t="str">
        <f t="shared" si="3"/>
        <v>Thursday</v>
      </c>
      <c r="E376" s="240"/>
      <c r="F376" s="240"/>
      <c r="G376" s="240"/>
      <c r="H376" s="241"/>
      <c r="I376" s="301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ht="14.25" customHeight="1">
      <c r="A377" s="302">
        <f t="shared" si="4"/>
        <v>46549</v>
      </c>
      <c r="B377" s="241">
        <f t="shared" si="1"/>
        <v>2027</v>
      </c>
      <c r="C377" s="241">
        <f t="shared" si="2"/>
        <v>6</v>
      </c>
      <c r="D377" s="301" t="str">
        <f t="shared" si="3"/>
        <v>Friday</v>
      </c>
      <c r="E377" s="240"/>
      <c r="F377" s="240"/>
      <c r="G377" s="240"/>
      <c r="H377" s="241"/>
      <c r="I377" s="301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ht="14.25" customHeight="1">
      <c r="A378" s="302">
        <f t="shared" si="4"/>
        <v>46550</v>
      </c>
      <c r="B378" s="241">
        <f t="shared" si="1"/>
        <v>2027</v>
      </c>
      <c r="C378" s="241">
        <f t="shared" si="2"/>
        <v>6</v>
      </c>
      <c r="D378" s="301" t="str">
        <f t="shared" si="3"/>
        <v>Saturday</v>
      </c>
      <c r="E378" s="240"/>
      <c r="F378" s="240"/>
      <c r="G378" s="240"/>
      <c r="H378" s="241"/>
      <c r="I378" s="301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ht="14.25" customHeight="1">
      <c r="A379" s="302">
        <f t="shared" si="4"/>
        <v>46551</v>
      </c>
      <c r="B379" s="241">
        <f t="shared" si="1"/>
        <v>2027</v>
      </c>
      <c r="C379" s="241">
        <f t="shared" si="2"/>
        <v>6</v>
      </c>
      <c r="D379" s="301" t="str">
        <f t="shared" si="3"/>
        <v>Sunday</v>
      </c>
      <c r="E379" s="240"/>
      <c r="F379" s="240"/>
      <c r="G379" s="240"/>
      <c r="H379" s="241"/>
      <c r="I379" s="301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ht="14.25" customHeight="1">
      <c r="A380" s="302">
        <f t="shared" si="4"/>
        <v>46552</v>
      </c>
      <c r="B380" s="241">
        <f t="shared" si="1"/>
        <v>2027</v>
      </c>
      <c r="C380" s="241">
        <f t="shared" si="2"/>
        <v>6</v>
      </c>
      <c r="D380" s="301" t="str">
        <f t="shared" si="3"/>
        <v>Monday</v>
      </c>
      <c r="E380" s="240"/>
      <c r="F380" s="240"/>
      <c r="G380" s="240"/>
      <c r="H380" s="241"/>
      <c r="I380" s="301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ht="14.25" customHeight="1">
      <c r="A381" s="302">
        <f t="shared" si="4"/>
        <v>46553</v>
      </c>
      <c r="B381" s="241">
        <f t="shared" si="1"/>
        <v>2027</v>
      </c>
      <c r="C381" s="241">
        <f t="shared" si="2"/>
        <v>6</v>
      </c>
      <c r="D381" s="301" t="str">
        <f t="shared" si="3"/>
        <v>Tuesday</v>
      </c>
      <c r="E381" s="240"/>
      <c r="F381" s="240"/>
      <c r="G381" s="240"/>
      <c r="H381" s="241"/>
      <c r="I381" s="301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ht="14.25" customHeight="1">
      <c r="A382" s="302">
        <f t="shared" si="4"/>
        <v>46554</v>
      </c>
      <c r="B382" s="241">
        <f t="shared" si="1"/>
        <v>2027</v>
      </c>
      <c r="C382" s="241">
        <f t="shared" si="2"/>
        <v>6</v>
      </c>
      <c r="D382" s="301" t="str">
        <f t="shared" si="3"/>
        <v>Wednesday</v>
      </c>
      <c r="E382" s="240"/>
      <c r="F382" s="240"/>
      <c r="G382" s="240"/>
      <c r="H382" s="241"/>
      <c r="I382" s="301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ht="14.25" customHeight="1">
      <c r="A383" s="302">
        <f t="shared" si="4"/>
        <v>46555</v>
      </c>
      <c r="B383" s="241">
        <f t="shared" si="1"/>
        <v>2027</v>
      </c>
      <c r="C383" s="241">
        <f t="shared" si="2"/>
        <v>6</v>
      </c>
      <c r="D383" s="301" t="str">
        <f t="shared" si="3"/>
        <v>Thursday</v>
      </c>
      <c r="E383" s="240"/>
      <c r="F383" s="240"/>
      <c r="G383" s="240"/>
      <c r="H383" s="241"/>
      <c r="I383" s="301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ht="14.25" customHeight="1">
      <c r="A384" s="302">
        <f t="shared" si="4"/>
        <v>46556</v>
      </c>
      <c r="B384" s="241">
        <f t="shared" si="1"/>
        <v>2027</v>
      </c>
      <c r="C384" s="241">
        <f t="shared" si="2"/>
        <v>6</v>
      </c>
      <c r="D384" s="301" t="str">
        <f t="shared" si="3"/>
        <v>Friday</v>
      </c>
      <c r="E384" s="240"/>
      <c r="F384" s="240"/>
      <c r="G384" s="240"/>
      <c r="H384" s="241"/>
      <c r="I384" s="301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ht="14.25" customHeight="1">
      <c r="A385" s="302">
        <f t="shared" si="4"/>
        <v>46557</v>
      </c>
      <c r="B385" s="241">
        <f t="shared" si="1"/>
        <v>2027</v>
      </c>
      <c r="C385" s="241">
        <f t="shared" si="2"/>
        <v>6</v>
      </c>
      <c r="D385" s="301" t="str">
        <f t="shared" si="3"/>
        <v>Saturday</v>
      </c>
      <c r="E385" s="240"/>
      <c r="F385" s="240"/>
      <c r="G385" s="240"/>
      <c r="H385" s="241"/>
      <c r="I385" s="301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ht="14.25" customHeight="1">
      <c r="A386" s="302">
        <f t="shared" si="4"/>
        <v>46558</v>
      </c>
      <c r="B386" s="241">
        <f t="shared" si="1"/>
        <v>2027</v>
      </c>
      <c r="C386" s="241">
        <f t="shared" si="2"/>
        <v>6</v>
      </c>
      <c r="D386" s="301" t="str">
        <f t="shared" si="3"/>
        <v>Sunday</v>
      </c>
      <c r="E386" s="240"/>
      <c r="F386" s="240"/>
      <c r="G386" s="240"/>
      <c r="H386" s="241"/>
      <c r="I386" s="301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ht="14.25" customHeight="1">
      <c r="A387" s="302">
        <f t="shared" si="4"/>
        <v>46559</v>
      </c>
      <c r="B387" s="241">
        <f t="shared" si="1"/>
        <v>2027</v>
      </c>
      <c r="C387" s="241">
        <f t="shared" si="2"/>
        <v>6</v>
      </c>
      <c r="D387" s="301" t="str">
        <f t="shared" si="3"/>
        <v>Monday</v>
      </c>
      <c r="E387" s="240"/>
      <c r="F387" s="240"/>
      <c r="G387" s="240"/>
      <c r="H387" s="241"/>
      <c r="I387" s="301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ht="14.25" customHeight="1">
      <c r="A388" s="302">
        <f t="shared" si="4"/>
        <v>46560</v>
      </c>
      <c r="B388" s="241">
        <f t="shared" si="1"/>
        <v>2027</v>
      </c>
      <c r="C388" s="241">
        <f t="shared" si="2"/>
        <v>6</v>
      </c>
      <c r="D388" s="301" t="str">
        <f t="shared" si="3"/>
        <v>Tuesday</v>
      </c>
      <c r="E388" s="240"/>
      <c r="F388" s="240"/>
      <c r="G388" s="240"/>
      <c r="H388" s="241"/>
      <c r="I388" s="301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ht="14.25" customHeight="1">
      <c r="A389" s="302">
        <f t="shared" si="4"/>
        <v>46561</v>
      </c>
      <c r="B389" s="241">
        <f t="shared" si="1"/>
        <v>2027</v>
      </c>
      <c r="C389" s="241">
        <f t="shared" si="2"/>
        <v>6</v>
      </c>
      <c r="D389" s="301" t="str">
        <f t="shared" si="3"/>
        <v>Wednesday</v>
      </c>
      <c r="E389" s="240"/>
      <c r="F389" s="240"/>
      <c r="G389" s="240"/>
      <c r="H389" s="241"/>
      <c r="I389" s="301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ht="14.25" customHeight="1">
      <c r="A390" s="302">
        <f t="shared" si="4"/>
        <v>46562</v>
      </c>
      <c r="B390" s="241">
        <f t="shared" si="1"/>
        <v>2027</v>
      </c>
      <c r="C390" s="241">
        <f t="shared" si="2"/>
        <v>6</v>
      </c>
      <c r="D390" s="301" t="str">
        <f t="shared" si="3"/>
        <v>Thursday</v>
      </c>
      <c r="E390" s="240"/>
      <c r="F390" s="240"/>
      <c r="G390" s="240"/>
      <c r="H390" s="241"/>
      <c r="I390" s="301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ht="14.25" customHeight="1">
      <c r="A391" s="302">
        <f t="shared" si="4"/>
        <v>46563</v>
      </c>
      <c r="B391" s="241">
        <f t="shared" si="1"/>
        <v>2027</v>
      </c>
      <c r="C391" s="241">
        <f t="shared" si="2"/>
        <v>6</v>
      </c>
      <c r="D391" s="301" t="str">
        <f t="shared" si="3"/>
        <v>Friday</v>
      </c>
      <c r="E391" s="240"/>
      <c r="F391" s="240"/>
      <c r="G391" s="240"/>
      <c r="H391" s="241"/>
      <c r="I391" s="301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ht="14.25" customHeight="1">
      <c r="A392" s="302">
        <f t="shared" si="4"/>
        <v>46564</v>
      </c>
      <c r="B392" s="241">
        <f t="shared" si="1"/>
        <v>2027</v>
      </c>
      <c r="C392" s="241">
        <f t="shared" si="2"/>
        <v>6</v>
      </c>
      <c r="D392" s="301" t="str">
        <f t="shared" si="3"/>
        <v>Saturday</v>
      </c>
      <c r="E392" s="240"/>
      <c r="F392" s="240"/>
      <c r="G392" s="240"/>
      <c r="H392" s="241"/>
      <c r="I392" s="30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ht="14.25" customHeight="1">
      <c r="A393" s="302">
        <f t="shared" si="4"/>
        <v>46565</v>
      </c>
      <c r="B393" s="241">
        <f t="shared" si="1"/>
        <v>2027</v>
      </c>
      <c r="C393" s="241">
        <f t="shared" si="2"/>
        <v>6</v>
      </c>
      <c r="D393" s="301" t="str">
        <f t="shared" si="3"/>
        <v>Sunday</v>
      </c>
      <c r="E393" s="240"/>
      <c r="F393" s="240"/>
      <c r="G393" s="240"/>
      <c r="H393" s="241"/>
      <c r="I393" s="301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ht="14.25" customHeight="1">
      <c r="A394" s="302">
        <f t="shared" si="4"/>
        <v>46566</v>
      </c>
      <c r="B394" s="241">
        <f t="shared" si="1"/>
        <v>2027</v>
      </c>
      <c r="C394" s="241">
        <f t="shared" si="2"/>
        <v>6</v>
      </c>
      <c r="D394" s="301" t="str">
        <f t="shared" si="3"/>
        <v>Monday</v>
      </c>
      <c r="E394" s="240"/>
      <c r="F394" s="240"/>
      <c r="G394" s="240"/>
      <c r="H394" s="241"/>
      <c r="I394" s="301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ht="14.25" customHeight="1">
      <c r="A395" s="302">
        <f t="shared" si="4"/>
        <v>46567</v>
      </c>
      <c r="B395" s="241">
        <f t="shared" si="1"/>
        <v>2027</v>
      </c>
      <c r="C395" s="241">
        <f t="shared" si="2"/>
        <v>6</v>
      </c>
      <c r="D395" s="301" t="str">
        <f t="shared" si="3"/>
        <v>Tuesday</v>
      </c>
      <c r="E395" s="240"/>
      <c r="F395" s="240"/>
      <c r="G395" s="240"/>
      <c r="H395" s="241"/>
      <c r="I395" s="30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ht="14.25" customHeight="1">
      <c r="A396" s="302">
        <f t="shared" si="4"/>
        <v>46568</v>
      </c>
      <c r="B396" s="241">
        <f t="shared" si="1"/>
        <v>2027</v>
      </c>
      <c r="C396" s="241">
        <f t="shared" si="2"/>
        <v>6</v>
      </c>
      <c r="D396" s="301" t="str">
        <f t="shared" si="3"/>
        <v>Wednesday</v>
      </c>
      <c r="E396" s="240"/>
      <c r="F396" s="240"/>
      <c r="G396" s="240"/>
      <c r="H396" s="241"/>
      <c r="I396" s="301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ht="14.25" customHeight="1">
      <c r="A397" s="302">
        <f t="shared" si="4"/>
        <v>46569</v>
      </c>
      <c r="B397" s="241">
        <f t="shared" si="1"/>
        <v>2027</v>
      </c>
      <c r="C397" s="241">
        <f t="shared" si="2"/>
        <v>7</v>
      </c>
      <c r="D397" s="301" t="str">
        <f t="shared" si="3"/>
        <v>Thursday</v>
      </c>
      <c r="E397" s="240"/>
      <c r="F397" s="240"/>
      <c r="G397" s="240"/>
      <c r="H397" s="241"/>
      <c r="I397" s="301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ht="14.25" customHeight="1">
      <c r="A398" s="302">
        <f t="shared" si="4"/>
        <v>46570</v>
      </c>
      <c r="B398" s="241">
        <f t="shared" si="1"/>
        <v>2027</v>
      </c>
      <c r="C398" s="241">
        <f t="shared" si="2"/>
        <v>7</v>
      </c>
      <c r="D398" s="301" t="str">
        <f t="shared" si="3"/>
        <v>Friday</v>
      </c>
      <c r="E398" s="240"/>
      <c r="F398" s="240"/>
      <c r="G398" s="240"/>
      <c r="H398" s="241"/>
      <c r="I398" s="301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ht="14.25" customHeight="1">
      <c r="A399" s="302">
        <f t="shared" si="4"/>
        <v>46571</v>
      </c>
      <c r="B399" s="241">
        <f t="shared" si="1"/>
        <v>2027</v>
      </c>
      <c r="C399" s="241">
        <f t="shared" si="2"/>
        <v>7</v>
      </c>
      <c r="D399" s="301" t="str">
        <f t="shared" si="3"/>
        <v>Saturday</v>
      </c>
      <c r="E399" s="240"/>
      <c r="F399" s="240"/>
      <c r="G399" s="240"/>
      <c r="H399" s="241"/>
      <c r="I399" s="301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ht="14.25" customHeight="1">
      <c r="A400" s="302">
        <f t="shared" si="4"/>
        <v>46572</v>
      </c>
      <c r="B400" s="241">
        <f t="shared" si="1"/>
        <v>2027</v>
      </c>
      <c r="C400" s="241">
        <f t="shared" si="2"/>
        <v>7</v>
      </c>
      <c r="D400" s="301" t="str">
        <f t="shared" si="3"/>
        <v>Sunday</v>
      </c>
      <c r="E400" s="240"/>
      <c r="F400" s="240"/>
      <c r="G400" s="240"/>
      <c r="H400" s="241"/>
      <c r="I400" s="301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ht="14.25" customHeight="1">
      <c r="A401" s="302">
        <f t="shared" si="4"/>
        <v>46573</v>
      </c>
      <c r="B401" s="241">
        <f t="shared" si="1"/>
        <v>2027</v>
      </c>
      <c r="C401" s="241">
        <f t="shared" si="2"/>
        <v>7</v>
      </c>
      <c r="D401" s="301" t="str">
        <f t="shared" si="3"/>
        <v>Monday</v>
      </c>
      <c r="E401" s="240"/>
      <c r="F401" s="240"/>
      <c r="G401" s="240"/>
      <c r="H401" s="241"/>
      <c r="I401" s="301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ht="14.25" customHeight="1">
      <c r="A402" s="302">
        <f t="shared" si="4"/>
        <v>46574</v>
      </c>
      <c r="B402" s="241">
        <f t="shared" si="1"/>
        <v>2027</v>
      </c>
      <c r="C402" s="241">
        <f t="shared" si="2"/>
        <v>7</v>
      </c>
      <c r="D402" s="301" t="str">
        <f t="shared" si="3"/>
        <v>Tuesday</v>
      </c>
      <c r="E402" s="240"/>
      <c r="F402" s="240"/>
      <c r="G402" s="240"/>
      <c r="H402" s="241"/>
      <c r="I402" s="301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ht="14.25" customHeight="1">
      <c r="A403" s="302">
        <f t="shared" si="4"/>
        <v>46575</v>
      </c>
      <c r="B403" s="241">
        <f t="shared" si="1"/>
        <v>2027</v>
      </c>
      <c r="C403" s="241">
        <f t="shared" si="2"/>
        <v>7</v>
      </c>
      <c r="D403" s="301" t="str">
        <f t="shared" si="3"/>
        <v>Wednesday</v>
      </c>
      <c r="E403" s="240"/>
      <c r="F403" s="240"/>
      <c r="G403" s="240"/>
      <c r="H403" s="241"/>
      <c r="I403" s="301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ht="14.25" customHeight="1">
      <c r="A404" s="302">
        <f t="shared" si="4"/>
        <v>46576</v>
      </c>
      <c r="B404" s="241">
        <f t="shared" si="1"/>
        <v>2027</v>
      </c>
      <c r="C404" s="241">
        <f t="shared" si="2"/>
        <v>7</v>
      </c>
      <c r="D404" s="301" t="str">
        <f t="shared" si="3"/>
        <v>Thursday</v>
      </c>
      <c r="E404" s="240"/>
      <c r="F404" s="240"/>
      <c r="G404" s="240"/>
      <c r="H404" s="241"/>
      <c r="I404" s="301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ht="14.25" customHeight="1">
      <c r="A405" s="302">
        <f t="shared" si="4"/>
        <v>46577</v>
      </c>
      <c r="B405" s="241">
        <f t="shared" si="1"/>
        <v>2027</v>
      </c>
      <c r="C405" s="241">
        <f t="shared" si="2"/>
        <v>7</v>
      </c>
      <c r="D405" s="301" t="str">
        <f t="shared" si="3"/>
        <v>Friday</v>
      </c>
      <c r="E405" s="240"/>
      <c r="F405" s="240"/>
      <c r="G405" s="240"/>
      <c r="H405" s="241"/>
      <c r="I405" s="301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ht="14.25" customHeight="1">
      <c r="A406" s="302">
        <f t="shared" si="4"/>
        <v>46578</v>
      </c>
      <c r="B406" s="241">
        <f t="shared" si="1"/>
        <v>2027</v>
      </c>
      <c r="C406" s="241">
        <f t="shared" si="2"/>
        <v>7</v>
      </c>
      <c r="D406" s="301" t="str">
        <f t="shared" si="3"/>
        <v>Saturday</v>
      </c>
      <c r="E406" s="240"/>
      <c r="F406" s="240"/>
      <c r="G406" s="240"/>
      <c r="H406" s="241"/>
      <c r="I406" s="301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ht="14.25" customHeight="1">
      <c r="A407" s="302">
        <f t="shared" si="4"/>
        <v>46579</v>
      </c>
      <c r="B407" s="241">
        <f t="shared" si="1"/>
        <v>2027</v>
      </c>
      <c r="C407" s="241">
        <f t="shared" si="2"/>
        <v>7</v>
      </c>
      <c r="D407" s="301" t="str">
        <f t="shared" si="3"/>
        <v>Sunday</v>
      </c>
      <c r="E407" s="240"/>
      <c r="F407" s="240"/>
      <c r="G407" s="240"/>
      <c r="H407" s="241"/>
      <c r="I407" s="301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ht="14.25" customHeight="1">
      <c r="A408" s="302">
        <f t="shared" si="4"/>
        <v>46580</v>
      </c>
      <c r="B408" s="241">
        <f t="shared" si="1"/>
        <v>2027</v>
      </c>
      <c r="C408" s="241">
        <f t="shared" si="2"/>
        <v>7</v>
      </c>
      <c r="D408" s="301" t="str">
        <f t="shared" si="3"/>
        <v>Monday</v>
      </c>
      <c r="E408" s="240"/>
      <c r="F408" s="240"/>
      <c r="G408" s="240"/>
      <c r="H408" s="241"/>
      <c r="I408" s="301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ht="14.25" customHeight="1">
      <c r="A409" s="302">
        <f t="shared" si="4"/>
        <v>46581</v>
      </c>
      <c r="B409" s="241">
        <f t="shared" si="1"/>
        <v>2027</v>
      </c>
      <c r="C409" s="241">
        <f t="shared" si="2"/>
        <v>7</v>
      </c>
      <c r="D409" s="301" t="str">
        <f t="shared" si="3"/>
        <v>Tuesday</v>
      </c>
      <c r="E409" s="240"/>
      <c r="F409" s="240"/>
      <c r="G409" s="240"/>
      <c r="H409" s="241"/>
      <c r="I409" s="301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ht="14.25" customHeight="1">
      <c r="A410" s="302">
        <f t="shared" si="4"/>
        <v>46582</v>
      </c>
      <c r="B410" s="241">
        <f t="shared" si="1"/>
        <v>2027</v>
      </c>
      <c r="C410" s="241">
        <f t="shared" si="2"/>
        <v>7</v>
      </c>
      <c r="D410" s="301" t="str">
        <f t="shared" si="3"/>
        <v>Wednesday</v>
      </c>
      <c r="E410" s="240"/>
      <c r="F410" s="240"/>
      <c r="G410" s="240"/>
      <c r="H410" s="241"/>
      <c r="I410" s="301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ht="14.25" customHeight="1">
      <c r="A411" s="302">
        <f t="shared" si="4"/>
        <v>46583</v>
      </c>
      <c r="B411" s="241">
        <f t="shared" si="1"/>
        <v>2027</v>
      </c>
      <c r="C411" s="241">
        <f t="shared" si="2"/>
        <v>7</v>
      </c>
      <c r="D411" s="301" t="str">
        <f t="shared" si="3"/>
        <v>Thursday</v>
      </c>
      <c r="E411" s="240"/>
      <c r="F411" s="240"/>
      <c r="G411" s="240"/>
      <c r="H411" s="241"/>
      <c r="I411" s="301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ht="14.25" customHeight="1">
      <c r="A412" s="302">
        <f t="shared" si="4"/>
        <v>46584</v>
      </c>
      <c r="B412" s="241">
        <f t="shared" si="1"/>
        <v>2027</v>
      </c>
      <c r="C412" s="241">
        <f t="shared" si="2"/>
        <v>7</v>
      </c>
      <c r="D412" s="301" t="str">
        <f t="shared" si="3"/>
        <v>Friday</v>
      </c>
      <c r="E412" s="240"/>
      <c r="F412" s="240"/>
      <c r="G412" s="240"/>
      <c r="H412" s="241"/>
      <c r="I412" s="301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ht="14.25" customHeight="1">
      <c r="A413" s="302">
        <f t="shared" si="4"/>
        <v>46585</v>
      </c>
      <c r="B413" s="241">
        <f t="shared" si="1"/>
        <v>2027</v>
      </c>
      <c r="C413" s="241">
        <f t="shared" si="2"/>
        <v>7</v>
      </c>
      <c r="D413" s="301" t="str">
        <f t="shared" si="3"/>
        <v>Saturday</v>
      </c>
      <c r="E413" s="240"/>
      <c r="F413" s="240"/>
      <c r="G413" s="240"/>
      <c r="H413" s="241"/>
      <c r="I413" s="301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ht="14.25" customHeight="1">
      <c r="A414" s="302">
        <f t="shared" si="4"/>
        <v>46586</v>
      </c>
      <c r="B414" s="241">
        <f t="shared" si="1"/>
        <v>2027</v>
      </c>
      <c r="C414" s="241">
        <f t="shared" si="2"/>
        <v>7</v>
      </c>
      <c r="D414" s="301" t="str">
        <f t="shared" si="3"/>
        <v>Sunday</v>
      </c>
      <c r="E414" s="240"/>
      <c r="F414" s="240"/>
      <c r="G414" s="240"/>
      <c r="H414" s="241"/>
      <c r="I414" s="301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ht="14.25" customHeight="1">
      <c r="A415" s="302">
        <f t="shared" si="4"/>
        <v>46587</v>
      </c>
      <c r="B415" s="241">
        <f t="shared" si="1"/>
        <v>2027</v>
      </c>
      <c r="C415" s="241">
        <f t="shared" si="2"/>
        <v>7</v>
      </c>
      <c r="D415" s="301" t="str">
        <f t="shared" si="3"/>
        <v>Monday</v>
      </c>
      <c r="E415" s="240"/>
      <c r="F415" s="240"/>
      <c r="G415" s="240"/>
      <c r="H415" s="241"/>
      <c r="I415" s="301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ht="14.25" customHeight="1">
      <c r="A416" s="302">
        <f t="shared" si="4"/>
        <v>46588</v>
      </c>
      <c r="B416" s="241">
        <f t="shared" si="1"/>
        <v>2027</v>
      </c>
      <c r="C416" s="241">
        <f t="shared" si="2"/>
        <v>7</v>
      </c>
      <c r="D416" s="301" t="str">
        <f t="shared" si="3"/>
        <v>Tuesday</v>
      </c>
      <c r="E416" s="240"/>
      <c r="F416" s="240"/>
      <c r="G416" s="240"/>
      <c r="H416" s="241"/>
      <c r="I416" s="301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ht="14.25" customHeight="1">
      <c r="A417" s="302">
        <f t="shared" si="4"/>
        <v>46589</v>
      </c>
      <c r="B417" s="241">
        <f t="shared" si="1"/>
        <v>2027</v>
      </c>
      <c r="C417" s="241">
        <f t="shared" si="2"/>
        <v>7</v>
      </c>
      <c r="D417" s="301" t="str">
        <f t="shared" si="3"/>
        <v>Wednesday</v>
      </c>
      <c r="E417" s="240"/>
      <c r="F417" s="240"/>
      <c r="G417" s="240"/>
      <c r="H417" s="241"/>
      <c r="I417" s="301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ht="14.25" customHeight="1">
      <c r="A418" s="302">
        <f t="shared" si="4"/>
        <v>46590</v>
      </c>
      <c r="B418" s="241">
        <f t="shared" si="1"/>
        <v>2027</v>
      </c>
      <c r="C418" s="241">
        <f t="shared" si="2"/>
        <v>7</v>
      </c>
      <c r="D418" s="301" t="str">
        <f t="shared" si="3"/>
        <v>Thursday</v>
      </c>
      <c r="E418" s="240"/>
      <c r="F418" s="240"/>
      <c r="G418" s="240"/>
      <c r="H418" s="241"/>
      <c r="I418" s="301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ht="14.25" customHeight="1">
      <c r="A419" s="302">
        <f t="shared" si="4"/>
        <v>46591</v>
      </c>
      <c r="B419" s="241">
        <f t="shared" si="1"/>
        <v>2027</v>
      </c>
      <c r="C419" s="241">
        <f t="shared" si="2"/>
        <v>7</v>
      </c>
      <c r="D419" s="301" t="str">
        <f t="shared" si="3"/>
        <v>Friday</v>
      </c>
      <c r="E419" s="240"/>
      <c r="F419" s="240"/>
      <c r="G419" s="240"/>
      <c r="H419" s="241"/>
      <c r="I419" s="301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ht="14.25" customHeight="1">
      <c r="A420" s="302">
        <f t="shared" si="4"/>
        <v>46592</v>
      </c>
      <c r="B420" s="241">
        <f t="shared" si="1"/>
        <v>2027</v>
      </c>
      <c r="C420" s="241">
        <f t="shared" si="2"/>
        <v>7</v>
      </c>
      <c r="D420" s="301" t="str">
        <f t="shared" si="3"/>
        <v>Saturday</v>
      </c>
      <c r="E420" s="240"/>
      <c r="F420" s="240"/>
      <c r="G420" s="240"/>
      <c r="H420" s="241"/>
      <c r="I420" s="301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ht="14.25" customHeight="1">
      <c r="A421" s="302">
        <f t="shared" si="4"/>
        <v>46593</v>
      </c>
      <c r="B421" s="241">
        <f t="shared" si="1"/>
        <v>2027</v>
      </c>
      <c r="C421" s="241">
        <f t="shared" si="2"/>
        <v>7</v>
      </c>
      <c r="D421" s="301" t="str">
        <f t="shared" si="3"/>
        <v>Sunday</v>
      </c>
      <c r="E421" s="240"/>
      <c r="F421" s="240"/>
      <c r="G421" s="240"/>
      <c r="H421" s="241"/>
      <c r="I421" s="301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ht="14.25" customHeight="1">
      <c r="A422" s="302">
        <f t="shared" si="4"/>
        <v>46594</v>
      </c>
      <c r="B422" s="241">
        <f t="shared" si="1"/>
        <v>2027</v>
      </c>
      <c r="C422" s="241">
        <f t="shared" si="2"/>
        <v>7</v>
      </c>
      <c r="D422" s="301" t="str">
        <f t="shared" si="3"/>
        <v>Monday</v>
      </c>
      <c r="E422" s="240"/>
      <c r="F422" s="240"/>
      <c r="G422" s="240"/>
      <c r="H422" s="241"/>
      <c r="I422" s="301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ht="14.25" customHeight="1">
      <c r="A423" s="302">
        <f t="shared" si="4"/>
        <v>46595</v>
      </c>
      <c r="B423" s="241">
        <f t="shared" si="1"/>
        <v>2027</v>
      </c>
      <c r="C423" s="241">
        <f t="shared" si="2"/>
        <v>7</v>
      </c>
      <c r="D423" s="301" t="str">
        <f t="shared" si="3"/>
        <v>Tuesday</v>
      </c>
      <c r="E423" s="240"/>
      <c r="F423" s="240"/>
      <c r="G423" s="240"/>
      <c r="H423" s="241"/>
      <c r="I423" s="301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ht="14.25" customHeight="1">
      <c r="A424" s="302">
        <f t="shared" si="4"/>
        <v>46596</v>
      </c>
      <c r="B424" s="241">
        <f t="shared" si="1"/>
        <v>2027</v>
      </c>
      <c r="C424" s="241">
        <f t="shared" si="2"/>
        <v>7</v>
      </c>
      <c r="D424" s="301" t="str">
        <f t="shared" si="3"/>
        <v>Wednesday</v>
      </c>
      <c r="E424" s="240"/>
      <c r="F424" s="240"/>
      <c r="G424" s="240"/>
      <c r="H424" s="241"/>
      <c r="I424" s="301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ht="14.25" customHeight="1">
      <c r="A425" s="302">
        <f t="shared" si="4"/>
        <v>46597</v>
      </c>
      <c r="B425" s="241">
        <f t="shared" si="1"/>
        <v>2027</v>
      </c>
      <c r="C425" s="241">
        <f t="shared" si="2"/>
        <v>7</v>
      </c>
      <c r="D425" s="301" t="str">
        <f t="shared" si="3"/>
        <v>Thursday</v>
      </c>
      <c r="E425" s="240"/>
      <c r="F425" s="240"/>
      <c r="G425" s="240"/>
      <c r="H425" s="241"/>
      <c r="I425" s="301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ht="14.25" customHeight="1">
      <c r="A426" s="302">
        <f t="shared" si="4"/>
        <v>46598</v>
      </c>
      <c r="B426" s="241">
        <f t="shared" si="1"/>
        <v>2027</v>
      </c>
      <c r="C426" s="241">
        <f t="shared" si="2"/>
        <v>7</v>
      </c>
      <c r="D426" s="301" t="str">
        <f t="shared" si="3"/>
        <v>Friday</v>
      </c>
      <c r="E426" s="240"/>
      <c r="F426" s="240"/>
      <c r="G426" s="240"/>
      <c r="H426" s="241"/>
      <c r="I426" s="301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ht="14.25" customHeight="1">
      <c r="A427" s="302">
        <f t="shared" si="4"/>
        <v>46599</v>
      </c>
      <c r="B427" s="241">
        <f t="shared" si="1"/>
        <v>2027</v>
      </c>
      <c r="C427" s="241">
        <f t="shared" si="2"/>
        <v>7</v>
      </c>
      <c r="D427" s="301" t="str">
        <f t="shared" si="3"/>
        <v>Saturday</v>
      </c>
      <c r="E427" s="240"/>
      <c r="F427" s="240"/>
      <c r="G427" s="240"/>
      <c r="H427" s="241"/>
      <c r="I427" s="301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ht="14.25" customHeight="1">
      <c r="A428" s="302">
        <f t="shared" si="4"/>
        <v>46600</v>
      </c>
      <c r="B428" s="241">
        <f t="shared" si="1"/>
        <v>2027</v>
      </c>
      <c r="C428" s="241">
        <f t="shared" si="2"/>
        <v>8</v>
      </c>
      <c r="D428" s="301" t="str">
        <f t="shared" si="3"/>
        <v>Sunday</v>
      </c>
      <c r="E428" s="240"/>
      <c r="F428" s="240"/>
      <c r="G428" s="240"/>
      <c r="H428" s="241"/>
      <c r="I428" s="301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ht="14.25" customHeight="1">
      <c r="A429" s="302">
        <f t="shared" si="4"/>
        <v>46601</v>
      </c>
      <c r="B429" s="241">
        <f t="shared" si="1"/>
        <v>2027</v>
      </c>
      <c r="C429" s="241">
        <f t="shared" si="2"/>
        <v>8</v>
      </c>
      <c r="D429" s="301" t="str">
        <f t="shared" si="3"/>
        <v>Monday</v>
      </c>
      <c r="E429" s="240"/>
      <c r="F429" s="240"/>
      <c r="G429" s="240"/>
      <c r="H429" s="241"/>
      <c r="I429" s="301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ht="14.25" customHeight="1">
      <c r="A430" s="302">
        <f t="shared" si="4"/>
        <v>46602</v>
      </c>
      <c r="B430" s="241">
        <f t="shared" si="1"/>
        <v>2027</v>
      </c>
      <c r="C430" s="241">
        <f t="shared" si="2"/>
        <v>8</v>
      </c>
      <c r="D430" s="301" t="str">
        <f t="shared" si="3"/>
        <v>Tuesday</v>
      </c>
      <c r="E430" s="240"/>
      <c r="F430" s="240"/>
      <c r="G430" s="240"/>
      <c r="H430" s="241"/>
      <c r="I430" s="301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ht="14.25" customHeight="1">
      <c r="A431" s="302">
        <f t="shared" si="4"/>
        <v>46603</v>
      </c>
      <c r="B431" s="241">
        <f t="shared" si="1"/>
        <v>2027</v>
      </c>
      <c r="C431" s="241">
        <f t="shared" si="2"/>
        <v>8</v>
      </c>
      <c r="D431" s="301" t="str">
        <f t="shared" si="3"/>
        <v>Wednesday</v>
      </c>
      <c r="E431" s="240"/>
      <c r="F431" s="240"/>
      <c r="G431" s="240"/>
      <c r="H431" s="241"/>
      <c r="I431" s="301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ht="14.25" customHeight="1">
      <c r="A432" s="302">
        <f t="shared" si="4"/>
        <v>46604</v>
      </c>
      <c r="B432" s="241">
        <f t="shared" si="1"/>
        <v>2027</v>
      </c>
      <c r="C432" s="241">
        <f t="shared" si="2"/>
        <v>8</v>
      </c>
      <c r="D432" s="301" t="str">
        <f t="shared" si="3"/>
        <v>Thursday</v>
      </c>
      <c r="E432" s="240"/>
      <c r="F432" s="240"/>
      <c r="G432" s="240"/>
      <c r="H432" s="241"/>
      <c r="I432" s="301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ht="14.25" customHeight="1">
      <c r="A433" s="302">
        <f t="shared" si="4"/>
        <v>46605</v>
      </c>
      <c r="B433" s="241">
        <f t="shared" si="1"/>
        <v>2027</v>
      </c>
      <c r="C433" s="241">
        <f t="shared" si="2"/>
        <v>8</v>
      </c>
      <c r="D433" s="301" t="str">
        <f t="shared" si="3"/>
        <v>Friday</v>
      </c>
      <c r="E433" s="240"/>
      <c r="F433" s="240"/>
      <c r="G433" s="240"/>
      <c r="H433" s="241"/>
      <c r="I433" s="301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ht="14.25" customHeight="1">
      <c r="A434" s="302">
        <f t="shared" si="4"/>
        <v>46606</v>
      </c>
      <c r="B434" s="241">
        <f t="shared" si="1"/>
        <v>2027</v>
      </c>
      <c r="C434" s="241">
        <f t="shared" si="2"/>
        <v>8</v>
      </c>
      <c r="D434" s="301" t="str">
        <f t="shared" si="3"/>
        <v>Saturday</v>
      </c>
      <c r="E434" s="240"/>
      <c r="F434" s="240"/>
      <c r="G434" s="240"/>
      <c r="H434" s="241"/>
      <c r="I434" s="301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ht="14.25" customHeight="1">
      <c r="A435" s="302">
        <f t="shared" si="4"/>
        <v>46607</v>
      </c>
      <c r="B435" s="241">
        <f t="shared" si="1"/>
        <v>2027</v>
      </c>
      <c r="C435" s="241">
        <f t="shared" si="2"/>
        <v>8</v>
      </c>
      <c r="D435" s="301" t="str">
        <f t="shared" si="3"/>
        <v>Sunday</v>
      </c>
      <c r="E435" s="240"/>
      <c r="F435" s="240"/>
      <c r="G435" s="240"/>
      <c r="H435" s="241"/>
      <c r="I435" s="301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ht="14.25" customHeight="1">
      <c r="A436" s="302">
        <f t="shared" si="4"/>
        <v>46608</v>
      </c>
      <c r="B436" s="241">
        <f t="shared" si="1"/>
        <v>2027</v>
      </c>
      <c r="C436" s="241">
        <f t="shared" si="2"/>
        <v>8</v>
      </c>
      <c r="D436" s="301" t="str">
        <f t="shared" si="3"/>
        <v>Monday</v>
      </c>
      <c r="E436" s="240"/>
      <c r="F436" s="240"/>
      <c r="G436" s="240"/>
      <c r="H436" s="241"/>
      <c r="I436" s="301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ht="14.25" customHeight="1">
      <c r="A437" s="302">
        <f t="shared" si="4"/>
        <v>46609</v>
      </c>
      <c r="B437" s="241">
        <f t="shared" si="1"/>
        <v>2027</v>
      </c>
      <c r="C437" s="241">
        <f t="shared" si="2"/>
        <v>8</v>
      </c>
      <c r="D437" s="301" t="str">
        <f t="shared" si="3"/>
        <v>Tuesday</v>
      </c>
      <c r="E437" s="240"/>
      <c r="F437" s="240"/>
      <c r="G437" s="240"/>
      <c r="H437" s="241"/>
      <c r="I437" s="301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ht="14.25" customHeight="1">
      <c r="A438" s="302">
        <f t="shared" si="4"/>
        <v>46610</v>
      </c>
      <c r="B438" s="241">
        <f t="shared" si="1"/>
        <v>2027</v>
      </c>
      <c r="C438" s="241">
        <f t="shared" si="2"/>
        <v>8</v>
      </c>
      <c r="D438" s="301" t="str">
        <f t="shared" si="3"/>
        <v>Wednesday</v>
      </c>
      <c r="E438" s="240"/>
      <c r="F438" s="240"/>
      <c r="G438" s="240"/>
      <c r="H438" s="241"/>
      <c r="I438" s="301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ht="14.25" customHeight="1">
      <c r="A439" s="302">
        <f t="shared" si="4"/>
        <v>46611</v>
      </c>
      <c r="B439" s="241">
        <f t="shared" si="1"/>
        <v>2027</v>
      </c>
      <c r="C439" s="241">
        <f t="shared" si="2"/>
        <v>8</v>
      </c>
      <c r="D439" s="301" t="str">
        <f t="shared" si="3"/>
        <v>Thursday</v>
      </c>
      <c r="E439" s="240"/>
      <c r="F439" s="240"/>
      <c r="G439" s="240"/>
      <c r="H439" s="241"/>
      <c r="I439" s="301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ht="14.25" customHeight="1">
      <c r="A440" s="302">
        <f t="shared" si="4"/>
        <v>46612</v>
      </c>
      <c r="B440" s="241">
        <f t="shared" si="1"/>
        <v>2027</v>
      </c>
      <c r="C440" s="241">
        <f t="shared" si="2"/>
        <v>8</v>
      </c>
      <c r="D440" s="301" t="str">
        <f t="shared" si="3"/>
        <v>Friday</v>
      </c>
      <c r="E440" s="240"/>
      <c r="F440" s="240"/>
      <c r="G440" s="240"/>
      <c r="H440" s="241"/>
      <c r="I440" s="301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ht="14.25" customHeight="1">
      <c r="A441" s="302">
        <f t="shared" si="4"/>
        <v>46613</v>
      </c>
      <c r="B441" s="241">
        <f t="shared" si="1"/>
        <v>2027</v>
      </c>
      <c r="C441" s="241">
        <f t="shared" si="2"/>
        <v>8</v>
      </c>
      <c r="D441" s="301" t="str">
        <f t="shared" si="3"/>
        <v>Saturday</v>
      </c>
      <c r="E441" s="240"/>
      <c r="F441" s="240"/>
      <c r="G441" s="240"/>
      <c r="H441" s="241"/>
      <c r="I441" s="301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ht="14.25" customHeight="1">
      <c r="A442" s="302">
        <f t="shared" si="4"/>
        <v>46614</v>
      </c>
      <c r="B442" s="241">
        <f t="shared" si="1"/>
        <v>2027</v>
      </c>
      <c r="C442" s="241">
        <f t="shared" si="2"/>
        <v>8</v>
      </c>
      <c r="D442" s="301" t="str">
        <f t="shared" si="3"/>
        <v>Sunday</v>
      </c>
      <c r="E442" s="240"/>
      <c r="F442" s="240"/>
      <c r="G442" s="240"/>
      <c r="H442" s="241"/>
      <c r="I442" s="301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ht="14.25" customHeight="1">
      <c r="A443" s="302">
        <f t="shared" si="4"/>
        <v>46615</v>
      </c>
      <c r="B443" s="241">
        <f t="shared" si="1"/>
        <v>2027</v>
      </c>
      <c r="C443" s="241">
        <f t="shared" si="2"/>
        <v>8</v>
      </c>
      <c r="D443" s="301" t="str">
        <f t="shared" si="3"/>
        <v>Monday</v>
      </c>
      <c r="E443" s="240"/>
      <c r="F443" s="240"/>
      <c r="G443" s="240"/>
      <c r="H443" s="241"/>
      <c r="I443" s="301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ht="14.25" customHeight="1">
      <c r="A444" s="302">
        <f t="shared" si="4"/>
        <v>46616</v>
      </c>
      <c r="B444" s="241">
        <f t="shared" si="1"/>
        <v>2027</v>
      </c>
      <c r="C444" s="241">
        <f t="shared" si="2"/>
        <v>8</v>
      </c>
      <c r="D444" s="301" t="str">
        <f t="shared" si="3"/>
        <v>Tuesday</v>
      </c>
      <c r="E444" s="240"/>
      <c r="F444" s="240"/>
      <c r="G444" s="240"/>
      <c r="H444" s="241"/>
      <c r="I444" s="301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ht="14.25" customHeight="1">
      <c r="A445" s="302">
        <f t="shared" si="4"/>
        <v>46617</v>
      </c>
      <c r="B445" s="241">
        <f t="shared" si="1"/>
        <v>2027</v>
      </c>
      <c r="C445" s="241">
        <f t="shared" si="2"/>
        <v>8</v>
      </c>
      <c r="D445" s="301" t="str">
        <f t="shared" si="3"/>
        <v>Wednesday</v>
      </c>
      <c r="E445" s="240"/>
      <c r="F445" s="240"/>
      <c r="G445" s="240"/>
      <c r="H445" s="241"/>
      <c r="I445" s="301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ht="14.25" customHeight="1">
      <c r="A446" s="302">
        <f t="shared" si="4"/>
        <v>46618</v>
      </c>
      <c r="B446" s="241">
        <f t="shared" si="1"/>
        <v>2027</v>
      </c>
      <c r="C446" s="241">
        <f t="shared" si="2"/>
        <v>8</v>
      </c>
      <c r="D446" s="301" t="str">
        <f t="shared" si="3"/>
        <v>Thursday</v>
      </c>
      <c r="E446" s="240"/>
      <c r="F446" s="240"/>
      <c r="G446" s="240"/>
      <c r="H446" s="241"/>
      <c r="I446" s="301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ht="14.25" customHeight="1">
      <c r="A447" s="302">
        <f t="shared" si="4"/>
        <v>46619</v>
      </c>
      <c r="B447" s="241">
        <f t="shared" si="1"/>
        <v>2027</v>
      </c>
      <c r="C447" s="241">
        <f t="shared" si="2"/>
        <v>8</v>
      </c>
      <c r="D447" s="301" t="str">
        <f t="shared" si="3"/>
        <v>Friday</v>
      </c>
      <c r="E447" s="240"/>
      <c r="F447" s="240"/>
      <c r="G447" s="240"/>
      <c r="H447" s="241"/>
      <c r="I447" s="301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ht="14.25" customHeight="1">
      <c r="A448" s="302">
        <f t="shared" si="4"/>
        <v>46620</v>
      </c>
      <c r="B448" s="241">
        <f t="shared" si="1"/>
        <v>2027</v>
      </c>
      <c r="C448" s="241">
        <f t="shared" si="2"/>
        <v>8</v>
      </c>
      <c r="D448" s="301" t="str">
        <f t="shared" si="3"/>
        <v>Saturday</v>
      </c>
      <c r="E448" s="240"/>
      <c r="F448" s="240"/>
      <c r="G448" s="240"/>
      <c r="H448" s="241"/>
      <c r="I448" s="301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ht="14.25" customHeight="1">
      <c r="A449" s="302">
        <f t="shared" si="4"/>
        <v>46621</v>
      </c>
      <c r="B449" s="241">
        <f t="shared" si="1"/>
        <v>2027</v>
      </c>
      <c r="C449" s="241">
        <f t="shared" si="2"/>
        <v>8</v>
      </c>
      <c r="D449" s="301" t="str">
        <f t="shared" si="3"/>
        <v>Sunday</v>
      </c>
      <c r="E449" s="240"/>
      <c r="F449" s="240"/>
      <c r="G449" s="240"/>
      <c r="H449" s="241"/>
      <c r="I449" s="301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ht="14.25" customHeight="1">
      <c r="A450" s="302">
        <f t="shared" si="4"/>
        <v>46622</v>
      </c>
      <c r="B450" s="241">
        <f t="shared" si="1"/>
        <v>2027</v>
      </c>
      <c r="C450" s="241">
        <f t="shared" si="2"/>
        <v>8</v>
      </c>
      <c r="D450" s="301" t="str">
        <f t="shared" si="3"/>
        <v>Monday</v>
      </c>
      <c r="E450" s="240"/>
      <c r="F450" s="240"/>
      <c r="G450" s="240"/>
      <c r="H450" s="241"/>
      <c r="I450" s="301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ht="14.25" customHeight="1">
      <c r="A451" s="302">
        <f t="shared" si="4"/>
        <v>46623</v>
      </c>
      <c r="B451" s="241">
        <f t="shared" si="1"/>
        <v>2027</v>
      </c>
      <c r="C451" s="241">
        <f t="shared" si="2"/>
        <v>8</v>
      </c>
      <c r="D451" s="301" t="str">
        <f t="shared" si="3"/>
        <v>Tuesday</v>
      </c>
      <c r="E451" s="240"/>
      <c r="F451" s="240"/>
      <c r="G451" s="240"/>
      <c r="H451" s="241"/>
      <c r="I451" s="301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ht="14.25" customHeight="1">
      <c r="A452" s="302">
        <f t="shared" si="4"/>
        <v>46624</v>
      </c>
      <c r="B452" s="241">
        <f t="shared" si="1"/>
        <v>2027</v>
      </c>
      <c r="C452" s="241">
        <f t="shared" si="2"/>
        <v>8</v>
      </c>
      <c r="D452" s="301" t="str">
        <f t="shared" si="3"/>
        <v>Wednesday</v>
      </c>
      <c r="E452" s="240"/>
      <c r="F452" s="240"/>
      <c r="G452" s="240"/>
      <c r="H452" s="241"/>
      <c r="I452" s="301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ht="14.25" customHeight="1">
      <c r="A453" s="302">
        <f t="shared" si="4"/>
        <v>46625</v>
      </c>
      <c r="B453" s="241">
        <f t="shared" si="1"/>
        <v>2027</v>
      </c>
      <c r="C453" s="241">
        <f t="shared" si="2"/>
        <v>8</v>
      </c>
      <c r="D453" s="301" t="str">
        <f t="shared" si="3"/>
        <v>Thursday</v>
      </c>
      <c r="E453" s="240"/>
      <c r="F453" s="240"/>
      <c r="G453" s="240"/>
      <c r="H453" s="241"/>
      <c r="I453" s="301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ht="14.25" customHeight="1">
      <c r="A454" s="302">
        <f t="shared" si="4"/>
        <v>46626</v>
      </c>
      <c r="B454" s="241">
        <f t="shared" si="1"/>
        <v>2027</v>
      </c>
      <c r="C454" s="241">
        <f t="shared" si="2"/>
        <v>8</v>
      </c>
      <c r="D454" s="301" t="str">
        <f t="shared" si="3"/>
        <v>Friday</v>
      </c>
      <c r="E454" s="240"/>
      <c r="F454" s="240"/>
      <c r="G454" s="240"/>
      <c r="H454" s="241"/>
      <c r="I454" s="301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ht="14.25" customHeight="1">
      <c r="A455" s="302">
        <f t="shared" si="4"/>
        <v>46627</v>
      </c>
      <c r="B455" s="241">
        <f t="shared" si="1"/>
        <v>2027</v>
      </c>
      <c r="C455" s="241">
        <f t="shared" si="2"/>
        <v>8</v>
      </c>
      <c r="D455" s="301" t="str">
        <f t="shared" si="3"/>
        <v>Saturday</v>
      </c>
      <c r="E455" s="240"/>
      <c r="F455" s="240"/>
      <c r="G455" s="240"/>
      <c r="H455" s="241"/>
      <c r="I455" s="301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ht="14.25" customHeight="1">
      <c r="A456" s="302">
        <f t="shared" si="4"/>
        <v>46628</v>
      </c>
      <c r="B456" s="241">
        <f t="shared" si="1"/>
        <v>2027</v>
      </c>
      <c r="C456" s="241">
        <f t="shared" si="2"/>
        <v>8</v>
      </c>
      <c r="D456" s="301" t="str">
        <f t="shared" si="3"/>
        <v>Sunday</v>
      </c>
      <c r="E456" s="240"/>
      <c r="F456" s="240"/>
      <c r="G456" s="240"/>
      <c r="H456" s="241"/>
      <c r="I456" s="301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ht="14.25" customHeight="1">
      <c r="A457" s="302">
        <f t="shared" si="4"/>
        <v>46629</v>
      </c>
      <c r="B457" s="241">
        <f t="shared" si="1"/>
        <v>2027</v>
      </c>
      <c r="C457" s="241">
        <f t="shared" si="2"/>
        <v>8</v>
      </c>
      <c r="D457" s="301" t="str">
        <f t="shared" si="3"/>
        <v>Monday</v>
      </c>
      <c r="E457" s="240"/>
      <c r="F457" s="240"/>
      <c r="G457" s="240"/>
      <c r="H457" s="241"/>
      <c r="I457" s="301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ht="14.25" customHeight="1">
      <c r="A458" s="302">
        <f t="shared" si="4"/>
        <v>46630</v>
      </c>
      <c r="B458" s="241">
        <f t="shared" si="1"/>
        <v>2027</v>
      </c>
      <c r="C458" s="241">
        <f t="shared" si="2"/>
        <v>8</v>
      </c>
      <c r="D458" s="301" t="str">
        <f t="shared" si="3"/>
        <v>Tuesday</v>
      </c>
      <c r="E458" s="240"/>
      <c r="F458" s="240"/>
      <c r="G458" s="240"/>
      <c r="H458" s="241"/>
      <c r="I458" s="301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ht="14.25" customHeight="1">
      <c r="A459" s="302">
        <f t="shared" si="4"/>
        <v>46631</v>
      </c>
      <c r="B459" s="241">
        <f t="shared" si="1"/>
        <v>2027</v>
      </c>
      <c r="C459" s="241">
        <f t="shared" si="2"/>
        <v>9</v>
      </c>
      <c r="D459" s="301" t="str">
        <f t="shared" si="3"/>
        <v>Wednesday</v>
      </c>
      <c r="E459" s="240"/>
      <c r="F459" s="240"/>
      <c r="G459" s="240"/>
      <c r="H459" s="241"/>
      <c r="I459" s="301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ht="14.25" customHeight="1">
      <c r="A460" s="302">
        <f t="shared" si="4"/>
        <v>46632</v>
      </c>
      <c r="B460" s="241">
        <f t="shared" si="1"/>
        <v>2027</v>
      </c>
      <c r="C460" s="241">
        <f t="shared" si="2"/>
        <v>9</v>
      </c>
      <c r="D460" s="301" t="str">
        <f t="shared" si="3"/>
        <v>Thursday</v>
      </c>
      <c r="E460" s="240"/>
      <c r="F460" s="240"/>
      <c r="G460" s="240"/>
      <c r="H460" s="241"/>
      <c r="I460" s="301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ht="14.25" customHeight="1">
      <c r="A461" s="302">
        <f t="shared" si="4"/>
        <v>46633</v>
      </c>
      <c r="B461" s="241">
        <f t="shared" si="1"/>
        <v>2027</v>
      </c>
      <c r="C461" s="241">
        <f t="shared" si="2"/>
        <v>9</v>
      </c>
      <c r="D461" s="301" t="str">
        <f t="shared" si="3"/>
        <v>Friday</v>
      </c>
      <c r="E461" s="240"/>
      <c r="F461" s="240"/>
      <c r="G461" s="240"/>
      <c r="H461" s="241"/>
      <c r="I461" s="301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ht="14.25" customHeight="1">
      <c r="A462" s="302">
        <f t="shared" si="4"/>
        <v>46634</v>
      </c>
      <c r="B462" s="241">
        <f t="shared" si="1"/>
        <v>2027</v>
      </c>
      <c r="C462" s="241">
        <f t="shared" si="2"/>
        <v>9</v>
      </c>
      <c r="D462" s="301" t="str">
        <f t="shared" si="3"/>
        <v>Saturday</v>
      </c>
      <c r="E462" s="240"/>
      <c r="F462" s="240"/>
      <c r="G462" s="240"/>
      <c r="H462" s="241"/>
      <c r="I462" s="301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ht="14.25" customHeight="1">
      <c r="A463" s="302">
        <f t="shared" si="4"/>
        <v>46635</v>
      </c>
      <c r="B463" s="241">
        <f t="shared" si="1"/>
        <v>2027</v>
      </c>
      <c r="C463" s="241">
        <f t="shared" si="2"/>
        <v>9</v>
      </c>
      <c r="D463" s="301" t="str">
        <f t="shared" si="3"/>
        <v>Sunday</v>
      </c>
      <c r="E463" s="240"/>
      <c r="F463" s="240"/>
      <c r="G463" s="240"/>
      <c r="H463" s="241"/>
      <c r="I463" s="301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ht="14.25" customHeight="1">
      <c r="A464" s="302">
        <f t="shared" si="4"/>
        <v>46636</v>
      </c>
      <c r="B464" s="241">
        <f t="shared" si="1"/>
        <v>2027</v>
      </c>
      <c r="C464" s="241">
        <f t="shared" si="2"/>
        <v>9</v>
      </c>
      <c r="D464" s="301" t="str">
        <f t="shared" si="3"/>
        <v>Monday</v>
      </c>
      <c r="E464" s="240"/>
      <c r="F464" s="240"/>
      <c r="G464" s="240"/>
      <c r="H464" s="241"/>
      <c r="I464" s="301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ht="14.25" customHeight="1">
      <c r="A465" s="302">
        <f t="shared" si="4"/>
        <v>46637</v>
      </c>
      <c r="B465" s="241">
        <f t="shared" si="1"/>
        <v>2027</v>
      </c>
      <c r="C465" s="241">
        <f t="shared" si="2"/>
        <v>9</v>
      </c>
      <c r="D465" s="301" t="str">
        <f t="shared" si="3"/>
        <v>Tuesday</v>
      </c>
      <c r="E465" s="240"/>
      <c r="F465" s="240"/>
      <c r="G465" s="240"/>
      <c r="H465" s="241"/>
      <c r="I465" s="301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ht="14.25" customHeight="1">
      <c r="A466" s="302">
        <f t="shared" si="4"/>
        <v>46638</v>
      </c>
      <c r="B466" s="241">
        <f t="shared" si="1"/>
        <v>2027</v>
      </c>
      <c r="C466" s="241">
        <f t="shared" si="2"/>
        <v>9</v>
      </c>
      <c r="D466" s="301" t="str">
        <f t="shared" si="3"/>
        <v>Wednesday</v>
      </c>
      <c r="E466" s="240"/>
      <c r="F466" s="240"/>
      <c r="G466" s="240"/>
      <c r="H466" s="241"/>
      <c r="I466" s="301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ht="14.25" customHeight="1">
      <c r="A467" s="302">
        <f t="shared" si="4"/>
        <v>46639</v>
      </c>
      <c r="B467" s="241">
        <f t="shared" si="1"/>
        <v>2027</v>
      </c>
      <c r="C467" s="241">
        <f t="shared" si="2"/>
        <v>9</v>
      </c>
      <c r="D467" s="301" t="str">
        <f t="shared" si="3"/>
        <v>Thursday</v>
      </c>
      <c r="E467" s="240"/>
      <c r="F467" s="240"/>
      <c r="G467" s="240"/>
      <c r="H467" s="241"/>
      <c r="I467" s="301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ht="14.25" customHeight="1">
      <c r="A468" s="302">
        <f t="shared" si="4"/>
        <v>46640</v>
      </c>
      <c r="B468" s="241">
        <f t="shared" si="1"/>
        <v>2027</v>
      </c>
      <c r="C468" s="241">
        <f t="shared" si="2"/>
        <v>9</v>
      </c>
      <c r="D468" s="301" t="str">
        <f t="shared" si="3"/>
        <v>Friday</v>
      </c>
      <c r="E468" s="240"/>
      <c r="F468" s="240"/>
      <c r="G468" s="240"/>
      <c r="H468" s="241"/>
      <c r="I468" s="301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ht="14.25" customHeight="1">
      <c r="A469" s="302">
        <f t="shared" si="4"/>
        <v>46641</v>
      </c>
      <c r="B469" s="241">
        <f t="shared" si="1"/>
        <v>2027</v>
      </c>
      <c r="C469" s="241">
        <f t="shared" si="2"/>
        <v>9</v>
      </c>
      <c r="D469" s="301" t="str">
        <f t="shared" si="3"/>
        <v>Saturday</v>
      </c>
      <c r="E469" s="240"/>
      <c r="F469" s="240"/>
      <c r="G469" s="240"/>
      <c r="H469" s="241"/>
      <c r="I469" s="301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ht="14.25" customHeight="1">
      <c r="A470" s="302">
        <f t="shared" si="4"/>
        <v>46642</v>
      </c>
      <c r="B470" s="241">
        <f t="shared" si="1"/>
        <v>2027</v>
      </c>
      <c r="C470" s="241">
        <f t="shared" si="2"/>
        <v>9</v>
      </c>
      <c r="D470" s="301" t="str">
        <f t="shared" si="3"/>
        <v>Sunday</v>
      </c>
      <c r="E470" s="240"/>
      <c r="F470" s="240"/>
      <c r="G470" s="240"/>
      <c r="H470" s="241"/>
      <c r="I470" s="301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ht="14.25" customHeight="1">
      <c r="A471" s="302">
        <f t="shared" si="4"/>
        <v>46643</v>
      </c>
      <c r="B471" s="241">
        <f t="shared" si="1"/>
        <v>2027</v>
      </c>
      <c r="C471" s="241">
        <f t="shared" si="2"/>
        <v>9</v>
      </c>
      <c r="D471" s="301" t="str">
        <f t="shared" si="3"/>
        <v>Monday</v>
      </c>
      <c r="E471" s="240"/>
      <c r="F471" s="240"/>
      <c r="G471" s="240"/>
      <c r="H471" s="241"/>
      <c r="I471" s="301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ht="14.25" customHeight="1">
      <c r="A472" s="302">
        <f t="shared" si="4"/>
        <v>46644</v>
      </c>
      <c r="B472" s="241">
        <f t="shared" si="1"/>
        <v>2027</v>
      </c>
      <c r="C472" s="241">
        <f t="shared" si="2"/>
        <v>9</v>
      </c>
      <c r="D472" s="301" t="str">
        <f t="shared" si="3"/>
        <v>Tuesday</v>
      </c>
      <c r="E472" s="240"/>
      <c r="F472" s="240"/>
      <c r="G472" s="240"/>
      <c r="H472" s="241"/>
      <c r="I472" s="301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ht="14.25" customHeight="1">
      <c r="A473" s="302">
        <f t="shared" si="4"/>
        <v>46645</v>
      </c>
      <c r="B473" s="241">
        <f t="shared" si="1"/>
        <v>2027</v>
      </c>
      <c r="C473" s="241">
        <f t="shared" si="2"/>
        <v>9</v>
      </c>
      <c r="D473" s="301" t="str">
        <f t="shared" si="3"/>
        <v>Wednesday</v>
      </c>
      <c r="E473" s="240"/>
      <c r="F473" s="240"/>
      <c r="G473" s="240"/>
      <c r="H473" s="241"/>
      <c r="I473" s="301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ht="14.25" customHeight="1">
      <c r="A474" s="302">
        <f t="shared" si="4"/>
        <v>46646</v>
      </c>
      <c r="B474" s="241">
        <f t="shared" si="1"/>
        <v>2027</v>
      </c>
      <c r="C474" s="241">
        <f t="shared" si="2"/>
        <v>9</v>
      </c>
      <c r="D474" s="301" t="str">
        <f t="shared" si="3"/>
        <v>Thursday</v>
      </c>
      <c r="E474" s="240"/>
      <c r="F474" s="240"/>
      <c r="G474" s="240"/>
      <c r="H474" s="241"/>
      <c r="I474" s="301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ht="14.25" customHeight="1">
      <c r="A475" s="302">
        <f t="shared" si="4"/>
        <v>46647</v>
      </c>
      <c r="B475" s="241">
        <f t="shared" si="1"/>
        <v>2027</v>
      </c>
      <c r="C475" s="241">
        <f t="shared" si="2"/>
        <v>9</v>
      </c>
      <c r="D475" s="301" t="str">
        <f t="shared" si="3"/>
        <v>Friday</v>
      </c>
      <c r="E475" s="240"/>
      <c r="F475" s="240"/>
      <c r="G475" s="240"/>
      <c r="H475" s="241"/>
      <c r="I475" s="301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ht="14.25" customHeight="1">
      <c r="A476" s="302">
        <f t="shared" si="4"/>
        <v>46648</v>
      </c>
      <c r="B476" s="241">
        <f t="shared" si="1"/>
        <v>2027</v>
      </c>
      <c r="C476" s="241">
        <f t="shared" si="2"/>
        <v>9</v>
      </c>
      <c r="D476" s="301" t="str">
        <f t="shared" si="3"/>
        <v>Saturday</v>
      </c>
      <c r="E476" s="240"/>
      <c r="F476" s="240"/>
      <c r="G476" s="240"/>
      <c r="H476" s="241"/>
      <c r="I476" s="301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ht="14.25" customHeight="1">
      <c r="A477" s="302">
        <f t="shared" si="4"/>
        <v>46649</v>
      </c>
      <c r="B477" s="241">
        <f t="shared" si="1"/>
        <v>2027</v>
      </c>
      <c r="C477" s="241">
        <f t="shared" si="2"/>
        <v>9</v>
      </c>
      <c r="D477" s="301" t="str">
        <f t="shared" si="3"/>
        <v>Sunday</v>
      </c>
      <c r="E477" s="240"/>
      <c r="F477" s="240"/>
      <c r="G477" s="240"/>
      <c r="H477" s="241"/>
      <c r="I477" s="301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ht="14.25" customHeight="1">
      <c r="A478" s="302">
        <f t="shared" si="4"/>
        <v>46650</v>
      </c>
      <c r="B478" s="241">
        <f t="shared" si="1"/>
        <v>2027</v>
      </c>
      <c r="C478" s="241">
        <f t="shared" si="2"/>
        <v>9</v>
      </c>
      <c r="D478" s="301" t="str">
        <f t="shared" si="3"/>
        <v>Monday</v>
      </c>
      <c r="E478" s="240"/>
      <c r="F478" s="240"/>
      <c r="G478" s="240"/>
      <c r="H478" s="241"/>
      <c r="I478" s="301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ht="14.25" customHeight="1">
      <c r="A479" s="302">
        <f t="shared" si="4"/>
        <v>46651</v>
      </c>
      <c r="B479" s="241">
        <f t="shared" si="1"/>
        <v>2027</v>
      </c>
      <c r="C479" s="241">
        <f t="shared" si="2"/>
        <v>9</v>
      </c>
      <c r="D479" s="301" t="str">
        <f t="shared" si="3"/>
        <v>Tuesday</v>
      </c>
      <c r="E479" s="240"/>
      <c r="F479" s="240"/>
      <c r="G479" s="240"/>
      <c r="H479" s="241"/>
      <c r="I479" s="301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ht="14.25" customHeight="1">
      <c r="A480" s="302">
        <f t="shared" si="4"/>
        <v>46652</v>
      </c>
      <c r="B480" s="241">
        <f t="shared" si="1"/>
        <v>2027</v>
      </c>
      <c r="C480" s="241">
        <f t="shared" si="2"/>
        <v>9</v>
      </c>
      <c r="D480" s="301" t="str">
        <f t="shared" si="3"/>
        <v>Wednesday</v>
      </c>
      <c r="E480" s="240"/>
      <c r="F480" s="240"/>
      <c r="G480" s="240"/>
      <c r="H480" s="241"/>
      <c r="I480" s="301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ht="14.25" customHeight="1">
      <c r="A481" s="302">
        <f t="shared" si="4"/>
        <v>46653</v>
      </c>
      <c r="B481" s="241">
        <f t="shared" si="1"/>
        <v>2027</v>
      </c>
      <c r="C481" s="241">
        <f t="shared" si="2"/>
        <v>9</v>
      </c>
      <c r="D481" s="301" t="str">
        <f t="shared" si="3"/>
        <v>Thursday</v>
      </c>
      <c r="E481" s="240"/>
      <c r="F481" s="240"/>
      <c r="G481" s="240"/>
      <c r="H481" s="241"/>
      <c r="I481" s="301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ht="14.25" customHeight="1">
      <c r="A482" s="302">
        <f t="shared" si="4"/>
        <v>46654</v>
      </c>
      <c r="B482" s="241">
        <f t="shared" si="1"/>
        <v>2027</v>
      </c>
      <c r="C482" s="241">
        <f t="shared" si="2"/>
        <v>9</v>
      </c>
      <c r="D482" s="301" t="str">
        <f t="shared" si="3"/>
        <v>Friday</v>
      </c>
      <c r="E482" s="240"/>
      <c r="F482" s="240"/>
      <c r="G482" s="240"/>
      <c r="H482" s="241"/>
      <c r="I482" s="301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ht="14.25" customHeight="1">
      <c r="A483" s="302">
        <f t="shared" si="4"/>
        <v>46655</v>
      </c>
      <c r="B483" s="241">
        <f t="shared" si="1"/>
        <v>2027</v>
      </c>
      <c r="C483" s="241">
        <f t="shared" si="2"/>
        <v>9</v>
      </c>
      <c r="D483" s="301" t="str">
        <f t="shared" si="3"/>
        <v>Saturday</v>
      </c>
      <c r="E483" s="240"/>
      <c r="F483" s="240"/>
      <c r="G483" s="240"/>
      <c r="H483" s="241"/>
      <c r="I483" s="301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ht="14.25" customHeight="1">
      <c r="A484" s="302">
        <f t="shared" si="4"/>
        <v>46656</v>
      </c>
      <c r="B484" s="241">
        <f t="shared" si="1"/>
        <v>2027</v>
      </c>
      <c r="C484" s="241">
        <f t="shared" si="2"/>
        <v>9</v>
      </c>
      <c r="D484" s="301" t="str">
        <f t="shared" si="3"/>
        <v>Sunday</v>
      </c>
      <c r="E484" s="240"/>
      <c r="F484" s="240"/>
      <c r="G484" s="240"/>
      <c r="H484" s="241"/>
      <c r="I484" s="301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ht="14.25" customHeight="1">
      <c r="A485" s="302">
        <f t="shared" si="4"/>
        <v>46657</v>
      </c>
      <c r="B485" s="241">
        <f t="shared" si="1"/>
        <v>2027</v>
      </c>
      <c r="C485" s="241">
        <f t="shared" si="2"/>
        <v>9</v>
      </c>
      <c r="D485" s="301" t="str">
        <f t="shared" si="3"/>
        <v>Monday</v>
      </c>
      <c r="E485" s="240"/>
      <c r="F485" s="240"/>
      <c r="G485" s="240"/>
      <c r="H485" s="241"/>
      <c r="I485" s="301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ht="14.25" customHeight="1">
      <c r="A486" s="302">
        <f t="shared" si="4"/>
        <v>46658</v>
      </c>
      <c r="B486" s="241">
        <f t="shared" si="1"/>
        <v>2027</v>
      </c>
      <c r="C486" s="241">
        <f t="shared" si="2"/>
        <v>9</v>
      </c>
      <c r="D486" s="301" t="str">
        <f t="shared" si="3"/>
        <v>Tuesday</v>
      </c>
      <c r="E486" s="240"/>
      <c r="F486" s="240"/>
      <c r="G486" s="240"/>
      <c r="H486" s="241"/>
      <c r="I486" s="301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ht="14.25" customHeight="1">
      <c r="A487" s="302">
        <f t="shared" si="4"/>
        <v>46659</v>
      </c>
      <c r="B487" s="241">
        <f t="shared" si="1"/>
        <v>2027</v>
      </c>
      <c r="C487" s="241">
        <f t="shared" si="2"/>
        <v>9</v>
      </c>
      <c r="D487" s="301" t="str">
        <f t="shared" si="3"/>
        <v>Wednesday</v>
      </c>
      <c r="E487" s="240"/>
      <c r="F487" s="240"/>
      <c r="G487" s="240"/>
      <c r="H487" s="241"/>
      <c r="I487" s="301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ht="14.25" customHeight="1">
      <c r="A488" s="302">
        <f t="shared" si="4"/>
        <v>46660</v>
      </c>
      <c r="B488" s="241">
        <f t="shared" si="1"/>
        <v>2027</v>
      </c>
      <c r="C488" s="241">
        <f t="shared" si="2"/>
        <v>9</v>
      </c>
      <c r="D488" s="301" t="str">
        <f t="shared" si="3"/>
        <v>Thursday</v>
      </c>
      <c r="E488" s="240"/>
      <c r="F488" s="240"/>
      <c r="G488" s="240"/>
      <c r="H488" s="241"/>
      <c r="I488" s="301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ht="14.25" customHeight="1">
      <c r="A489" s="302">
        <f t="shared" si="4"/>
        <v>46661</v>
      </c>
      <c r="B489" s="241">
        <f t="shared" si="1"/>
        <v>2027</v>
      </c>
      <c r="C489" s="241">
        <f t="shared" si="2"/>
        <v>10</v>
      </c>
      <c r="D489" s="301" t="str">
        <f t="shared" si="3"/>
        <v>Friday</v>
      </c>
      <c r="E489" s="240"/>
      <c r="F489" s="240"/>
      <c r="G489" s="240"/>
      <c r="H489" s="241"/>
      <c r="I489" s="301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ht="14.25" customHeight="1">
      <c r="A490" s="302">
        <f t="shared" si="4"/>
        <v>46662</v>
      </c>
      <c r="B490" s="241">
        <f t="shared" si="1"/>
        <v>2027</v>
      </c>
      <c r="C490" s="241">
        <f t="shared" si="2"/>
        <v>10</v>
      </c>
      <c r="D490" s="301" t="str">
        <f t="shared" si="3"/>
        <v>Saturday</v>
      </c>
      <c r="E490" s="240"/>
      <c r="F490" s="240"/>
      <c r="G490" s="240"/>
      <c r="H490" s="241"/>
      <c r="I490" s="301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ht="14.25" customHeight="1">
      <c r="A491" s="302">
        <f t="shared" si="4"/>
        <v>46663</v>
      </c>
      <c r="B491" s="241">
        <f t="shared" si="1"/>
        <v>2027</v>
      </c>
      <c r="C491" s="241">
        <f t="shared" si="2"/>
        <v>10</v>
      </c>
      <c r="D491" s="301" t="str">
        <f t="shared" si="3"/>
        <v>Sunday</v>
      </c>
      <c r="E491" s="240"/>
      <c r="F491" s="240"/>
      <c r="G491" s="240"/>
      <c r="H491" s="241"/>
      <c r="I491" s="301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ht="14.25" customHeight="1">
      <c r="A492" s="302">
        <f t="shared" si="4"/>
        <v>46664</v>
      </c>
      <c r="B492" s="241">
        <f t="shared" si="1"/>
        <v>2027</v>
      </c>
      <c r="C492" s="241">
        <f t="shared" si="2"/>
        <v>10</v>
      </c>
      <c r="D492" s="301" t="str">
        <f t="shared" si="3"/>
        <v>Monday</v>
      </c>
      <c r="E492" s="240"/>
      <c r="F492" s="240"/>
      <c r="G492" s="240"/>
      <c r="H492" s="241"/>
      <c r="I492" s="301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ht="14.25" customHeight="1">
      <c r="A493" s="302">
        <f t="shared" si="4"/>
        <v>46665</v>
      </c>
      <c r="B493" s="241">
        <f t="shared" si="1"/>
        <v>2027</v>
      </c>
      <c r="C493" s="241">
        <f t="shared" si="2"/>
        <v>10</v>
      </c>
      <c r="D493" s="301" t="str">
        <f t="shared" si="3"/>
        <v>Tuesday</v>
      </c>
      <c r="E493" s="240"/>
      <c r="F493" s="240"/>
      <c r="G493" s="240"/>
      <c r="H493" s="241"/>
      <c r="I493" s="301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ht="14.25" customHeight="1">
      <c r="A494" s="302">
        <f t="shared" si="4"/>
        <v>46666</v>
      </c>
      <c r="B494" s="241">
        <f t="shared" si="1"/>
        <v>2027</v>
      </c>
      <c r="C494" s="241">
        <f t="shared" si="2"/>
        <v>10</v>
      </c>
      <c r="D494" s="301" t="str">
        <f t="shared" si="3"/>
        <v>Wednesday</v>
      </c>
      <c r="E494" s="240"/>
      <c r="F494" s="240"/>
      <c r="G494" s="240"/>
      <c r="H494" s="241"/>
      <c r="I494" s="301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ht="14.25" customHeight="1">
      <c r="A495" s="302">
        <f t="shared" si="4"/>
        <v>46667</v>
      </c>
      <c r="B495" s="241">
        <f t="shared" si="1"/>
        <v>2027</v>
      </c>
      <c r="C495" s="241">
        <f t="shared" si="2"/>
        <v>10</v>
      </c>
      <c r="D495" s="301" t="str">
        <f t="shared" si="3"/>
        <v>Thursday</v>
      </c>
      <c r="E495" s="240"/>
      <c r="F495" s="240"/>
      <c r="G495" s="240"/>
      <c r="H495" s="241"/>
      <c r="I495" s="301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ht="14.25" customHeight="1">
      <c r="A496" s="302">
        <f t="shared" si="4"/>
        <v>46668</v>
      </c>
      <c r="B496" s="241">
        <f t="shared" si="1"/>
        <v>2027</v>
      </c>
      <c r="C496" s="241">
        <f t="shared" si="2"/>
        <v>10</v>
      </c>
      <c r="D496" s="301" t="str">
        <f t="shared" si="3"/>
        <v>Friday</v>
      </c>
      <c r="E496" s="240"/>
      <c r="F496" s="240"/>
      <c r="G496" s="240"/>
      <c r="H496" s="241"/>
      <c r="I496" s="301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ht="14.25" customHeight="1">
      <c r="A497" s="302">
        <f t="shared" si="4"/>
        <v>46669</v>
      </c>
      <c r="B497" s="241">
        <f t="shared" si="1"/>
        <v>2027</v>
      </c>
      <c r="C497" s="241">
        <f t="shared" si="2"/>
        <v>10</v>
      </c>
      <c r="D497" s="301" t="str">
        <f t="shared" si="3"/>
        <v>Saturday</v>
      </c>
      <c r="E497" s="240"/>
      <c r="F497" s="240"/>
      <c r="G497" s="240"/>
      <c r="H497" s="241"/>
      <c r="I497" s="301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ht="14.25" customHeight="1">
      <c r="A498" s="302">
        <f t="shared" si="4"/>
        <v>46670</v>
      </c>
      <c r="B498" s="241">
        <f t="shared" si="1"/>
        <v>2027</v>
      </c>
      <c r="C498" s="241">
        <f t="shared" si="2"/>
        <v>10</v>
      </c>
      <c r="D498" s="301" t="str">
        <f t="shared" si="3"/>
        <v>Sunday</v>
      </c>
      <c r="E498" s="240"/>
      <c r="F498" s="240"/>
      <c r="G498" s="240"/>
      <c r="H498" s="241"/>
      <c r="I498" s="301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ht="14.25" customHeight="1">
      <c r="A499" s="302">
        <f t="shared" si="4"/>
        <v>46671</v>
      </c>
      <c r="B499" s="241">
        <f t="shared" si="1"/>
        <v>2027</v>
      </c>
      <c r="C499" s="241">
        <f t="shared" si="2"/>
        <v>10</v>
      </c>
      <c r="D499" s="301" t="str">
        <f t="shared" si="3"/>
        <v>Monday</v>
      </c>
      <c r="E499" s="240"/>
      <c r="F499" s="240"/>
      <c r="G499" s="240"/>
      <c r="H499" s="241"/>
      <c r="I499" s="301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ht="14.25" customHeight="1">
      <c r="A500" s="302">
        <f t="shared" si="4"/>
        <v>46672</v>
      </c>
      <c r="B500" s="241">
        <f t="shared" si="1"/>
        <v>2027</v>
      </c>
      <c r="C500" s="241">
        <f t="shared" si="2"/>
        <v>10</v>
      </c>
      <c r="D500" s="301" t="str">
        <f t="shared" si="3"/>
        <v>Tuesday</v>
      </c>
      <c r="E500" s="240"/>
      <c r="F500" s="240"/>
      <c r="G500" s="240"/>
      <c r="H500" s="241"/>
      <c r="I500" s="301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ht="14.25" customHeight="1">
      <c r="A501" s="302">
        <f t="shared" si="4"/>
        <v>46673</v>
      </c>
      <c r="B501" s="241">
        <f t="shared" si="1"/>
        <v>2027</v>
      </c>
      <c r="C501" s="241">
        <f t="shared" si="2"/>
        <v>10</v>
      </c>
      <c r="D501" s="301" t="str">
        <f t="shared" si="3"/>
        <v>Wednesday</v>
      </c>
      <c r="E501" s="240"/>
      <c r="F501" s="240"/>
      <c r="G501" s="240"/>
      <c r="H501" s="241"/>
      <c r="I501" s="301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ht="14.25" customHeight="1">
      <c r="A502" s="302">
        <f t="shared" si="4"/>
        <v>46674</v>
      </c>
      <c r="B502" s="241">
        <f t="shared" si="1"/>
        <v>2027</v>
      </c>
      <c r="C502" s="241">
        <f t="shared" si="2"/>
        <v>10</v>
      </c>
      <c r="D502" s="301" t="str">
        <f t="shared" si="3"/>
        <v>Thursday</v>
      </c>
      <c r="E502" s="240"/>
      <c r="F502" s="240"/>
      <c r="G502" s="240"/>
      <c r="H502" s="241"/>
      <c r="I502" s="301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ht="14.25" customHeight="1">
      <c r="A503" s="302">
        <f t="shared" si="4"/>
        <v>46675</v>
      </c>
      <c r="B503" s="241">
        <f t="shared" si="1"/>
        <v>2027</v>
      </c>
      <c r="C503" s="241">
        <f t="shared" si="2"/>
        <v>10</v>
      </c>
      <c r="D503" s="301" t="str">
        <f t="shared" si="3"/>
        <v>Friday</v>
      </c>
      <c r="E503" s="240"/>
      <c r="F503" s="240"/>
      <c r="G503" s="240"/>
      <c r="H503" s="241"/>
      <c r="I503" s="301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ht="14.25" customHeight="1">
      <c r="A504" s="302">
        <f t="shared" si="4"/>
        <v>46676</v>
      </c>
      <c r="B504" s="241">
        <f t="shared" si="1"/>
        <v>2027</v>
      </c>
      <c r="C504" s="241">
        <f t="shared" si="2"/>
        <v>10</v>
      </c>
      <c r="D504" s="301" t="str">
        <f t="shared" si="3"/>
        <v>Saturday</v>
      </c>
      <c r="E504" s="240"/>
      <c r="F504" s="240"/>
      <c r="G504" s="240"/>
      <c r="H504" s="241"/>
      <c r="I504" s="301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ht="14.25" customHeight="1">
      <c r="A505" s="302">
        <f t="shared" si="4"/>
        <v>46677</v>
      </c>
      <c r="B505" s="241">
        <f t="shared" si="1"/>
        <v>2027</v>
      </c>
      <c r="C505" s="241">
        <f t="shared" si="2"/>
        <v>10</v>
      </c>
      <c r="D505" s="301" t="str">
        <f t="shared" si="3"/>
        <v>Sunday</v>
      </c>
      <c r="E505" s="240"/>
      <c r="F505" s="240"/>
      <c r="G505" s="240"/>
      <c r="H505" s="241"/>
      <c r="I505" s="301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ht="14.25" customHeight="1">
      <c r="A506" s="302">
        <f t="shared" si="4"/>
        <v>46678</v>
      </c>
      <c r="B506" s="241">
        <f t="shared" si="1"/>
        <v>2027</v>
      </c>
      <c r="C506" s="241">
        <f t="shared" si="2"/>
        <v>10</v>
      </c>
      <c r="D506" s="301" t="str">
        <f t="shared" si="3"/>
        <v>Monday</v>
      </c>
      <c r="E506" s="240"/>
      <c r="F506" s="240"/>
      <c r="G506" s="240"/>
      <c r="H506" s="241"/>
      <c r="I506" s="301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ht="14.25" customHeight="1">
      <c r="A507" s="302">
        <f t="shared" si="4"/>
        <v>46679</v>
      </c>
      <c r="B507" s="241">
        <f t="shared" si="1"/>
        <v>2027</v>
      </c>
      <c r="C507" s="241">
        <f t="shared" si="2"/>
        <v>10</v>
      </c>
      <c r="D507" s="301" t="str">
        <f t="shared" si="3"/>
        <v>Tuesday</v>
      </c>
      <c r="E507" s="240"/>
      <c r="F507" s="240"/>
      <c r="G507" s="240"/>
      <c r="H507" s="241"/>
      <c r="I507" s="301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ht="14.25" customHeight="1">
      <c r="A508" s="302">
        <f t="shared" si="4"/>
        <v>46680</v>
      </c>
      <c r="B508" s="241">
        <f t="shared" si="1"/>
        <v>2027</v>
      </c>
      <c r="C508" s="241">
        <f t="shared" si="2"/>
        <v>10</v>
      </c>
      <c r="D508" s="301" t="str">
        <f t="shared" si="3"/>
        <v>Wednesday</v>
      </c>
      <c r="E508" s="240"/>
      <c r="F508" s="240"/>
      <c r="G508" s="240"/>
      <c r="H508" s="241"/>
      <c r="I508" s="301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ht="14.25" customHeight="1">
      <c r="A509" s="302">
        <f t="shared" si="4"/>
        <v>46681</v>
      </c>
      <c r="B509" s="241">
        <f t="shared" si="1"/>
        <v>2027</v>
      </c>
      <c r="C509" s="241">
        <f t="shared" si="2"/>
        <v>10</v>
      </c>
      <c r="D509" s="301" t="str">
        <f t="shared" si="3"/>
        <v>Thursday</v>
      </c>
      <c r="E509" s="240"/>
      <c r="F509" s="240"/>
      <c r="G509" s="240"/>
      <c r="H509" s="241"/>
      <c r="I509" s="301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ht="14.25" customHeight="1">
      <c r="A510" s="302">
        <f t="shared" si="4"/>
        <v>46682</v>
      </c>
      <c r="B510" s="241">
        <f t="shared" si="1"/>
        <v>2027</v>
      </c>
      <c r="C510" s="241">
        <f t="shared" si="2"/>
        <v>10</v>
      </c>
      <c r="D510" s="301" t="str">
        <f t="shared" si="3"/>
        <v>Friday</v>
      </c>
      <c r="E510" s="240"/>
      <c r="F510" s="240"/>
      <c r="G510" s="240"/>
      <c r="H510" s="241"/>
      <c r="I510" s="301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ht="14.25" customHeight="1">
      <c r="A511" s="302">
        <f t="shared" si="4"/>
        <v>46683</v>
      </c>
      <c r="B511" s="241">
        <f t="shared" si="1"/>
        <v>2027</v>
      </c>
      <c r="C511" s="241">
        <f t="shared" si="2"/>
        <v>10</v>
      </c>
      <c r="D511" s="301" t="str">
        <f t="shared" si="3"/>
        <v>Saturday</v>
      </c>
      <c r="E511" s="240"/>
      <c r="F511" s="240"/>
      <c r="G511" s="240"/>
      <c r="H511" s="241"/>
      <c r="I511" s="301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ht="14.25" customHeight="1">
      <c r="A512" s="302">
        <f t="shared" si="4"/>
        <v>46684</v>
      </c>
      <c r="B512" s="241">
        <f t="shared" si="1"/>
        <v>2027</v>
      </c>
      <c r="C512" s="241">
        <f t="shared" si="2"/>
        <v>10</v>
      </c>
      <c r="D512" s="301" t="str">
        <f t="shared" si="3"/>
        <v>Sunday</v>
      </c>
      <c r="E512" s="240"/>
      <c r="F512" s="240"/>
      <c r="G512" s="240"/>
      <c r="H512" s="241"/>
      <c r="I512" s="301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ht="14.25" customHeight="1">
      <c r="A513" s="302">
        <f t="shared" si="4"/>
        <v>46685</v>
      </c>
      <c r="B513" s="241">
        <f t="shared" si="1"/>
        <v>2027</v>
      </c>
      <c r="C513" s="241">
        <f t="shared" si="2"/>
        <v>10</v>
      </c>
      <c r="D513" s="301" t="str">
        <f t="shared" si="3"/>
        <v>Monday</v>
      </c>
      <c r="E513" s="240"/>
      <c r="F513" s="240"/>
      <c r="G513" s="240"/>
      <c r="H513" s="241"/>
      <c r="I513" s="301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ht="14.25" customHeight="1">
      <c r="A514" s="302">
        <f t="shared" si="4"/>
        <v>46686</v>
      </c>
      <c r="B514" s="241">
        <f t="shared" si="1"/>
        <v>2027</v>
      </c>
      <c r="C514" s="241">
        <f t="shared" si="2"/>
        <v>10</v>
      </c>
      <c r="D514" s="301" t="str">
        <f t="shared" si="3"/>
        <v>Tuesday</v>
      </c>
      <c r="E514" s="240"/>
      <c r="F514" s="240"/>
      <c r="G514" s="240"/>
      <c r="H514" s="241"/>
      <c r="I514" s="301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ht="14.25" customHeight="1">
      <c r="A515" s="302">
        <f t="shared" si="4"/>
        <v>46687</v>
      </c>
      <c r="B515" s="241">
        <f t="shared" si="1"/>
        <v>2027</v>
      </c>
      <c r="C515" s="241">
        <f t="shared" si="2"/>
        <v>10</v>
      </c>
      <c r="D515" s="301" t="str">
        <f t="shared" si="3"/>
        <v>Wednesday</v>
      </c>
      <c r="E515" s="240"/>
      <c r="F515" s="240"/>
      <c r="G515" s="240"/>
      <c r="H515" s="241"/>
      <c r="I515" s="301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ht="14.25" customHeight="1">
      <c r="A516" s="302">
        <f t="shared" si="4"/>
        <v>46688</v>
      </c>
      <c r="B516" s="241">
        <f t="shared" si="1"/>
        <v>2027</v>
      </c>
      <c r="C516" s="241">
        <f t="shared" si="2"/>
        <v>10</v>
      </c>
      <c r="D516" s="301" t="str">
        <f t="shared" si="3"/>
        <v>Thursday</v>
      </c>
      <c r="E516" s="240"/>
      <c r="F516" s="240"/>
      <c r="G516" s="240"/>
      <c r="H516" s="241"/>
      <c r="I516" s="301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ht="14.25" customHeight="1">
      <c r="A517" s="302">
        <f t="shared" si="4"/>
        <v>46689</v>
      </c>
      <c r="B517" s="241">
        <f t="shared" si="1"/>
        <v>2027</v>
      </c>
      <c r="C517" s="241">
        <f t="shared" si="2"/>
        <v>10</v>
      </c>
      <c r="D517" s="301" t="str">
        <f t="shared" si="3"/>
        <v>Friday</v>
      </c>
      <c r="E517" s="240"/>
      <c r="F517" s="240"/>
      <c r="G517" s="240"/>
      <c r="H517" s="241"/>
      <c r="I517" s="301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ht="14.25" customHeight="1">
      <c r="A518" s="302">
        <f t="shared" si="4"/>
        <v>46690</v>
      </c>
      <c r="B518" s="241">
        <f t="shared" si="1"/>
        <v>2027</v>
      </c>
      <c r="C518" s="241">
        <f t="shared" si="2"/>
        <v>10</v>
      </c>
      <c r="D518" s="301" t="str">
        <f t="shared" si="3"/>
        <v>Saturday</v>
      </c>
      <c r="E518" s="240"/>
      <c r="F518" s="240"/>
      <c r="G518" s="240"/>
      <c r="H518" s="241"/>
      <c r="I518" s="301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ht="14.25" customHeight="1">
      <c r="A519" s="302">
        <f t="shared" si="4"/>
        <v>46691</v>
      </c>
      <c r="B519" s="241">
        <f t="shared" si="1"/>
        <v>2027</v>
      </c>
      <c r="C519" s="241">
        <f t="shared" si="2"/>
        <v>10</v>
      </c>
      <c r="D519" s="301" t="str">
        <f t="shared" si="3"/>
        <v>Sunday</v>
      </c>
      <c r="E519" s="240"/>
      <c r="F519" s="240"/>
      <c r="G519" s="240"/>
      <c r="H519" s="241"/>
      <c r="I519" s="301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ht="14.25" customHeight="1">
      <c r="A520" s="302">
        <f t="shared" si="4"/>
        <v>46692</v>
      </c>
      <c r="B520" s="241">
        <f t="shared" si="1"/>
        <v>2027</v>
      </c>
      <c r="C520" s="241">
        <f t="shared" si="2"/>
        <v>11</v>
      </c>
      <c r="D520" s="301" t="str">
        <f t="shared" si="3"/>
        <v>Monday</v>
      </c>
      <c r="E520" s="240"/>
      <c r="F520" s="240"/>
      <c r="G520" s="240"/>
      <c r="H520" s="241"/>
      <c r="I520" s="301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ht="14.25" customHeight="1">
      <c r="A521" s="302">
        <f t="shared" si="4"/>
        <v>46693</v>
      </c>
      <c r="B521" s="241">
        <f t="shared" si="1"/>
        <v>2027</v>
      </c>
      <c r="C521" s="241">
        <f t="shared" si="2"/>
        <v>11</v>
      </c>
      <c r="D521" s="301" t="str">
        <f t="shared" si="3"/>
        <v>Tuesday</v>
      </c>
      <c r="E521" s="240"/>
      <c r="F521" s="240"/>
      <c r="G521" s="240"/>
      <c r="H521" s="241"/>
      <c r="I521" s="301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ht="14.25" customHeight="1">
      <c r="A522" s="302">
        <f t="shared" si="4"/>
        <v>46694</v>
      </c>
      <c r="B522" s="241">
        <f t="shared" si="1"/>
        <v>2027</v>
      </c>
      <c r="C522" s="241">
        <f t="shared" si="2"/>
        <v>11</v>
      </c>
      <c r="D522" s="301" t="str">
        <f t="shared" si="3"/>
        <v>Wednesday</v>
      </c>
      <c r="E522" s="240"/>
      <c r="F522" s="240"/>
      <c r="G522" s="240"/>
      <c r="H522" s="241"/>
      <c r="I522" s="301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ht="14.25" customHeight="1">
      <c r="A523" s="302">
        <f t="shared" si="4"/>
        <v>46695</v>
      </c>
      <c r="B523" s="241">
        <f t="shared" si="1"/>
        <v>2027</v>
      </c>
      <c r="C523" s="241">
        <f t="shared" si="2"/>
        <v>11</v>
      </c>
      <c r="D523" s="301" t="str">
        <f t="shared" si="3"/>
        <v>Thursday</v>
      </c>
      <c r="E523" s="240"/>
      <c r="F523" s="240"/>
      <c r="G523" s="240"/>
      <c r="H523" s="241"/>
      <c r="I523" s="301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ht="14.25" customHeight="1">
      <c r="A524" s="302">
        <f t="shared" si="4"/>
        <v>46696</v>
      </c>
      <c r="B524" s="241">
        <f t="shared" si="1"/>
        <v>2027</v>
      </c>
      <c r="C524" s="241">
        <f t="shared" si="2"/>
        <v>11</v>
      </c>
      <c r="D524" s="301" t="str">
        <f t="shared" si="3"/>
        <v>Friday</v>
      </c>
      <c r="E524" s="240"/>
      <c r="F524" s="240"/>
      <c r="G524" s="240"/>
      <c r="H524" s="241"/>
      <c r="I524" s="301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ht="14.25" customHeight="1">
      <c r="A525" s="302">
        <f t="shared" si="4"/>
        <v>46697</v>
      </c>
      <c r="B525" s="241">
        <f t="shared" si="1"/>
        <v>2027</v>
      </c>
      <c r="C525" s="241">
        <f t="shared" si="2"/>
        <v>11</v>
      </c>
      <c r="D525" s="301" t="str">
        <f t="shared" si="3"/>
        <v>Saturday</v>
      </c>
      <c r="E525" s="240"/>
      <c r="F525" s="240"/>
      <c r="G525" s="240"/>
      <c r="H525" s="241"/>
      <c r="I525" s="301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ht="14.25" customHeight="1">
      <c r="A526" s="302">
        <f t="shared" si="4"/>
        <v>46698</v>
      </c>
      <c r="B526" s="241">
        <f t="shared" si="1"/>
        <v>2027</v>
      </c>
      <c r="C526" s="241">
        <f t="shared" si="2"/>
        <v>11</v>
      </c>
      <c r="D526" s="301" t="str">
        <f t="shared" si="3"/>
        <v>Sunday</v>
      </c>
      <c r="E526" s="240"/>
      <c r="F526" s="240"/>
      <c r="G526" s="240"/>
      <c r="H526" s="241"/>
      <c r="I526" s="301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ht="14.25" customHeight="1">
      <c r="A527" s="302">
        <f t="shared" si="4"/>
        <v>46699</v>
      </c>
      <c r="B527" s="241">
        <f t="shared" si="1"/>
        <v>2027</v>
      </c>
      <c r="C527" s="241">
        <f t="shared" si="2"/>
        <v>11</v>
      </c>
      <c r="D527" s="301" t="str">
        <f t="shared" si="3"/>
        <v>Monday</v>
      </c>
      <c r="E527" s="240"/>
      <c r="F527" s="240"/>
      <c r="G527" s="240"/>
      <c r="H527" s="241"/>
      <c r="I527" s="301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ht="14.25" customHeight="1">
      <c r="A528" s="302">
        <f t="shared" si="4"/>
        <v>46700</v>
      </c>
      <c r="B528" s="241">
        <f t="shared" si="1"/>
        <v>2027</v>
      </c>
      <c r="C528" s="241">
        <f t="shared" si="2"/>
        <v>11</v>
      </c>
      <c r="D528" s="301" t="str">
        <f t="shared" si="3"/>
        <v>Tuesday</v>
      </c>
      <c r="E528" s="240"/>
      <c r="F528" s="240"/>
      <c r="G528" s="240"/>
      <c r="H528" s="241"/>
      <c r="I528" s="301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ht="14.25" customHeight="1">
      <c r="A529" s="302">
        <f t="shared" si="4"/>
        <v>46701</v>
      </c>
      <c r="B529" s="241">
        <f t="shared" si="1"/>
        <v>2027</v>
      </c>
      <c r="C529" s="241">
        <f t="shared" si="2"/>
        <v>11</v>
      </c>
      <c r="D529" s="301" t="str">
        <f t="shared" si="3"/>
        <v>Wednesday</v>
      </c>
      <c r="E529" s="240"/>
      <c r="F529" s="240"/>
      <c r="G529" s="240"/>
      <c r="H529" s="241"/>
      <c r="I529" s="301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ht="14.25" customHeight="1">
      <c r="A530" s="302">
        <f t="shared" si="4"/>
        <v>46702</v>
      </c>
      <c r="B530" s="241">
        <f t="shared" si="1"/>
        <v>2027</v>
      </c>
      <c r="C530" s="241">
        <f t="shared" si="2"/>
        <v>11</v>
      </c>
      <c r="D530" s="301" t="str">
        <f t="shared" si="3"/>
        <v>Thursday</v>
      </c>
      <c r="E530" s="240"/>
      <c r="F530" s="240"/>
      <c r="G530" s="240"/>
      <c r="H530" s="241"/>
      <c r="I530" s="301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ht="14.25" customHeight="1">
      <c r="A531" s="302">
        <f t="shared" si="4"/>
        <v>46703</v>
      </c>
      <c r="B531" s="241">
        <f t="shared" si="1"/>
        <v>2027</v>
      </c>
      <c r="C531" s="241">
        <f t="shared" si="2"/>
        <v>11</v>
      </c>
      <c r="D531" s="301" t="str">
        <f t="shared" si="3"/>
        <v>Friday</v>
      </c>
      <c r="E531" s="240"/>
      <c r="F531" s="240"/>
      <c r="G531" s="240"/>
      <c r="H531" s="241"/>
      <c r="I531" s="301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ht="14.25" customHeight="1">
      <c r="A532" s="302">
        <f t="shared" si="4"/>
        <v>46704</v>
      </c>
      <c r="B532" s="241">
        <f t="shared" si="1"/>
        <v>2027</v>
      </c>
      <c r="C532" s="241">
        <f t="shared" si="2"/>
        <v>11</v>
      </c>
      <c r="D532" s="301" t="str">
        <f t="shared" si="3"/>
        <v>Saturday</v>
      </c>
      <c r="E532" s="240"/>
      <c r="F532" s="240"/>
      <c r="G532" s="240"/>
      <c r="H532" s="241"/>
      <c r="I532" s="301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ht="14.25" customHeight="1">
      <c r="A533" s="302">
        <f t="shared" si="4"/>
        <v>46705</v>
      </c>
      <c r="B533" s="241">
        <f t="shared" si="1"/>
        <v>2027</v>
      </c>
      <c r="C533" s="241">
        <f t="shared" si="2"/>
        <v>11</v>
      </c>
      <c r="D533" s="301" t="str">
        <f t="shared" si="3"/>
        <v>Sunday</v>
      </c>
      <c r="E533" s="240"/>
      <c r="F533" s="240"/>
      <c r="G533" s="240"/>
      <c r="H533" s="241"/>
      <c r="I533" s="301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ht="14.25" customHeight="1">
      <c r="A534" s="302">
        <f t="shared" si="4"/>
        <v>46706</v>
      </c>
      <c r="B534" s="241">
        <f t="shared" si="1"/>
        <v>2027</v>
      </c>
      <c r="C534" s="241">
        <f t="shared" si="2"/>
        <v>11</v>
      </c>
      <c r="D534" s="301" t="str">
        <f t="shared" si="3"/>
        <v>Monday</v>
      </c>
      <c r="E534" s="240"/>
      <c r="F534" s="240"/>
      <c r="G534" s="240"/>
      <c r="H534" s="241"/>
      <c r="I534" s="301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ht="14.25" customHeight="1">
      <c r="A535" s="302">
        <f t="shared" si="4"/>
        <v>46707</v>
      </c>
      <c r="B535" s="241">
        <f t="shared" si="1"/>
        <v>2027</v>
      </c>
      <c r="C535" s="241">
        <f t="shared" si="2"/>
        <v>11</v>
      </c>
      <c r="D535" s="301" t="str">
        <f t="shared" si="3"/>
        <v>Tuesday</v>
      </c>
      <c r="E535" s="240"/>
      <c r="F535" s="240"/>
      <c r="G535" s="240"/>
      <c r="H535" s="241"/>
      <c r="I535" s="301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ht="14.25" customHeight="1">
      <c r="A536" s="302">
        <f t="shared" si="4"/>
        <v>46708</v>
      </c>
      <c r="B536" s="241">
        <f t="shared" si="1"/>
        <v>2027</v>
      </c>
      <c r="C536" s="241">
        <f t="shared" si="2"/>
        <v>11</v>
      </c>
      <c r="D536" s="301" t="str">
        <f t="shared" si="3"/>
        <v>Wednesday</v>
      </c>
      <c r="E536" s="240"/>
      <c r="F536" s="240"/>
      <c r="G536" s="240"/>
      <c r="H536" s="241"/>
      <c r="I536" s="301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ht="14.25" customHeight="1">
      <c r="A537" s="302">
        <f t="shared" si="4"/>
        <v>46709</v>
      </c>
      <c r="B537" s="241">
        <f t="shared" si="1"/>
        <v>2027</v>
      </c>
      <c r="C537" s="241">
        <f t="shared" si="2"/>
        <v>11</v>
      </c>
      <c r="D537" s="301" t="str">
        <f t="shared" si="3"/>
        <v>Thursday</v>
      </c>
      <c r="E537" s="240"/>
      <c r="F537" s="240"/>
      <c r="G537" s="240"/>
      <c r="H537" s="241"/>
      <c r="I537" s="301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ht="14.25" customHeight="1">
      <c r="A538" s="302">
        <f t="shared" si="4"/>
        <v>46710</v>
      </c>
      <c r="B538" s="241">
        <f t="shared" si="1"/>
        <v>2027</v>
      </c>
      <c r="C538" s="241">
        <f t="shared" si="2"/>
        <v>11</v>
      </c>
      <c r="D538" s="301" t="str">
        <f t="shared" si="3"/>
        <v>Friday</v>
      </c>
      <c r="E538" s="240"/>
      <c r="F538" s="240"/>
      <c r="G538" s="240"/>
      <c r="H538" s="241"/>
      <c r="I538" s="301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ht="14.25" customHeight="1">
      <c r="A539" s="302">
        <f t="shared" si="4"/>
        <v>46711</v>
      </c>
      <c r="B539" s="241">
        <f t="shared" si="1"/>
        <v>2027</v>
      </c>
      <c r="C539" s="241">
        <f t="shared" si="2"/>
        <v>11</v>
      </c>
      <c r="D539" s="301" t="str">
        <f t="shared" si="3"/>
        <v>Saturday</v>
      </c>
      <c r="E539" s="240"/>
      <c r="F539" s="240"/>
      <c r="G539" s="240"/>
      <c r="H539" s="241"/>
      <c r="I539" s="301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ht="14.25" customHeight="1">
      <c r="A540" s="302">
        <f t="shared" si="4"/>
        <v>46712</v>
      </c>
      <c r="B540" s="241">
        <f t="shared" si="1"/>
        <v>2027</v>
      </c>
      <c r="C540" s="241">
        <f t="shared" si="2"/>
        <v>11</v>
      </c>
      <c r="D540" s="301" t="str">
        <f t="shared" si="3"/>
        <v>Sunday</v>
      </c>
      <c r="E540" s="240"/>
      <c r="F540" s="240"/>
      <c r="G540" s="240"/>
      <c r="H540" s="241"/>
      <c r="I540" s="301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ht="14.25" customHeight="1">
      <c r="A541" s="302">
        <f t="shared" si="4"/>
        <v>46713</v>
      </c>
      <c r="B541" s="241">
        <f t="shared" si="1"/>
        <v>2027</v>
      </c>
      <c r="C541" s="241">
        <f t="shared" si="2"/>
        <v>11</v>
      </c>
      <c r="D541" s="301" t="str">
        <f t="shared" si="3"/>
        <v>Monday</v>
      </c>
      <c r="E541" s="240"/>
      <c r="F541" s="240"/>
      <c r="G541" s="240"/>
      <c r="H541" s="241"/>
      <c r="I541" s="301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ht="14.25" customHeight="1">
      <c r="A542" s="302">
        <f t="shared" si="4"/>
        <v>46714</v>
      </c>
      <c r="B542" s="241">
        <f t="shared" si="1"/>
        <v>2027</v>
      </c>
      <c r="C542" s="241">
        <f t="shared" si="2"/>
        <v>11</v>
      </c>
      <c r="D542" s="301" t="str">
        <f t="shared" si="3"/>
        <v>Tuesday</v>
      </c>
      <c r="E542" s="240"/>
      <c r="F542" s="240"/>
      <c r="G542" s="240"/>
      <c r="H542" s="241"/>
      <c r="I542" s="301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ht="14.25" customHeight="1">
      <c r="A543" s="302">
        <f t="shared" si="4"/>
        <v>46715</v>
      </c>
      <c r="B543" s="241">
        <f t="shared" si="1"/>
        <v>2027</v>
      </c>
      <c r="C543" s="241">
        <f t="shared" si="2"/>
        <v>11</v>
      </c>
      <c r="D543" s="301" t="str">
        <f t="shared" si="3"/>
        <v>Wednesday</v>
      </c>
      <c r="E543" s="240"/>
      <c r="F543" s="240"/>
      <c r="G543" s="240"/>
      <c r="H543" s="241"/>
      <c r="I543" s="301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ht="14.25" customHeight="1">
      <c r="A544" s="302">
        <f t="shared" si="4"/>
        <v>46716</v>
      </c>
      <c r="B544" s="241">
        <f t="shared" si="1"/>
        <v>2027</v>
      </c>
      <c r="C544" s="241">
        <f t="shared" si="2"/>
        <v>11</v>
      </c>
      <c r="D544" s="301" t="str">
        <f t="shared" si="3"/>
        <v>Thursday</v>
      </c>
      <c r="E544" s="240"/>
      <c r="F544" s="240"/>
      <c r="G544" s="240"/>
      <c r="H544" s="241"/>
      <c r="I544" s="301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ht="14.25" customHeight="1">
      <c r="A545" s="302">
        <f t="shared" si="4"/>
        <v>46717</v>
      </c>
      <c r="B545" s="241">
        <f t="shared" si="1"/>
        <v>2027</v>
      </c>
      <c r="C545" s="241">
        <f t="shared" si="2"/>
        <v>11</v>
      </c>
      <c r="D545" s="301" t="str">
        <f t="shared" si="3"/>
        <v>Friday</v>
      </c>
      <c r="E545" s="240"/>
      <c r="F545" s="240"/>
      <c r="G545" s="240"/>
      <c r="H545" s="241"/>
      <c r="I545" s="301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ht="14.25" customHeight="1">
      <c r="A546" s="302">
        <f t="shared" si="4"/>
        <v>46718</v>
      </c>
      <c r="B546" s="241">
        <f t="shared" si="1"/>
        <v>2027</v>
      </c>
      <c r="C546" s="241">
        <f t="shared" si="2"/>
        <v>11</v>
      </c>
      <c r="D546" s="301" t="str">
        <f t="shared" si="3"/>
        <v>Saturday</v>
      </c>
      <c r="E546" s="240"/>
      <c r="F546" s="240"/>
      <c r="G546" s="240"/>
      <c r="H546" s="241"/>
      <c r="I546" s="301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ht="14.25" customHeight="1">
      <c r="A547" s="302">
        <f t="shared" si="4"/>
        <v>46719</v>
      </c>
      <c r="B547" s="241">
        <f t="shared" si="1"/>
        <v>2027</v>
      </c>
      <c r="C547" s="241">
        <f t="shared" si="2"/>
        <v>11</v>
      </c>
      <c r="D547" s="301" t="str">
        <f t="shared" si="3"/>
        <v>Sunday</v>
      </c>
      <c r="E547" s="240"/>
      <c r="F547" s="240"/>
      <c r="G547" s="240"/>
      <c r="H547" s="241"/>
      <c r="I547" s="301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ht="14.25" customHeight="1">
      <c r="A548" s="302">
        <f t="shared" si="4"/>
        <v>46720</v>
      </c>
      <c r="B548" s="241">
        <f t="shared" si="1"/>
        <v>2027</v>
      </c>
      <c r="C548" s="241">
        <f t="shared" si="2"/>
        <v>11</v>
      </c>
      <c r="D548" s="301" t="str">
        <f t="shared" si="3"/>
        <v>Monday</v>
      </c>
      <c r="E548" s="240"/>
      <c r="F548" s="240"/>
      <c r="G548" s="240"/>
      <c r="H548" s="241"/>
      <c r="I548" s="301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ht="14.25" customHeight="1">
      <c r="A549" s="302">
        <f t="shared" si="4"/>
        <v>46721</v>
      </c>
      <c r="B549" s="241">
        <f t="shared" si="1"/>
        <v>2027</v>
      </c>
      <c r="C549" s="241">
        <f t="shared" si="2"/>
        <v>11</v>
      </c>
      <c r="D549" s="301" t="str">
        <f t="shared" si="3"/>
        <v>Tuesday</v>
      </c>
      <c r="E549" s="240"/>
      <c r="F549" s="240"/>
      <c r="G549" s="240"/>
      <c r="H549" s="241"/>
      <c r="I549" s="301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ht="14.25" customHeight="1">
      <c r="A550" s="302">
        <f t="shared" si="4"/>
        <v>46722</v>
      </c>
      <c r="B550" s="241">
        <f t="shared" si="1"/>
        <v>2027</v>
      </c>
      <c r="C550" s="241">
        <f t="shared" si="2"/>
        <v>12</v>
      </c>
      <c r="D550" s="301" t="str">
        <f t="shared" si="3"/>
        <v>Wednesday</v>
      </c>
      <c r="E550" s="240"/>
      <c r="F550" s="240"/>
      <c r="G550" s="240"/>
      <c r="H550" s="241"/>
      <c r="I550" s="301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ht="14.25" customHeight="1">
      <c r="A551" s="302">
        <f t="shared" si="4"/>
        <v>46723</v>
      </c>
      <c r="B551" s="241">
        <f t="shared" si="1"/>
        <v>2027</v>
      </c>
      <c r="C551" s="241">
        <f t="shared" si="2"/>
        <v>12</v>
      </c>
      <c r="D551" s="301" t="str">
        <f t="shared" si="3"/>
        <v>Thursday</v>
      </c>
      <c r="E551" s="240"/>
      <c r="F551" s="240"/>
      <c r="G551" s="240"/>
      <c r="H551" s="241"/>
      <c r="I551" s="301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ht="14.25" customHeight="1">
      <c r="A552" s="302">
        <f t="shared" si="4"/>
        <v>46724</v>
      </c>
      <c r="B552" s="241">
        <f t="shared" si="1"/>
        <v>2027</v>
      </c>
      <c r="C552" s="241">
        <f t="shared" si="2"/>
        <v>12</v>
      </c>
      <c r="D552" s="301" t="str">
        <f t="shared" si="3"/>
        <v>Friday</v>
      </c>
      <c r="E552" s="240"/>
      <c r="F552" s="240"/>
      <c r="G552" s="240"/>
      <c r="H552" s="241"/>
      <c r="I552" s="301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ht="14.25" customHeight="1">
      <c r="A553" s="302">
        <f t="shared" si="4"/>
        <v>46725</v>
      </c>
      <c r="B553" s="241">
        <f t="shared" si="1"/>
        <v>2027</v>
      </c>
      <c r="C553" s="241">
        <f t="shared" si="2"/>
        <v>12</v>
      </c>
      <c r="D553" s="301" t="str">
        <f t="shared" si="3"/>
        <v>Saturday</v>
      </c>
      <c r="E553" s="240"/>
      <c r="F553" s="240"/>
      <c r="G553" s="240"/>
      <c r="H553" s="241"/>
      <c r="I553" s="301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ht="14.25" customHeight="1">
      <c r="A554" s="302">
        <f t="shared" si="4"/>
        <v>46726</v>
      </c>
      <c r="B554" s="241">
        <f t="shared" si="1"/>
        <v>2027</v>
      </c>
      <c r="C554" s="241">
        <f t="shared" si="2"/>
        <v>12</v>
      </c>
      <c r="D554" s="301" t="str">
        <f t="shared" si="3"/>
        <v>Sunday</v>
      </c>
      <c r="E554" s="240"/>
      <c r="F554" s="240"/>
      <c r="G554" s="240"/>
      <c r="H554" s="241"/>
      <c r="I554" s="301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ht="14.25" customHeight="1">
      <c r="A555" s="302">
        <f t="shared" si="4"/>
        <v>46727</v>
      </c>
      <c r="B555" s="241">
        <f t="shared" si="1"/>
        <v>2027</v>
      </c>
      <c r="C555" s="241">
        <f t="shared" si="2"/>
        <v>12</v>
      </c>
      <c r="D555" s="301" t="str">
        <f t="shared" si="3"/>
        <v>Monday</v>
      </c>
      <c r="E555" s="240"/>
      <c r="F555" s="240"/>
      <c r="G555" s="240"/>
      <c r="H555" s="241"/>
      <c r="I555" s="301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ht="14.25" customHeight="1">
      <c r="A556" s="302">
        <f t="shared" si="4"/>
        <v>46728</v>
      </c>
      <c r="B556" s="241">
        <f t="shared" si="1"/>
        <v>2027</v>
      </c>
      <c r="C556" s="241">
        <f t="shared" si="2"/>
        <v>12</v>
      </c>
      <c r="D556" s="301" t="str">
        <f t="shared" si="3"/>
        <v>Tuesday</v>
      </c>
      <c r="E556" s="240"/>
      <c r="F556" s="240"/>
      <c r="G556" s="240"/>
      <c r="H556" s="241"/>
      <c r="I556" s="301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ht="14.25" customHeight="1">
      <c r="A557" s="302">
        <f t="shared" si="4"/>
        <v>46729</v>
      </c>
      <c r="B557" s="241">
        <f t="shared" si="1"/>
        <v>2027</v>
      </c>
      <c r="C557" s="241">
        <f t="shared" si="2"/>
        <v>12</v>
      </c>
      <c r="D557" s="301" t="str">
        <f t="shared" si="3"/>
        <v>Wednesday</v>
      </c>
      <c r="E557" s="240"/>
      <c r="F557" s="240"/>
      <c r="G557" s="240"/>
      <c r="H557" s="241"/>
      <c r="I557" s="301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ht="14.25" customHeight="1">
      <c r="A558" s="302">
        <f t="shared" si="4"/>
        <v>46730</v>
      </c>
      <c r="B558" s="241">
        <f t="shared" si="1"/>
        <v>2027</v>
      </c>
      <c r="C558" s="241">
        <f t="shared" si="2"/>
        <v>12</v>
      </c>
      <c r="D558" s="301" t="str">
        <f t="shared" si="3"/>
        <v>Thursday</v>
      </c>
      <c r="E558" s="240"/>
      <c r="F558" s="240"/>
      <c r="G558" s="240"/>
      <c r="H558" s="241"/>
      <c r="I558" s="301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ht="14.25" customHeight="1">
      <c r="A559" s="302">
        <f t="shared" si="4"/>
        <v>46731</v>
      </c>
      <c r="B559" s="241">
        <f t="shared" si="1"/>
        <v>2027</v>
      </c>
      <c r="C559" s="241">
        <f t="shared" si="2"/>
        <v>12</v>
      </c>
      <c r="D559" s="301" t="str">
        <f t="shared" si="3"/>
        <v>Friday</v>
      </c>
      <c r="E559" s="240"/>
      <c r="F559" s="240"/>
      <c r="G559" s="240"/>
      <c r="H559" s="241"/>
      <c r="I559" s="301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ht="14.25" customHeight="1">
      <c r="A560" s="302">
        <f t="shared" si="4"/>
        <v>46732</v>
      </c>
      <c r="B560" s="241">
        <f t="shared" si="1"/>
        <v>2027</v>
      </c>
      <c r="C560" s="241">
        <f t="shared" si="2"/>
        <v>12</v>
      </c>
      <c r="D560" s="301" t="str">
        <f t="shared" si="3"/>
        <v>Saturday</v>
      </c>
      <c r="E560" s="240"/>
      <c r="F560" s="240"/>
      <c r="G560" s="240"/>
      <c r="H560" s="241"/>
      <c r="I560" s="301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ht="14.25" customHeight="1">
      <c r="A561" s="302">
        <f t="shared" si="4"/>
        <v>46733</v>
      </c>
      <c r="B561" s="241">
        <f t="shared" si="1"/>
        <v>2027</v>
      </c>
      <c r="C561" s="241">
        <f t="shared" si="2"/>
        <v>12</v>
      </c>
      <c r="D561" s="301" t="str">
        <f t="shared" si="3"/>
        <v>Sunday</v>
      </c>
      <c r="E561" s="240"/>
      <c r="F561" s="240"/>
      <c r="G561" s="240"/>
      <c r="H561" s="241"/>
      <c r="I561" s="301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ht="14.25" customHeight="1">
      <c r="A562" s="302">
        <f t="shared" si="4"/>
        <v>46734</v>
      </c>
      <c r="B562" s="241">
        <f t="shared" si="1"/>
        <v>2027</v>
      </c>
      <c r="C562" s="241">
        <f t="shared" si="2"/>
        <v>12</v>
      </c>
      <c r="D562" s="301" t="str">
        <f t="shared" si="3"/>
        <v>Monday</v>
      </c>
      <c r="E562" s="240"/>
      <c r="F562" s="240"/>
      <c r="G562" s="240"/>
      <c r="H562" s="241"/>
      <c r="I562" s="301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ht="14.25" customHeight="1">
      <c r="A563" s="302">
        <f t="shared" si="4"/>
        <v>46735</v>
      </c>
      <c r="B563" s="241">
        <f t="shared" si="1"/>
        <v>2027</v>
      </c>
      <c r="C563" s="241">
        <f t="shared" si="2"/>
        <v>12</v>
      </c>
      <c r="D563" s="301" t="str">
        <f t="shared" si="3"/>
        <v>Tuesday</v>
      </c>
      <c r="E563" s="240"/>
      <c r="F563" s="240"/>
      <c r="G563" s="240"/>
      <c r="H563" s="241"/>
      <c r="I563" s="301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ht="14.25" customHeight="1">
      <c r="A564" s="302">
        <f t="shared" si="4"/>
        <v>46736</v>
      </c>
      <c r="B564" s="241">
        <f t="shared" si="1"/>
        <v>2027</v>
      </c>
      <c r="C564" s="241">
        <f t="shared" si="2"/>
        <v>12</v>
      </c>
      <c r="D564" s="301" t="str">
        <f t="shared" si="3"/>
        <v>Wednesday</v>
      </c>
      <c r="E564" s="240"/>
      <c r="F564" s="240"/>
      <c r="G564" s="240"/>
      <c r="H564" s="241"/>
      <c r="I564" s="301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ht="14.25" customHeight="1">
      <c r="A565" s="302">
        <f t="shared" si="4"/>
        <v>46737</v>
      </c>
      <c r="B565" s="241">
        <f t="shared" si="1"/>
        <v>2027</v>
      </c>
      <c r="C565" s="241">
        <f t="shared" si="2"/>
        <v>12</v>
      </c>
      <c r="D565" s="301" t="str">
        <f t="shared" si="3"/>
        <v>Thursday</v>
      </c>
      <c r="E565" s="240"/>
      <c r="F565" s="240"/>
      <c r="G565" s="240"/>
      <c r="H565" s="241"/>
      <c r="I565" s="301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ht="14.25" customHeight="1">
      <c r="A566" s="302">
        <f t="shared" si="4"/>
        <v>46738</v>
      </c>
      <c r="B566" s="241">
        <f t="shared" si="1"/>
        <v>2027</v>
      </c>
      <c r="C566" s="241">
        <f t="shared" si="2"/>
        <v>12</v>
      </c>
      <c r="D566" s="301" t="str">
        <f t="shared" si="3"/>
        <v>Friday</v>
      </c>
      <c r="E566" s="240"/>
      <c r="F566" s="240"/>
      <c r="G566" s="240"/>
      <c r="H566" s="241"/>
      <c r="I566" s="301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ht="14.25" customHeight="1">
      <c r="A567" s="302">
        <f t="shared" si="4"/>
        <v>46739</v>
      </c>
      <c r="B567" s="241">
        <f t="shared" si="1"/>
        <v>2027</v>
      </c>
      <c r="C567" s="241">
        <f t="shared" si="2"/>
        <v>12</v>
      </c>
      <c r="D567" s="301" t="str">
        <f t="shared" si="3"/>
        <v>Saturday</v>
      </c>
      <c r="E567" s="240"/>
      <c r="F567" s="240"/>
      <c r="G567" s="240"/>
      <c r="H567" s="241"/>
      <c r="I567" s="301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ht="14.25" customHeight="1">
      <c r="A568" s="302">
        <f t="shared" si="4"/>
        <v>46740</v>
      </c>
      <c r="B568" s="241">
        <f t="shared" si="1"/>
        <v>2027</v>
      </c>
      <c r="C568" s="241">
        <f t="shared" si="2"/>
        <v>12</v>
      </c>
      <c r="D568" s="301" t="str">
        <f t="shared" si="3"/>
        <v>Sunday</v>
      </c>
      <c r="E568" s="240"/>
      <c r="F568" s="240"/>
      <c r="G568" s="240"/>
      <c r="H568" s="241"/>
      <c r="I568" s="301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ht="14.25" customHeight="1">
      <c r="A569" s="302">
        <f t="shared" si="4"/>
        <v>46741</v>
      </c>
      <c r="B569" s="241">
        <f t="shared" si="1"/>
        <v>2027</v>
      </c>
      <c r="C569" s="241">
        <f t="shared" si="2"/>
        <v>12</v>
      </c>
      <c r="D569" s="301" t="str">
        <f t="shared" si="3"/>
        <v>Monday</v>
      </c>
      <c r="E569" s="240"/>
      <c r="F569" s="240"/>
      <c r="G569" s="240"/>
      <c r="H569" s="241"/>
      <c r="I569" s="301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ht="14.25" customHeight="1">
      <c r="A570" s="302">
        <f t="shared" si="4"/>
        <v>46742</v>
      </c>
      <c r="B570" s="241">
        <f t="shared" si="1"/>
        <v>2027</v>
      </c>
      <c r="C570" s="241">
        <f t="shared" si="2"/>
        <v>12</v>
      </c>
      <c r="D570" s="301" t="str">
        <f t="shared" si="3"/>
        <v>Tuesday</v>
      </c>
      <c r="E570" s="240"/>
      <c r="F570" s="240"/>
      <c r="G570" s="240"/>
      <c r="H570" s="241"/>
      <c r="I570" s="301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ht="14.25" customHeight="1">
      <c r="A571" s="302">
        <f t="shared" si="4"/>
        <v>46743</v>
      </c>
      <c r="B571" s="241">
        <f t="shared" si="1"/>
        <v>2027</v>
      </c>
      <c r="C571" s="241">
        <f t="shared" si="2"/>
        <v>12</v>
      </c>
      <c r="D571" s="301" t="str">
        <f t="shared" si="3"/>
        <v>Wednesday</v>
      </c>
      <c r="E571" s="240"/>
      <c r="F571" s="240"/>
      <c r="G571" s="240"/>
      <c r="H571" s="241"/>
      <c r="I571" s="301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ht="14.25" customHeight="1">
      <c r="A572" s="302">
        <f t="shared" si="4"/>
        <v>46744</v>
      </c>
      <c r="B572" s="241">
        <f t="shared" si="1"/>
        <v>2027</v>
      </c>
      <c r="C572" s="241">
        <f t="shared" si="2"/>
        <v>12</v>
      </c>
      <c r="D572" s="301" t="str">
        <f t="shared" si="3"/>
        <v>Thursday</v>
      </c>
      <c r="E572" s="240"/>
      <c r="F572" s="240"/>
      <c r="G572" s="240"/>
      <c r="H572" s="241"/>
      <c r="I572" s="301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ht="14.25" customHeight="1">
      <c r="A573" s="302">
        <f t="shared" si="4"/>
        <v>46745</v>
      </c>
      <c r="B573" s="241">
        <f t="shared" si="1"/>
        <v>2027</v>
      </c>
      <c r="C573" s="241">
        <f t="shared" si="2"/>
        <v>12</v>
      </c>
      <c r="D573" s="301" t="str">
        <f t="shared" si="3"/>
        <v>Friday</v>
      </c>
      <c r="E573" s="240"/>
      <c r="F573" s="240"/>
      <c r="G573" s="240"/>
      <c r="H573" s="241"/>
      <c r="I573" s="301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ht="14.25" customHeight="1">
      <c r="A574" s="302">
        <f t="shared" si="4"/>
        <v>46746</v>
      </c>
      <c r="B574" s="241">
        <f t="shared" si="1"/>
        <v>2027</v>
      </c>
      <c r="C574" s="241">
        <f t="shared" si="2"/>
        <v>12</v>
      </c>
      <c r="D574" s="301" t="str">
        <f t="shared" si="3"/>
        <v>Saturday</v>
      </c>
      <c r="E574" s="240"/>
      <c r="F574" s="240"/>
      <c r="G574" s="240"/>
      <c r="H574" s="241"/>
      <c r="I574" s="301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ht="14.25" customHeight="1">
      <c r="A575" s="302">
        <f t="shared" si="4"/>
        <v>46747</v>
      </c>
      <c r="B575" s="241">
        <f t="shared" si="1"/>
        <v>2027</v>
      </c>
      <c r="C575" s="241">
        <f t="shared" si="2"/>
        <v>12</v>
      </c>
      <c r="D575" s="301" t="str">
        <f t="shared" si="3"/>
        <v>Sunday</v>
      </c>
      <c r="E575" s="240"/>
      <c r="F575" s="240"/>
      <c r="G575" s="240"/>
      <c r="H575" s="241"/>
      <c r="I575" s="301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ht="14.25" customHeight="1">
      <c r="A576" s="302">
        <f t="shared" si="4"/>
        <v>46748</v>
      </c>
      <c r="B576" s="241">
        <f t="shared" si="1"/>
        <v>2027</v>
      </c>
      <c r="C576" s="241">
        <f t="shared" si="2"/>
        <v>12</v>
      </c>
      <c r="D576" s="301" t="str">
        <f t="shared" si="3"/>
        <v>Monday</v>
      </c>
      <c r="E576" s="240"/>
      <c r="F576" s="240"/>
      <c r="G576" s="240"/>
      <c r="H576" s="241"/>
      <c r="I576" s="301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ht="14.25" customHeight="1">
      <c r="A577" s="302">
        <f t="shared" si="4"/>
        <v>46749</v>
      </c>
      <c r="B577" s="241">
        <f t="shared" si="1"/>
        <v>2027</v>
      </c>
      <c r="C577" s="241">
        <f t="shared" si="2"/>
        <v>12</v>
      </c>
      <c r="D577" s="301" t="str">
        <f t="shared" si="3"/>
        <v>Tuesday</v>
      </c>
      <c r="E577" s="240"/>
      <c r="F577" s="240"/>
      <c r="G577" s="240"/>
      <c r="H577" s="241"/>
      <c r="I577" s="301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ht="14.25" customHeight="1">
      <c r="A578" s="302">
        <f t="shared" si="4"/>
        <v>46750</v>
      </c>
      <c r="B578" s="241">
        <f t="shared" si="1"/>
        <v>2027</v>
      </c>
      <c r="C578" s="241">
        <f t="shared" si="2"/>
        <v>12</v>
      </c>
      <c r="D578" s="301" t="str">
        <f t="shared" si="3"/>
        <v>Wednesday</v>
      </c>
      <c r="E578" s="240"/>
      <c r="F578" s="240"/>
      <c r="G578" s="240"/>
      <c r="H578" s="241"/>
      <c r="I578" s="301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ht="14.25" customHeight="1">
      <c r="A579" s="302">
        <f t="shared" si="4"/>
        <v>46751</v>
      </c>
      <c r="B579" s="241">
        <f t="shared" si="1"/>
        <v>2027</v>
      </c>
      <c r="C579" s="241">
        <f t="shared" si="2"/>
        <v>12</v>
      </c>
      <c r="D579" s="301" t="str">
        <f t="shared" si="3"/>
        <v>Thursday</v>
      </c>
      <c r="E579" s="240"/>
      <c r="F579" s="240"/>
      <c r="G579" s="240"/>
      <c r="H579" s="241"/>
      <c r="I579" s="301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ht="14.25" customHeight="1">
      <c r="A580" s="302">
        <f t="shared" si="4"/>
        <v>46752</v>
      </c>
      <c r="B580" s="241">
        <f t="shared" si="1"/>
        <v>2027</v>
      </c>
      <c r="C580" s="241">
        <f t="shared" si="2"/>
        <v>12</v>
      </c>
      <c r="D580" s="301" t="str">
        <f t="shared" si="3"/>
        <v>Friday</v>
      </c>
      <c r="E580" s="240"/>
      <c r="F580" s="240"/>
      <c r="G580" s="240"/>
      <c r="H580" s="241"/>
      <c r="I580" s="301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ht="14.25" customHeight="1">
      <c r="A581" s="302">
        <f t="shared" si="4"/>
        <v>46753</v>
      </c>
      <c r="B581" s="241">
        <f t="shared" si="1"/>
        <v>2028</v>
      </c>
      <c r="C581" s="241">
        <f t="shared" si="2"/>
        <v>1</v>
      </c>
      <c r="D581" s="301" t="str">
        <f t="shared" si="3"/>
        <v>Saturday</v>
      </c>
      <c r="E581" s="240"/>
      <c r="F581" s="240"/>
      <c r="G581" s="240"/>
      <c r="H581" s="241"/>
      <c r="I581" s="301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ht="14.25" customHeight="1">
      <c r="A582" s="302">
        <f t="shared" si="4"/>
        <v>46754</v>
      </c>
      <c r="B582" s="241">
        <f t="shared" si="1"/>
        <v>2028</v>
      </c>
      <c r="C582" s="241">
        <f t="shared" si="2"/>
        <v>1</v>
      </c>
      <c r="D582" s="301" t="str">
        <f t="shared" si="3"/>
        <v>Sunday</v>
      </c>
      <c r="E582" s="240"/>
      <c r="F582" s="240"/>
      <c r="G582" s="240"/>
      <c r="H582" s="241"/>
      <c r="I582" s="301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ht="14.25" customHeight="1">
      <c r="A583" s="302">
        <f t="shared" si="4"/>
        <v>46755</v>
      </c>
      <c r="B583" s="241">
        <f t="shared" si="1"/>
        <v>2028</v>
      </c>
      <c r="C583" s="241">
        <f t="shared" si="2"/>
        <v>1</v>
      </c>
      <c r="D583" s="301" t="str">
        <f t="shared" si="3"/>
        <v>Monday</v>
      </c>
      <c r="E583" s="240"/>
      <c r="F583" s="240"/>
      <c r="G583" s="240"/>
      <c r="H583" s="241"/>
      <c r="I583" s="301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ht="14.25" customHeight="1">
      <c r="A584" s="302">
        <f t="shared" si="4"/>
        <v>46756</v>
      </c>
      <c r="B584" s="241">
        <f t="shared" si="1"/>
        <v>2028</v>
      </c>
      <c r="C584" s="241">
        <f t="shared" si="2"/>
        <v>1</v>
      </c>
      <c r="D584" s="301" t="str">
        <f t="shared" si="3"/>
        <v>Tuesday</v>
      </c>
      <c r="E584" s="240"/>
      <c r="F584" s="240"/>
      <c r="G584" s="240"/>
      <c r="H584" s="241"/>
      <c r="I584" s="301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ht="14.25" customHeight="1">
      <c r="A585" s="302">
        <f t="shared" si="4"/>
        <v>46757</v>
      </c>
      <c r="B585" s="241">
        <f t="shared" si="1"/>
        <v>2028</v>
      </c>
      <c r="C585" s="241">
        <f t="shared" si="2"/>
        <v>1</v>
      </c>
      <c r="D585" s="301" t="str">
        <f t="shared" si="3"/>
        <v>Wednesday</v>
      </c>
      <c r="E585" s="240"/>
      <c r="F585" s="240"/>
      <c r="G585" s="240"/>
      <c r="H585" s="241"/>
      <c r="I585" s="301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ht="14.25" customHeight="1">
      <c r="A586" s="302">
        <f t="shared" si="4"/>
        <v>46758</v>
      </c>
      <c r="B586" s="241">
        <f t="shared" si="1"/>
        <v>2028</v>
      </c>
      <c r="C586" s="241">
        <f t="shared" si="2"/>
        <v>1</v>
      </c>
      <c r="D586" s="301" t="str">
        <f t="shared" si="3"/>
        <v>Thursday</v>
      </c>
      <c r="E586" s="240"/>
      <c r="F586" s="240"/>
      <c r="G586" s="240"/>
      <c r="H586" s="241"/>
      <c r="I586" s="301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ht="14.25" customHeight="1">
      <c r="A587" s="302">
        <f t="shared" si="4"/>
        <v>46759</v>
      </c>
      <c r="B587" s="241">
        <f t="shared" si="1"/>
        <v>2028</v>
      </c>
      <c r="C587" s="241">
        <f t="shared" si="2"/>
        <v>1</v>
      </c>
      <c r="D587" s="301" t="str">
        <f t="shared" si="3"/>
        <v>Friday</v>
      </c>
      <c r="E587" s="240"/>
      <c r="F587" s="240"/>
      <c r="G587" s="240"/>
      <c r="H587" s="241"/>
      <c r="I587" s="301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ht="14.25" customHeight="1">
      <c r="A588" s="302">
        <f t="shared" si="4"/>
        <v>46760</v>
      </c>
      <c r="B588" s="241">
        <f t="shared" si="1"/>
        <v>2028</v>
      </c>
      <c r="C588" s="241">
        <f t="shared" si="2"/>
        <v>1</v>
      </c>
      <c r="D588" s="301" t="str">
        <f t="shared" si="3"/>
        <v>Saturday</v>
      </c>
      <c r="E588" s="240"/>
      <c r="F588" s="240"/>
      <c r="G588" s="240"/>
      <c r="H588" s="241"/>
      <c r="I588" s="301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ht="14.25" customHeight="1">
      <c r="A589" s="302">
        <f t="shared" si="4"/>
        <v>46761</v>
      </c>
      <c r="B589" s="241">
        <f t="shared" si="1"/>
        <v>2028</v>
      </c>
      <c r="C589" s="241">
        <f t="shared" si="2"/>
        <v>1</v>
      </c>
      <c r="D589" s="301" t="str">
        <f t="shared" si="3"/>
        <v>Sunday</v>
      </c>
      <c r="E589" s="240"/>
      <c r="F589" s="240"/>
      <c r="G589" s="240"/>
      <c r="H589" s="241"/>
      <c r="I589" s="301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ht="14.25" customHeight="1">
      <c r="A590" s="302">
        <f t="shared" si="4"/>
        <v>46762</v>
      </c>
      <c r="B590" s="241">
        <f t="shared" si="1"/>
        <v>2028</v>
      </c>
      <c r="C590" s="241">
        <f t="shared" si="2"/>
        <v>1</v>
      </c>
      <c r="D590" s="301" t="str">
        <f t="shared" si="3"/>
        <v>Monday</v>
      </c>
      <c r="E590" s="240"/>
      <c r="F590" s="240"/>
      <c r="G590" s="240"/>
      <c r="H590" s="241"/>
      <c r="I590" s="301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ht="14.25" customHeight="1">
      <c r="A591" s="302">
        <f t="shared" si="4"/>
        <v>46763</v>
      </c>
      <c r="B591" s="241">
        <f t="shared" si="1"/>
        <v>2028</v>
      </c>
      <c r="C591" s="241">
        <f t="shared" si="2"/>
        <v>1</v>
      </c>
      <c r="D591" s="301" t="str">
        <f t="shared" si="3"/>
        <v>Tuesday</v>
      </c>
      <c r="E591" s="240"/>
      <c r="F591" s="240"/>
      <c r="G591" s="240"/>
      <c r="H591" s="241"/>
      <c r="I591" s="301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ht="14.25" customHeight="1">
      <c r="A592" s="302">
        <f t="shared" si="4"/>
        <v>46764</v>
      </c>
      <c r="B592" s="241">
        <f t="shared" si="1"/>
        <v>2028</v>
      </c>
      <c r="C592" s="241">
        <f t="shared" si="2"/>
        <v>1</v>
      </c>
      <c r="D592" s="301" t="str">
        <f t="shared" si="3"/>
        <v>Wednesday</v>
      </c>
      <c r="E592" s="240"/>
      <c r="F592" s="240"/>
      <c r="G592" s="240"/>
      <c r="H592" s="241"/>
      <c r="I592" s="301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ht="14.25" customHeight="1">
      <c r="A593" s="302">
        <f t="shared" si="4"/>
        <v>46765</v>
      </c>
      <c r="B593" s="241">
        <f t="shared" si="1"/>
        <v>2028</v>
      </c>
      <c r="C593" s="241">
        <f t="shared" si="2"/>
        <v>1</v>
      </c>
      <c r="D593" s="301" t="str">
        <f t="shared" si="3"/>
        <v>Thursday</v>
      </c>
      <c r="E593" s="240"/>
      <c r="F593" s="240"/>
      <c r="G593" s="240"/>
      <c r="H593" s="241"/>
      <c r="I593" s="301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ht="14.25" customHeight="1">
      <c r="A594" s="302">
        <f t="shared" si="4"/>
        <v>46766</v>
      </c>
      <c r="B594" s="241">
        <f t="shared" si="1"/>
        <v>2028</v>
      </c>
      <c r="C594" s="241">
        <f t="shared" si="2"/>
        <v>1</v>
      </c>
      <c r="D594" s="301" t="str">
        <f t="shared" si="3"/>
        <v>Friday</v>
      </c>
      <c r="E594" s="240"/>
      <c r="F594" s="240"/>
      <c r="G594" s="240"/>
      <c r="H594" s="241"/>
      <c r="I594" s="301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ht="14.25" customHeight="1">
      <c r="A595" s="302">
        <f t="shared" si="4"/>
        <v>46767</v>
      </c>
      <c r="B595" s="241">
        <f t="shared" si="1"/>
        <v>2028</v>
      </c>
      <c r="C595" s="241">
        <f t="shared" si="2"/>
        <v>1</v>
      </c>
      <c r="D595" s="301" t="str">
        <f t="shared" si="3"/>
        <v>Saturday</v>
      </c>
      <c r="E595" s="240"/>
      <c r="F595" s="240"/>
      <c r="G595" s="240"/>
      <c r="H595" s="241"/>
      <c r="I595" s="301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ht="14.25" customHeight="1">
      <c r="A596" s="302">
        <f t="shared" si="4"/>
        <v>46768</v>
      </c>
      <c r="B596" s="241">
        <f t="shared" si="1"/>
        <v>2028</v>
      </c>
      <c r="C596" s="241">
        <f t="shared" si="2"/>
        <v>1</v>
      </c>
      <c r="D596" s="301" t="str">
        <f t="shared" si="3"/>
        <v>Sunday</v>
      </c>
      <c r="E596" s="240"/>
      <c r="F596" s="240"/>
      <c r="G596" s="240"/>
      <c r="H596" s="241"/>
      <c r="I596" s="301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ht="14.25" customHeight="1">
      <c r="A597" s="302">
        <f t="shared" si="4"/>
        <v>46769</v>
      </c>
      <c r="B597" s="241">
        <f t="shared" si="1"/>
        <v>2028</v>
      </c>
      <c r="C597" s="241">
        <f t="shared" si="2"/>
        <v>1</v>
      </c>
      <c r="D597" s="301" t="str">
        <f t="shared" si="3"/>
        <v>Monday</v>
      </c>
      <c r="E597" s="240"/>
      <c r="F597" s="240"/>
      <c r="G597" s="240"/>
      <c r="H597" s="241"/>
      <c r="I597" s="301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ht="14.25" customHeight="1">
      <c r="A598" s="302">
        <f t="shared" si="4"/>
        <v>46770</v>
      </c>
      <c r="B598" s="241">
        <f t="shared" si="1"/>
        <v>2028</v>
      </c>
      <c r="C598" s="241">
        <f t="shared" si="2"/>
        <v>1</v>
      </c>
      <c r="D598" s="301" t="str">
        <f t="shared" si="3"/>
        <v>Tuesday</v>
      </c>
      <c r="E598" s="240"/>
      <c r="F598" s="240"/>
      <c r="G598" s="240"/>
      <c r="H598" s="241"/>
      <c r="I598" s="301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ht="14.25" customHeight="1">
      <c r="A599" s="302">
        <f t="shared" si="4"/>
        <v>46771</v>
      </c>
      <c r="B599" s="241">
        <f t="shared" si="1"/>
        <v>2028</v>
      </c>
      <c r="C599" s="241">
        <f t="shared" si="2"/>
        <v>1</v>
      </c>
      <c r="D599" s="301" t="str">
        <f t="shared" si="3"/>
        <v>Wednesday</v>
      </c>
      <c r="E599" s="240"/>
      <c r="F599" s="240"/>
      <c r="G599" s="240"/>
      <c r="H599" s="241"/>
      <c r="I599" s="301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ht="14.25" customHeight="1">
      <c r="A600" s="302">
        <f t="shared" si="4"/>
        <v>46772</v>
      </c>
      <c r="B600" s="241">
        <f t="shared" si="1"/>
        <v>2028</v>
      </c>
      <c r="C600" s="241">
        <f t="shared" si="2"/>
        <v>1</v>
      </c>
      <c r="D600" s="301" t="str">
        <f t="shared" si="3"/>
        <v>Thursday</v>
      </c>
      <c r="E600" s="240"/>
      <c r="F600" s="240"/>
      <c r="G600" s="240"/>
      <c r="H600" s="241"/>
      <c r="I600" s="301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ht="14.25" customHeight="1">
      <c r="A601" s="302">
        <f t="shared" si="4"/>
        <v>46773</v>
      </c>
      <c r="B601" s="241">
        <f t="shared" si="1"/>
        <v>2028</v>
      </c>
      <c r="C601" s="241">
        <f t="shared" si="2"/>
        <v>1</v>
      </c>
      <c r="D601" s="301" t="str">
        <f t="shared" si="3"/>
        <v>Friday</v>
      </c>
      <c r="E601" s="240"/>
      <c r="F601" s="240"/>
      <c r="G601" s="240"/>
      <c r="H601" s="241"/>
      <c r="I601" s="301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ht="14.25" customHeight="1">
      <c r="A602" s="302">
        <f t="shared" si="4"/>
        <v>46774</v>
      </c>
      <c r="B602" s="241">
        <f t="shared" si="1"/>
        <v>2028</v>
      </c>
      <c r="C602" s="241">
        <f t="shared" si="2"/>
        <v>1</v>
      </c>
      <c r="D602" s="301" t="str">
        <f t="shared" si="3"/>
        <v>Saturday</v>
      </c>
      <c r="E602" s="240"/>
      <c r="F602" s="240"/>
      <c r="G602" s="240"/>
      <c r="H602" s="241"/>
      <c r="I602" s="301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ht="14.25" customHeight="1">
      <c r="A603" s="302">
        <f t="shared" si="4"/>
        <v>46775</v>
      </c>
      <c r="B603" s="241">
        <f t="shared" si="1"/>
        <v>2028</v>
      </c>
      <c r="C603" s="241">
        <f t="shared" si="2"/>
        <v>1</v>
      </c>
      <c r="D603" s="301" t="str">
        <f t="shared" si="3"/>
        <v>Sunday</v>
      </c>
      <c r="E603" s="240"/>
      <c r="F603" s="240"/>
      <c r="G603" s="240"/>
      <c r="H603" s="241"/>
      <c r="I603" s="301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ht="14.25" customHeight="1">
      <c r="A604" s="302">
        <f t="shared" si="4"/>
        <v>46776</v>
      </c>
      <c r="B604" s="241">
        <f t="shared" si="1"/>
        <v>2028</v>
      </c>
      <c r="C604" s="241">
        <f t="shared" si="2"/>
        <v>1</v>
      </c>
      <c r="D604" s="301" t="str">
        <f t="shared" si="3"/>
        <v>Monday</v>
      </c>
      <c r="E604" s="240"/>
      <c r="F604" s="240"/>
      <c r="G604" s="240"/>
      <c r="H604" s="241"/>
      <c r="I604" s="301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ht="14.25" customHeight="1">
      <c r="A605" s="302">
        <f t="shared" si="4"/>
        <v>46777</v>
      </c>
      <c r="B605" s="241">
        <f t="shared" si="1"/>
        <v>2028</v>
      </c>
      <c r="C605" s="241">
        <f t="shared" si="2"/>
        <v>1</v>
      </c>
      <c r="D605" s="301" t="str">
        <f t="shared" si="3"/>
        <v>Tuesday</v>
      </c>
      <c r="E605" s="240"/>
      <c r="F605" s="240"/>
      <c r="G605" s="240"/>
      <c r="H605" s="241"/>
      <c r="I605" s="301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ht="14.25" customHeight="1">
      <c r="A606" s="302">
        <f t="shared" si="4"/>
        <v>46778</v>
      </c>
      <c r="B606" s="241">
        <f t="shared" si="1"/>
        <v>2028</v>
      </c>
      <c r="C606" s="241">
        <f t="shared" si="2"/>
        <v>1</v>
      </c>
      <c r="D606" s="301" t="str">
        <f t="shared" si="3"/>
        <v>Wednesday</v>
      </c>
      <c r="E606" s="240"/>
      <c r="F606" s="240"/>
      <c r="G606" s="240"/>
      <c r="H606" s="241"/>
      <c r="I606" s="301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ht="14.25" customHeight="1">
      <c r="A607" s="302">
        <f t="shared" si="4"/>
        <v>46779</v>
      </c>
      <c r="B607" s="241">
        <f t="shared" si="1"/>
        <v>2028</v>
      </c>
      <c r="C607" s="241">
        <f t="shared" si="2"/>
        <v>1</v>
      </c>
      <c r="D607" s="301" t="str">
        <f t="shared" si="3"/>
        <v>Thursday</v>
      </c>
      <c r="E607" s="240"/>
      <c r="F607" s="240"/>
      <c r="G607" s="240"/>
      <c r="H607" s="241"/>
      <c r="I607" s="301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ht="14.25" customHeight="1">
      <c r="A608" s="302">
        <f t="shared" si="4"/>
        <v>46780</v>
      </c>
      <c r="B608" s="241">
        <f t="shared" si="1"/>
        <v>2028</v>
      </c>
      <c r="C608" s="241">
        <f t="shared" si="2"/>
        <v>1</v>
      </c>
      <c r="D608" s="301" t="str">
        <f t="shared" si="3"/>
        <v>Friday</v>
      </c>
      <c r="E608" s="240"/>
      <c r="F608" s="240"/>
      <c r="G608" s="240"/>
      <c r="H608" s="241"/>
      <c r="I608" s="301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ht="14.25" customHeight="1">
      <c r="A609" s="302">
        <f t="shared" si="4"/>
        <v>46781</v>
      </c>
      <c r="B609" s="241">
        <f t="shared" si="1"/>
        <v>2028</v>
      </c>
      <c r="C609" s="241">
        <f t="shared" si="2"/>
        <v>1</v>
      </c>
      <c r="D609" s="301" t="str">
        <f t="shared" si="3"/>
        <v>Saturday</v>
      </c>
      <c r="E609" s="240"/>
      <c r="F609" s="240"/>
      <c r="G609" s="240"/>
      <c r="H609" s="241"/>
      <c r="I609" s="301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ht="14.25" customHeight="1">
      <c r="A610" s="302">
        <f t="shared" si="4"/>
        <v>46782</v>
      </c>
      <c r="B610" s="241">
        <f t="shared" si="1"/>
        <v>2028</v>
      </c>
      <c r="C610" s="241">
        <f t="shared" si="2"/>
        <v>1</v>
      </c>
      <c r="D610" s="301" t="str">
        <f t="shared" si="3"/>
        <v>Sunday</v>
      </c>
      <c r="E610" s="240"/>
      <c r="F610" s="240"/>
      <c r="G610" s="240"/>
      <c r="H610" s="241"/>
      <c r="I610" s="301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ht="14.25" customHeight="1">
      <c r="A611" s="302">
        <f t="shared" si="4"/>
        <v>46783</v>
      </c>
      <c r="B611" s="241">
        <f t="shared" si="1"/>
        <v>2028</v>
      </c>
      <c r="C611" s="241">
        <f t="shared" si="2"/>
        <v>1</v>
      </c>
      <c r="D611" s="301" t="str">
        <f t="shared" si="3"/>
        <v>Monday</v>
      </c>
      <c r="E611" s="240"/>
      <c r="F611" s="240"/>
      <c r="G611" s="240"/>
      <c r="H611" s="241"/>
      <c r="I611" s="301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ht="14.25" customHeight="1">
      <c r="A612" s="302">
        <f t="shared" si="4"/>
        <v>46784</v>
      </c>
      <c r="B612" s="241">
        <f t="shared" si="1"/>
        <v>2028</v>
      </c>
      <c r="C612" s="241">
        <f t="shared" si="2"/>
        <v>2</v>
      </c>
      <c r="D612" s="301" t="str">
        <f t="shared" si="3"/>
        <v>Tuesday</v>
      </c>
      <c r="E612" s="240"/>
      <c r="F612" s="240"/>
      <c r="G612" s="240"/>
      <c r="H612" s="241"/>
      <c r="I612" s="301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ht="14.25" customHeight="1">
      <c r="A613" s="302">
        <f t="shared" si="4"/>
        <v>46785</v>
      </c>
      <c r="B613" s="241">
        <f t="shared" si="1"/>
        <v>2028</v>
      </c>
      <c r="C613" s="241">
        <f t="shared" si="2"/>
        <v>2</v>
      </c>
      <c r="D613" s="301" t="str">
        <f t="shared" si="3"/>
        <v>Wednesday</v>
      </c>
      <c r="E613" s="240"/>
      <c r="F613" s="240"/>
      <c r="G613" s="240"/>
      <c r="H613" s="241"/>
      <c r="I613" s="301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ht="14.25" customHeight="1">
      <c r="A614" s="302">
        <f t="shared" si="4"/>
        <v>46786</v>
      </c>
      <c r="B614" s="241">
        <f t="shared" si="1"/>
        <v>2028</v>
      </c>
      <c r="C614" s="241">
        <f t="shared" si="2"/>
        <v>2</v>
      </c>
      <c r="D614" s="301" t="str">
        <f t="shared" si="3"/>
        <v>Thursday</v>
      </c>
      <c r="E614" s="240"/>
      <c r="F614" s="240"/>
      <c r="G614" s="240"/>
      <c r="H614" s="241"/>
      <c r="I614" s="301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ht="14.25" customHeight="1">
      <c r="A615" s="302">
        <f t="shared" si="4"/>
        <v>46787</v>
      </c>
      <c r="B615" s="241">
        <f t="shared" si="1"/>
        <v>2028</v>
      </c>
      <c r="C615" s="241">
        <f t="shared" si="2"/>
        <v>2</v>
      </c>
      <c r="D615" s="301" t="str">
        <f t="shared" si="3"/>
        <v>Friday</v>
      </c>
      <c r="E615" s="240"/>
      <c r="F615" s="240"/>
      <c r="G615" s="240"/>
      <c r="H615" s="241"/>
      <c r="I615" s="301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ht="14.25" customHeight="1">
      <c r="A616" s="302">
        <f t="shared" si="4"/>
        <v>46788</v>
      </c>
      <c r="B616" s="241">
        <f t="shared" si="1"/>
        <v>2028</v>
      </c>
      <c r="C616" s="241">
        <f t="shared" si="2"/>
        <v>2</v>
      </c>
      <c r="D616" s="301" t="str">
        <f t="shared" si="3"/>
        <v>Saturday</v>
      </c>
      <c r="E616" s="240"/>
      <c r="F616" s="240"/>
      <c r="G616" s="240"/>
      <c r="H616" s="241"/>
      <c r="I616" s="301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ht="14.25" customHeight="1">
      <c r="A617" s="302">
        <f t="shared" si="4"/>
        <v>46789</v>
      </c>
      <c r="B617" s="241">
        <f t="shared" si="1"/>
        <v>2028</v>
      </c>
      <c r="C617" s="241">
        <f t="shared" si="2"/>
        <v>2</v>
      </c>
      <c r="D617" s="301" t="str">
        <f t="shared" si="3"/>
        <v>Sunday</v>
      </c>
      <c r="E617" s="240"/>
      <c r="F617" s="240"/>
      <c r="G617" s="240"/>
      <c r="H617" s="241"/>
      <c r="I617" s="301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ht="14.25" customHeight="1">
      <c r="A618" s="302">
        <f t="shared" si="4"/>
        <v>46790</v>
      </c>
      <c r="B618" s="241">
        <f t="shared" si="1"/>
        <v>2028</v>
      </c>
      <c r="C618" s="241">
        <f t="shared" si="2"/>
        <v>2</v>
      </c>
      <c r="D618" s="301" t="str">
        <f t="shared" si="3"/>
        <v>Monday</v>
      </c>
      <c r="E618" s="240"/>
      <c r="F618" s="240"/>
      <c r="G618" s="240"/>
      <c r="H618" s="241"/>
      <c r="I618" s="301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ht="14.25" customHeight="1">
      <c r="A619" s="302">
        <f t="shared" si="4"/>
        <v>46791</v>
      </c>
      <c r="B619" s="241">
        <f t="shared" si="1"/>
        <v>2028</v>
      </c>
      <c r="C619" s="241">
        <f t="shared" si="2"/>
        <v>2</v>
      </c>
      <c r="D619" s="301" t="str">
        <f t="shared" si="3"/>
        <v>Tuesday</v>
      </c>
      <c r="E619" s="240"/>
      <c r="F619" s="240"/>
      <c r="G619" s="240"/>
      <c r="H619" s="241"/>
      <c r="I619" s="301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ht="14.25" customHeight="1">
      <c r="A620" s="302">
        <f t="shared" si="4"/>
        <v>46792</v>
      </c>
      <c r="B620" s="241">
        <f t="shared" si="1"/>
        <v>2028</v>
      </c>
      <c r="C620" s="241">
        <f t="shared" si="2"/>
        <v>2</v>
      </c>
      <c r="D620" s="301" t="str">
        <f t="shared" si="3"/>
        <v>Wednesday</v>
      </c>
      <c r="E620" s="240"/>
      <c r="F620" s="240"/>
      <c r="G620" s="240"/>
      <c r="H620" s="241"/>
      <c r="I620" s="301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ht="14.25" customHeight="1">
      <c r="A621" s="302">
        <f t="shared" si="4"/>
        <v>46793</v>
      </c>
      <c r="B621" s="241">
        <f t="shared" si="1"/>
        <v>2028</v>
      </c>
      <c r="C621" s="241">
        <f t="shared" si="2"/>
        <v>2</v>
      </c>
      <c r="D621" s="301" t="str">
        <f t="shared" si="3"/>
        <v>Thursday</v>
      </c>
      <c r="E621" s="240"/>
      <c r="F621" s="240"/>
      <c r="G621" s="240"/>
      <c r="H621" s="241"/>
      <c r="I621" s="301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ht="14.25" customHeight="1">
      <c r="A622" s="302">
        <f t="shared" si="4"/>
        <v>46794</v>
      </c>
      <c r="B622" s="241">
        <f t="shared" si="1"/>
        <v>2028</v>
      </c>
      <c r="C622" s="241">
        <f t="shared" si="2"/>
        <v>2</v>
      </c>
      <c r="D622" s="301" t="str">
        <f t="shared" si="3"/>
        <v>Friday</v>
      </c>
      <c r="E622" s="240"/>
      <c r="F622" s="240"/>
      <c r="G622" s="240"/>
      <c r="H622" s="241"/>
      <c r="I622" s="301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ht="14.25" customHeight="1">
      <c r="A623" s="302">
        <f t="shared" si="4"/>
        <v>46795</v>
      </c>
      <c r="B623" s="241">
        <f t="shared" si="1"/>
        <v>2028</v>
      </c>
      <c r="C623" s="241">
        <f t="shared" si="2"/>
        <v>2</v>
      </c>
      <c r="D623" s="301" t="str">
        <f t="shared" si="3"/>
        <v>Saturday</v>
      </c>
      <c r="E623" s="240"/>
      <c r="F623" s="240"/>
      <c r="G623" s="240"/>
      <c r="H623" s="241"/>
      <c r="I623" s="301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ht="14.25" customHeight="1">
      <c r="A624" s="302">
        <f t="shared" si="4"/>
        <v>46796</v>
      </c>
      <c r="B624" s="241">
        <f t="shared" si="1"/>
        <v>2028</v>
      </c>
      <c r="C624" s="241">
        <f t="shared" si="2"/>
        <v>2</v>
      </c>
      <c r="D624" s="301" t="str">
        <f t="shared" si="3"/>
        <v>Sunday</v>
      </c>
      <c r="E624" s="240"/>
      <c r="F624" s="240"/>
      <c r="G624" s="240"/>
      <c r="H624" s="241"/>
      <c r="I624" s="301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ht="14.25" customHeight="1">
      <c r="A625" s="302">
        <f t="shared" si="4"/>
        <v>46797</v>
      </c>
      <c r="B625" s="241">
        <f t="shared" si="1"/>
        <v>2028</v>
      </c>
      <c r="C625" s="241">
        <f t="shared" si="2"/>
        <v>2</v>
      </c>
      <c r="D625" s="301" t="str">
        <f t="shared" si="3"/>
        <v>Monday</v>
      </c>
      <c r="E625" s="240"/>
      <c r="F625" s="240"/>
      <c r="G625" s="240"/>
      <c r="H625" s="241"/>
      <c r="I625" s="301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ht="14.25" customHeight="1">
      <c r="A626" s="302">
        <f t="shared" si="4"/>
        <v>46798</v>
      </c>
      <c r="B626" s="241">
        <f t="shared" si="1"/>
        <v>2028</v>
      </c>
      <c r="C626" s="241">
        <f t="shared" si="2"/>
        <v>2</v>
      </c>
      <c r="D626" s="301" t="str">
        <f t="shared" si="3"/>
        <v>Tuesday</v>
      </c>
      <c r="E626" s="240"/>
      <c r="F626" s="240"/>
      <c r="G626" s="240"/>
      <c r="H626" s="241"/>
      <c r="I626" s="301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ht="14.25" customHeight="1">
      <c r="A627" s="302">
        <f t="shared" si="4"/>
        <v>46799</v>
      </c>
      <c r="B627" s="241">
        <f t="shared" si="1"/>
        <v>2028</v>
      </c>
      <c r="C627" s="241">
        <f t="shared" si="2"/>
        <v>2</v>
      </c>
      <c r="D627" s="301" t="str">
        <f t="shared" si="3"/>
        <v>Wednesday</v>
      </c>
      <c r="E627" s="240"/>
      <c r="F627" s="240"/>
      <c r="G627" s="240"/>
      <c r="H627" s="241"/>
      <c r="I627" s="301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ht="14.25" customHeight="1">
      <c r="A628" s="302">
        <f t="shared" si="4"/>
        <v>46800</v>
      </c>
      <c r="B628" s="241">
        <f t="shared" si="1"/>
        <v>2028</v>
      </c>
      <c r="C628" s="241">
        <f t="shared" si="2"/>
        <v>2</v>
      </c>
      <c r="D628" s="301" t="str">
        <f t="shared" si="3"/>
        <v>Thursday</v>
      </c>
      <c r="E628" s="240"/>
      <c r="F628" s="240"/>
      <c r="G628" s="240"/>
      <c r="H628" s="241"/>
      <c r="I628" s="301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ht="14.25" customHeight="1">
      <c r="A629" s="302">
        <f t="shared" si="4"/>
        <v>46801</v>
      </c>
      <c r="B629" s="241">
        <f t="shared" si="1"/>
        <v>2028</v>
      </c>
      <c r="C629" s="241">
        <f t="shared" si="2"/>
        <v>2</v>
      </c>
      <c r="D629" s="301" t="str">
        <f t="shared" si="3"/>
        <v>Friday</v>
      </c>
      <c r="E629" s="240"/>
      <c r="F629" s="240"/>
      <c r="G629" s="240"/>
      <c r="H629" s="241"/>
      <c r="I629" s="301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ht="14.25" customHeight="1">
      <c r="A630" s="302">
        <f t="shared" si="4"/>
        <v>46802</v>
      </c>
      <c r="B630" s="241">
        <f t="shared" si="1"/>
        <v>2028</v>
      </c>
      <c r="C630" s="241">
        <f t="shared" si="2"/>
        <v>2</v>
      </c>
      <c r="D630" s="301" t="str">
        <f t="shared" si="3"/>
        <v>Saturday</v>
      </c>
      <c r="E630" s="240"/>
      <c r="F630" s="240"/>
      <c r="G630" s="240"/>
      <c r="H630" s="241"/>
      <c r="I630" s="301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ht="14.25" customHeight="1">
      <c r="A631" s="302">
        <f t="shared" si="4"/>
        <v>46803</v>
      </c>
      <c r="B631" s="241">
        <f t="shared" si="1"/>
        <v>2028</v>
      </c>
      <c r="C631" s="241">
        <f t="shared" si="2"/>
        <v>2</v>
      </c>
      <c r="D631" s="301" t="str">
        <f t="shared" si="3"/>
        <v>Sunday</v>
      </c>
      <c r="E631" s="240"/>
      <c r="F631" s="240"/>
      <c r="G631" s="240"/>
      <c r="H631" s="241"/>
      <c r="I631" s="301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ht="14.25" customHeight="1">
      <c r="A632" s="302">
        <f t="shared" si="4"/>
        <v>46804</v>
      </c>
      <c r="B632" s="241">
        <f t="shared" si="1"/>
        <v>2028</v>
      </c>
      <c r="C632" s="241">
        <f t="shared" si="2"/>
        <v>2</v>
      </c>
      <c r="D632" s="301" t="str">
        <f t="shared" si="3"/>
        <v>Monday</v>
      </c>
      <c r="E632" s="240"/>
      <c r="F632" s="240"/>
      <c r="G632" s="240"/>
      <c r="H632" s="241"/>
      <c r="I632" s="301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ht="14.25" customHeight="1">
      <c r="A633" s="302">
        <f t="shared" si="4"/>
        <v>46805</v>
      </c>
      <c r="B633" s="241">
        <f t="shared" si="1"/>
        <v>2028</v>
      </c>
      <c r="C633" s="241">
        <f t="shared" si="2"/>
        <v>2</v>
      </c>
      <c r="D633" s="301" t="str">
        <f t="shared" si="3"/>
        <v>Tuesday</v>
      </c>
      <c r="E633" s="240"/>
      <c r="F633" s="240"/>
      <c r="G633" s="240"/>
      <c r="H633" s="241"/>
      <c r="I633" s="301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ht="14.25" customHeight="1">
      <c r="A634" s="302">
        <f t="shared" si="4"/>
        <v>46806</v>
      </c>
      <c r="B634" s="241">
        <f t="shared" si="1"/>
        <v>2028</v>
      </c>
      <c r="C634" s="241">
        <f t="shared" si="2"/>
        <v>2</v>
      </c>
      <c r="D634" s="301" t="str">
        <f t="shared" si="3"/>
        <v>Wednesday</v>
      </c>
      <c r="E634" s="240"/>
      <c r="F634" s="240"/>
      <c r="G634" s="240"/>
      <c r="H634" s="241"/>
      <c r="I634" s="301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ht="14.25" customHeight="1">
      <c r="A635" s="302">
        <f t="shared" si="4"/>
        <v>46807</v>
      </c>
      <c r="B635" s="241">
        <f t="shared" si="1"/>
        <v>2028</v>
      </c>
      <c r="C635" s="241">
        <f t="shared" si="2"/>
        <v>2</v>
      </c>
      <c r="D635" s="301" t="str">
        <f t="shared" si="3"/>
        <v>Thursday</v>
      </c>
      <c r="E635" s="240"/>
      <c r="F635" s="240"/>
      <c r="G635" s="240"/>
      <c r="H635" s="241"/>
      <c r="I635" s="301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ht="14.25" customHeight="1">
      <c r="A636" s="302">
        <f t="shared" si="4"/>
        <v>46808</v>
      </c>
      <c r="B636" s="241">
        <f t="shared" si="1"/>
        <v>2028</v>
      </c>
      <c r="C636" s="241">
        <f t="shared" si="2"/>
        <v>2</v>
      </c>
      <c r="D636" s="301" t="str">
        <f t="shared" si="3"/>
        <v>Friday</v>
      </c>
      <c r="E636" s="240"/>
      <c r="F636" s="240"/>
      <c r="G636" s="240"/>
      <c r="H636" s="241"/>
      <c r="I636" s="301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ht="14.25" customHeight="1">
      <c r="A637" s="302">
        <f t="shared" si="4"/>
        <v>46809</v>
      </c>
      <c r="B637" s="241">
        <f t="shared" si="1"/>
        <v>2028</v>
      </c>
      <c r="C637" s="241">
        <f t="shared" si="2"/>
        <v>2</v>
      </c>
      <c r="D637" s="301" t="str">
        <f t="shared" si="3"/>
        <v>Saturday</v>
      </c>
      <c r="E637" s="240"/>
      <c r="F637" s="240"/>
      <c r="G637" s="240"/>
      <c r="H637" s="241"/>
      <c r="I637" s="301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ht="14.25" customHeight="1">
      <c r="A638" s="302">
        <f t="shared" si="4"/>
        <v>46810</v>
      </c>
      <c r="B638" s="241">
        <f t="shared" si="1"/>
        <v>2028</v>
      </c>
      <c r="C638" s="241">
        <f t="shared" si="2"/>
        <v>2</v>
      </c>
      <c r="D638" s="301" t="str">
        <f t="shared" si="3"/>
        <v>Sunday</v>
      </c>
      <c r="E638" s="240"/>
      <c r="F638" s="240"/>
      <c r="G638" s="240"/>
      <c r="H638" s="241"/>
      <c r="I638" s="301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ht="14.25" customHeight="1">
      <c r="A639" s="302">
        <f t="shared" si="4"/>
        <v>46811</v>
      </c>
      <c r="B639" s="241">
        <f t="shared" si="1"/>
        <v>2028</v>
      </c>
      <c r="C639" s="241">
        <f t="shared" si="2"/>
        <v>2</v>
      </c>
      <c r="D639" s="301" t="str">
        <f t="shared" si="3"/>
        <v>Monday</v>
      </c>
      <c r="E639" s="240"/>
      <c r="F639" s="240"/>
      <c r="G639" s="240"/>
      <c r="H639" s="241"/>
      <c r="I639" s="301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ht="14.25" customHeight="1">
      <c r="A640" s="302">
        <f t="shared" si="4"/>
        <v>46812</v>
      </c>
      <c r="B640" s="241">
        <f t="shared" si="1"/>
        <v>2028</v>
      </c>
      <c r="C640" s="241">
        <f t="shared" si="2"/>
        <v>2</v>
      </c>
      <c r="D640" s="301" t="str">
        <f t="shared" si="3"/>
        <v>Tuesday</v>
      </c>
      <c r="E640" s="240"/>
      <c r="F640" s="240"/>
      <c r="G640" s="240"/>
      <c r="H640" s="241"/>
      <c r="I640" s="301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ht="14.25" customHeight="1">
      <c r="A641" s="302">
        <f t="shared" si="4"/>
        <v>46813</v>
      </c>
      <c r="B641" s="241">
        <f t="shared" si="1"/>
        <v>2028</v>
      </c>
      <c r="C641" s="241">
        <f t="shared" si="2"/>
        <v>3</v>
      </c>
      <c r="D641" s="301" t="str">
        <f t="shared" si="3"/>
        <v>Wednesday</v>
      </c>
      <c r="E641" s="240"/>
      <c r="F641" s="240"/>
      <c r="G641" s="240"/>
      <c r="H641" s="241"/>
      <c r="I641" s="301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ht="14.25" customHeight="1">
      <c r="A642" s="302">
        <f t="shared" si="4"/>
        <v>46814</v>
      </c>
      <c r="B642" s="241">
        <f t="shared" si="1"/>
        <v>2028</v>
      </c>
      <c r="C642" s="241">
        <f t="shared" si="2"/>
        <v>3</v>
      </c>
      <c r="D642" s="301" t="str">
        <f t="shared" si="3"/>
        <v>Thursday</v>
      </c>
      <c r="E642" s="240"/>
      <c r="F642" s="240"/>
      <c r="G642" s="240"/>
      <c r="H642" s="241"/>
      <c r="I642" s="301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ht="14.25" customHeight="1">
      <c r="A643" s="302">
        <f t="shared" si="4"/>
        <v>46815</v>
      </c>
      <c r="B643" s="241">
        <f t="shared" si="1"/>
        <v>2028</v>
      </c>
      <c r="C643" s="241">
        <f t="shared" si="2"/>
        <v>3</v>
      </c>
      <c r="D643" s="301" t="str">
        <f t="shared" si="3"/>
        <v>Friday</v>
      </c>
      <c r="E643" s="240"/>
      <c r="F643" s="240"/>
      <c r="G643" s="240"/>
      <c r="H643" s="241"/>
      <c r="I643" s="301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ht="14.25" customHeight="1">
      <c r="A644" s="302">
        <f t="shared" si="4"/>
        <v>46816</v>
      </c>
      <c r="B644" s="241">
        <f t="shared" si="1"/>
        <v>2028</v>
      </c>
      <c r="C644" s="241">
        <f t="shared" si="2"/>
        <v>3</v>
      </c>
      <c r="D644" s="301" t="str">
        <f t="shared" si="3"/>
        <v>Saturday</v>
      </c>
      <c r="E644" s="240"/>
      <c r="F644" s="240"/>
      <c r="G644" s="240"/>
      <c r="H644" s="241"/>
      <c r="I644" s="301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ht="14.25" customHeight="1">
      <c r="A645" s="302">
        <f t="shared" si="4"/>
        <v>46817</v>
      </c>
      <c r="B645" s="241">
        <f t="shared" si="1"/>
        <v>2028</v>
      </c>
      <c r="C645" s="241">
        <f t="shared" si="2"/>
        <v>3</v>
      </c>
      <c r="D645" s="301" t="str">
        <f t="shared" si="3"/>
        <v>Sunday</v>
      </c>
      <c r="E645" s="240"/>
      <c r="F645" s="240"/>
      <c r="G645" s="240"/>
      <c r="H645" s="241"/>
      <c r="I645" s="301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ht="14.25" customHeight="1">
      <c r="A646" s="302">
        <f t="shared" si="4"/>
        <v>46818</v>
      </c>
      <c r="B646" s="241">
        <f t="shared" si="1"/>
        <v>2028</v>
      </c>
      <c r="C646" s="241">
        <f t="shared" si="2"/>
        <v>3</v>
      </c>
      <c r="D646" s="301" t="str">
        <f t="shared" si="3"/>
        <v>Monday</v>
      </c>
      <c r="E646" s="240"/>
      <c r="F646" s="240"/>
      <c r="G646" s="240"/>
      <c r="H646" s="241"/>
      <c r="I646" s="301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ht="14.25" customHeight="1">
      <c r="A647" s="302">
        <f t="shared" si="4"/>
        <v>46819</v>
      </c>
      <c r="B647" s="241">
        <f t="shared" si="1"/>
        <v>2028</v>
      </c>
      <c r="C647" s="241">
        <f t="shared" si="2"/>
        <v>3</v>
      </c>
      <c r="D647" s="301" t="str">
        <f t="shared" si="3"/>
        <v>Tuesday</v>
      </c>
      <c r="E647" s="240"/>
      <c r="F647" s="240"/>
      <c r="G647" s="240"/>
      <c r="H647" s="241"/>
      <c r="I647" s="301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ht="14.25" customHeight="1">
      <c r="A648" s="302">
        <f t="shared" si="4"/>
        <v>46820</v>
      </c>
      <c r="B648" s="241">
        <f t="shared" si="1"/>
        <v>2028</v>
      </c>
      <c r="C648" s="241">
        <f t="shared" si="2"/>
        <v>3</v>
      </c>
      <c r="D648" s="301" t="str">
        <f t="shared" si="3"/>
        <v>Wednesday</v>
      </c>
      <c r="E648" s="240"/>
      <c r="F648" s="240"/>
      <c r="G648" s="240"/>
      <c r="H648" s="241"/>
      <c r="I648" s="301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ht="14.25" customHeight="1">
      <c r="A649" s="302">
        <f t="shared" si="4"/>
        <v>46821</v>
      </c>
      <c r="B649" s="241">
        <f t="shared" si="1"/>
        <v>2028</v>
      </c>
      <c r="C649" s="241">
        <f t="shared" si="2"/>
        <v>3</v>
      </c>
      <c r="D649" s="301" t="str">
        <f t="shared" si="3"/>
        <v>Thursday</v>
      </c>
      <c r="E649" s="240"/>
      <c r="F649" s="240"/>
      <c r="G649" s="240"/>
      <c r="H649" s="241"/>
      <c r="I649" s="301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ht="14.25" customHeight="1">
      <c r="A650" s="302">
        <f t="shared" si="4"/>
        <v>46822</v>
      </c>
      <c r="B650" s="241">
        <f t="shared" si="1"/>
        <v>2028</v>
      </c>
      <c r="C650" s="241">
        <f t="shared" si="2"/>
        <v>3</v>
      </c>
      <c r="D650" s="301" t="str">
        <f t="shared" si="3"/>
        <v>Friday</v>
      </c>
      <c r="E650" s="240"/>
      <c r="F650" s="240"/>
      <c r="G650" s="240"/>
      <c r="H650" s="241"/>
      <c r="I650" s="301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ht="14.25" customHeight="1">
      <c r="A651" s="302">
        <f t="shared" si="4"/>
        <v>46823</v>
      </c>
      <c r="B651" s="241">
        <f t="shared" si="1"/>
        <v>2028</v>
      </c>
      <c r="C651" s="241">
        <f t="shared" si="2"/>
        <v>3</v>
      </c>
      <c r="D651" s="301" t="str">
        <f t="shared" si="3"/>
        <v>Saturday</v>
      </c>
      <c r="E651" s="240"/>
      <c r="F651" s="240"/>
      <c r="G651" s="240"/>
      <c r="H651" s="241"/>
      <c r="I651" s="301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ht="14.25" customHeight="1">
      <c r="A652" s="302">
        <f t="shared" si="4"/>
        <v>46824</v>
      </c>
      <c r="B652" s="241">
        <f t="shared" si="1"/>
        <v>2028</v>
      </c>
      <c r="C652" s="241">
        <f t="shared" si="2"/>
        <v>3</v>
      </c>
      <c r="D652" s="301" t="str">
        <f t="shared" si="3"/>
        <v>Sunday</v>
      </c>
      <c r="E652" s="240"/>
      <c r="F652" s="240"/>
      <c r="G652" s="240"/>
      <c r="H652" s="241"/>
      <c r="I652" s="301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ht="14.25" customHeight="1">
      <c r="A653" s="302">
        <f t="shared" si="4"/>
        <v>46825</v>
      </c>
      <c r="B653" s="241">
        <f t="shared" si="1"/>
        <v>2028</v>
      </c>
      <c r="C653" s="241">
        <f t="shared" si="2"/>
        <v>3</v>
      </c>
      <c r="D653" s="301" t="str">
        <f t="shared" si="3"/>
        <v>Monday</v>
      </c>
      <c r="E653" s="240"/>
      <c r="F653" s="240"/>
      <c r="G653" s="240"/>
      <c r="H653" s="241"/>
      <c r="I653" s="301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ht="14.25" customHeight="1">
      <c r="A654" s="302">
        <f t="shared" si="4"/>
        <v>46826</v>
      </c>
      <c r="B654" s="241">
        <f t="shared" si="1"/>
        <v>2028</v>
      </c>
      <c r="C654" s="241">
        <f t="shared" si="2"/>
        <v>3</v>
      </c>
      <c r="D654" s="301" t="str">
        <f t="shared" si="3"/>
        <v>Tuesday</v>
      </c>
      <c r="E654" s="240"/>
      <c r="F654" s="240"/>
      <c r="G654" s="240"/>
      <c r="H654" s="241"/>
      <c r="I654" s="301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ht="14.25" customHeight="1">
      <c r="A655" s="302">
        <f t="shared" si="4"/>
        <v>46827</v>
      </c>
      <c r="B655" s="241">
        <f t="shared" si="1"/>
        <v>2028</v>
      </c>
      <c r="C655" s="241">
        <f t="shared" si="2"/>
        <v>3</v>
      </c>
      <c r="D655" s="301" t="str">
        <f t="shared" si="3"/>
        <v>Wednesday</v>
      </c>
      <c r="E655" s="240"/>
      <c r="F655" s="240"/>
      <c r="G655" s="240"/>
      <c r="H655" s="241"/>
      <c r="I655" s="301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ht="14.25" customHeight="1">
      <c r="A656" s="302">
        <f t="shared" si="4"/>
        <v>46828</v>
      </c>
      <c r="B656" s="241">
        <f t="shared" si="1"/>
        <v>2028</v>
      </c>
      <c r="C656" s="241">
        <f t="shared" si="2"/>
        <v>3</v>
      </c>
      <c r="D656" s="301" t="str">
        <f t="shared" si="3"/>
        <v>Thursday</v>
      </c>
      <c r="E656" s="240"/>
      <c r="F656" s="240"/>
      <c r="G656" s="240"/>
      <c r="H656" s="241"/>
      <c r="I656" s="301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ht="14.25" customHeight="1">
      <c r="A657" s="302">
        <f t="shared" si="4"/>
        <v>46829</v>
      </c>
      <c r="B657" s="241">
        <f t="shared" si="1"/>
        <v>2028</v>
      </c>
      <c r="C657" s="241">
        <f t="shared" si="2"/>
        <v>3</v>
      </c>
      <c r="D657" s="301" t="str">
        <f t="shared" si="3"/>
        <v>Friday</v>
      </c>
      <c r="E657" s="240"/>
      <c r="F657" s="240"/>
      <c r="G657" s="240"/>
      <c r="H657" s="241"/>
      <c r="I657" s="301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ht="14.25" customHeight="1">
      <c r="A658" s="302">
        <f t="shared" si="4"/>
        <v>46830</v>
      </c>
      <c r="B658" s="241">
        <f t="shared" si="1"/>
        <v>2028</v>
      </c>
      <c r="C658" s="241">
        <f t="shared" si="2"/>
        <v>3</v>
      </c>
      <c r="D658" s="301" t="str">
        <f t="shared" si="3"/>
        <v>Saturday</v>
      </c>
      <c r="E658" s="240"/>
      <c r="F658" s="240"/>
      <c r="G658" s="240"/>
      <c r="H658" s="241"/>
      <c r="I658" s="301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ht="14.25" customHeight="1">
      <c r="A659" s="302">
        <f t="shared" si="4"/>
        <v>46831</v>
      </c>
      <c r="B659" s="241">
        <f t="shared" si="1"/>
        <v>2028</v>
      </c>
      <c r="C659" s="241">
        <f t="shared" si="2"/>
        <v>3</v>
      </c>
      <c r="D659" s="301" t="str">
        <f t="shared" si="3"/>
        <v>Sunday</v>
      </c>
      <c r="E659" s="240"/>
      <c r="F659" s="240"/>
      <c r="G659" s="240"/>
      <c r="H659" s="241"/>
      <c r="I659" s="301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ht="14.25" customHeight="1">
      <c r="A660" s="302">
        <f t="shared" si="4"/>
        <v>46832</v>
      </c>
      <c r="B660" s="241">
        <f t="shared" si="1"/>
        <v>2028</v>
      </c>
      <c r="C660" s="241">
        <f t="shared" si="2"/>
        <v>3</v>
      </c>
      <c r="D660" s="301" t="str">
        <f t="shared" si="3"/>
        <v>Monday</v>
      </c>
      <c r="E660" s="240"/>
      <c r="F660" s="240"/>
      <c r="G660" s="240"/>
      <c r="H660" s="241"/>
      <c r="I660" s="301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ht="14.25" customHeight="1">
      <c r="A661" s="302">
        <f t="shared" si="4"/>
        <v>46833</v>
      </c>
      <c r="B661" s="241">
        <f t="shared" si="1"/>
        <v>2028</v>
      </c>
      <c r="C661" s="241">
        <f t="shared" si="2"/>
        <v>3</v>
      </c>
      <c r="D661" s="301" t="str">
        <f t="shared" si="3"/>
        <v>Tuesday</v>
      </c>
      <c r="E661" s="240"/>
      <c r="F661" s="240"/>
      <c r="G661" s="240"/>
      <c r="H661" s="241"/>
      <c r="I661" s="301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ht="14.25" customHeight="1">
      <c r="A662" s="302">
        <f t="shared" si="4"/>
        <v>46834</v>
      </c>
      <c r="B662" s="241">
        <f t="shared" si="1"/>
        <v>2028</v>
      </c>
      <c r="C662" s="241">
        <f t="shared" si="2"/>
        <v>3</v>
      </c>
      <c r="D662" s="301" t="str">
        <f t="shared" si="3"/>
        <v>Wednesday</v>
      </c>
      <c r="E662" s="240"/>
      <c r="F662" s="240"/>
      <c r="G662" s="240"/>
      <c r="H662" s="241"/>
      <c r="I662" s="301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ht="14.25" customHeight="1">
      <c r="A663" s="302">
        <f t="shared" si="4"/>
        <v>46835</v>
      </c>
      <c r="B663" s="241">
        <f t="shared" si="1"/>
        <v>2028</v>
      </c>
      <c r="C663" s="241">
        <f t="shared" si="2"/>
        <v>3</v>
      </c>
      <c r="D663" s="301" t="str">
        <f t="shared" si="3"/>
        <v>Thursday</v>
      </c>
      <c r="E663" s="240"/>
      <c r="F663" s="240"/>
      <c r="G663" s="240"/>
      <c r="H663" s="241"/>
      <c r="I663" s="301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ht="14.25" customHeight="1">
      <c r="A664" s="302">
        <f t="shared" si="4"/>
        <v>46836</v>
      </c>
      <c r="B664" s="241">
        <f t="shared" si="1"/>
        <v>2028</v>
      </c>
      <c r="C664" s="241">
        <f t="shared" si="2"/>
        <v>3</v>
      </c>
      <c r="D664" s="301" t="str">
        <f t="shared" si="3"/>
        <v>Friday</v>
      </c>
      <c r="E664" s="240"/>
      <c r="F664" s="240"/>
      <c r="G664" s="240"/>
      <c r="H664" s="241"/>
      <c r="I664" s="301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ht="14.25" customHeight="1">
      <c r="A665" s="302">
        <f t="shared" si="4"/>
        <v>46837</v>
      </c>
      <c r="B665" s="241">
        <f t="shared" si="1"/>
        <v>2028</v>
      </c>
      <c r="C665" s="241">
        <f t="shared" si="2"/>
        <v>3</v>
      </c>
      <c r="D665" s="301" t="str">
        <f t="shared" si="3"/>
        <v>Saturday</v>
      </c>
      <c r="E665" s="240"/>
      <c r="F665" s="240"/>
      <c r="G665" s="240"/>
      <c r="H665" s="241"/>
      <c r="I665" s="301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ht="14.25" customHeight="1">
      <c r="A666" s="302">
        <f t="shared" si="4"/>
        <v>46838</v>
      </c>
      <c r="B666" s="241">
        <f t="shared" si="1"/>
        <v>2028</v>
      </c>
      <c r="C666" s="241">
        <f t="shared" si="2"/>
        <v>3</v>
      </c>
      <c r="D666" s="301" t="str">
        <f t="shared" si="3"/>
        <v>Sunday</v>
      </c>
      <c r="E666" s="240"/>
      <c r="F666" s="240"/>
      <c r="G666" s="240"/>
      <c r="H666" s="241"/>
      <c r="I666" s="301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ht="14.25" customHeight="1">
      <c r="A667" s="302">
        <f t="shared" si="4"/>
        <v>46839</v>
      </c>
      <c r="B667" s="241">
        <f t="shared" si="1"/>
        <v>2028</v>
      </c>
      <c r="C667" s="241">
        <f t="shared" si="2"/>
        <v>3</v>
      </c>
      <c r="D667" s="301" t="str">
        <f t="shared" si="3"/>
        <v>Monday</v>
      </c>
      <c r="E667" s="240"/>
      <c r="F667" s="240"/>
      <c r="G667" s="240"/>
      <c r="H667" s="241"/>
      <c r="I667" s="301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ht="14.25" customHeight="1">
      <c r="A668" s="302">
        <f t="shared" si="4"/>
        <v>46840</v>
      </c>
      <c r="B668" s="241">
        <f t="shared" si="1"/>
        <v>2028</v>
      </c>
      <c r="C668" s="241">
        <f t="shared" si="2"/>
        <v>3</v>
      </c>
      <c r="D668" s="301" t="str">
        <f t="shared" si="3"/>
        <v>Tuesday</v>
      </c>
      <c r="E668" s="240"/>
      <c r="F668" s="240"/>
      <c r="G668" s="240"/>
      <c r="H668" s="241"/>
      <c r="I668" s="301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ht="14.25" customHeight="1">
      <c r="A669" s="302">
        <f t="shared" si="4"/>
        <v>46841</v>
      </c>
      <c r="B669" s="241">
        <f t="shared" si="1"/>
        <v>2028</v>
      </c>
      <c r="C669" s="241">
        <f t="shared" si="2"/>
        <v>3</v>
      </c>
      <c r="D669" s="301" t="str">
        <f t="shared" si="3"/>
        <v>Wednesday</v>
      </c>
      <c r="E669" s="240"/>
      <c r="F669" s="240"/>
      <c r="G669" s="240"/>
      <c r="H669" s="241"/>
      <c r="I669" s="301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ht="14.25" customHeight="1">
      <c r="A670" s="302">
        <f t="shared" si="4"/>
        <v>46842</v>
      </c>
      <c r="B670" s="241">
        <f t="shared" si="1"/>
        <v>2028</v>
      </c>
      <c r="C670" s="241">
        <f t="shared" si="2"/>
        <v>3</v>
      </c>
      <c r="D670" s="301" t="str">
        <f t="shared" si="3"/>
        <v>Thursday</v>
      </c>
      <c r="E670" s="240"/>
      <c r="F670" s="240"/>
      <c r="G670" s="240"/>
      <c r="H670" s="241"/>
      <c r="I670" s="301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ht="14.25" customHeight="1">
      <c r="A671" s="302">
        <f t="shared" si="4"/>
        <v>46843</v>
      </c>
      <c r="B671" s="241">
        <f t="shared" si="1"/>
        <v>2028</v>
      </c>
      <c r="C671" s="241">
        <f t="shared" si="2"/>
        <v>3</v>
      </c>
      <c r="D671" s="301" t="str">
        <f t="shared" si="3"/>
        <v>Friday</v>
      </c>
      <c r="E671" s="240"/>
      <c r="F671" s="240"/>
      <c r="G671" s="240"/>
      <c r="H671" s="241"/>
      <c r="I671" s="301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ht="14.25" customHeight="1">
      <c r="A672" s="302">
        <f t="shared" si="4"/>
        <v>46844</v>
      </c>
      <c r="B672" s="241">
        <f t="shared" si="1"/>
        <v>2028</v>
      </c>
      <c r="C672" s="241">
        <f t="shared" si="2"/>
        <v>4</v>
      </c>
      <c r="D672" s="301" t="str">
        <f t="shared" si="3"/>
        <v>Saturday</v>
      </c>
      <c r="E672" s="240"/>
      <c r="F672" s="240"/>
      <c r="G672" s="240"/>
      <c r="H672" s="241"/>
      <c r="I672" s="301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ht="14.25" customHeight="1">
      <c r="A673" s="302">
        <f t="shared" si="4"/>
        <v>46845</v>
      </c>
      <c r="B673" s="241">
        <f t="shared" si="1"/>
        <v>2028</v>
      </c>
      <c r="C673" s="241">
        <f t="shared" si="2"/>
        <v>4</v>
      </c>
      <c r="D673" s="301" t="str">
        <f t="shared" si="3"/>
        <v>Sunday</v>
      </c>
      <c r="E673" s="240"/>
      <c r="F673" s="240"/>
      <c r="G673" s="240"/>
      <c r="H673" s="241"/>
      <c r="I673" s="301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ht="14.25" customHeight="1">
      <c r="A674" s="302">
        <f t="shared" si="4"/>
        <v>46846</v>
      </c>
      <c r="B674" s="241">
        <f t="shared" si="1"/>
        <v>2028</v>
      </c>
      <c r="C674" s="241">
        <f t="shared" si="2"/>
        <v>4</v>
      </c>
      <c r="D674" s="301" t="str">
        <f t="shared" si="3"/>
        <v>Monday</v>
      </c>
      <c r="E674" s="240"/>
      <c r="F674" s="240"/>
      <c r="G674" s="240"/>
      <c r="H674" s="241"/>
      <c r="I674" s="301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ht="14.25" customHeight="1">
      <c r="A675" s="302">
        <f t="shared" si="4"/>
        <v>46847</v>
      </c>
      <c r="B675" s="241">
        <f t="shared" si="1"/>
        <v>2028</v>
      </c>
      <c r="C675" s="241">
        <f t="shared" si="2"/>
        <v>4</v>
      </c>
      <c r="D675" s="301" t="str">
        <f t="shared" si="3"/>
        <v>Tuesday</v>
      </c>
      <c r="E675" s="240"/>
      <c r="F675" s="240"/>
      <c r="G675" s="240"/>
      <c r="H675" s="241"/>
      <c r="I675" s="301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ht="14.25" customHeight="1">
      <c r="A676" s="302">
        <f t="shared" si="4"/>
        <v>46848</v>
      </c>
      <c r="B676" s="241">
        <f t="shared" si="1"/>
        <v>2028</v>
      </c>
      <c r="C676" s="241">
        <f t="shared" si="2"/>
        <v>4</v>
      </c>
      <c r="D676" s="301" t="str">
        <f t="shared" si="3"/>
        <v>Wednesday</v>
      </c>
      <c r="E676" s="240"/>
      <c r="F676" s="240"/>
      <c r="G676" s="240"/>
      <c r="H676" s="241"/>
      <c r="I676" s="301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ht="14.25" customHeight="1">
      <c r="A677" s="302">
        <f t="shared" si="4"/>
        <v>46849</v>
      </c>
      <c r="B677" s="241">
        <f t="shared" si="1"/>
        <v>2028</v>
      </c>
      <c r="C677" s="241">
        <f t="shared" si="2"/>
        <v>4</v>
      </c>
      <c r="D677" s="301" t="str">
        <f t="shared" si="3"/>
        <v>Thursday</v>
      </c>
      <c r="E677" s="240"/>
      <c r="F677" s="240"/>
      <c r="G677" s="240"/>
      <c r="H677" s="241"/>
      <c r="I677" s="301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ht="14.25" customHeight="1">
      <c r="A678" s="302">
        <f t="shared" si="4"/>
        <v>46850</v>
      </c>
      <c r="B678" s="241">
        <f t="shared" si="1"/>
        <v>2028</v>
      </c>
      <c r="C678" s="241">
        <f t="shared" si="2"/>
        <v>4</v>
      </c>
      <c r="D678" s="301" t="str">
        <f t="shared" si="3"/>
        <v>Friday</v>
      </c>
      <c r="E678" s="240"/>
      <c r="F678" s="240"/>
      <c r="G678" s="240"/>
      <c r="H678" s="241"/>
      <c r="I678" s="301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ht="14.25" customHeight="1">
      <c r="A679" s="302">
        <f t="shared" si="4"/>
        <v>46851</v>
      </c>
      <c r="B679" s="241">
        <f t="shared" si="1"/>
        <v>2028</v>
      </c>
      <c r="C679" s="241">
        <f t="shared" si="2"/>
        <v>4</v>
      </c>
      <c r="D679" s="301" t="str">
        <f t="shared" si="3"/>
        <v>Saturday</v>
      </c>
      <c r="E679" s="240"/>
      <c r="F679" s="240"/>
      <c r="G679" s="240"/>
      <c r="H679" s="241"/>
      <c r="I679" s="301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ht="14.25" customHeight="1">
      <c r="A680" s="302">
        <f t="shared" si="4"/>
        <v>46852</v>
      </c>
      <c r="B680" s="241">
        <f t="shared" si="1"/>
        <v>2028</v>
      </c>
      <c r="C680" s="241">
        <f t="shared" si="2"/>
        <v>4</v>
      </c>
      <c r="D680" s="301" t="str">
        <f t="shared" si="3"/>
        <v>Sunday</v>
      </c>
      <c r="E680" s="240"/>
      <c r="F680" s="240"/>
      <c r="G680" s="240"/>
      <c r="H680" s="241"/>
      <c r="I680" s="301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ht="14.25" customHeight="1">
      <c r="A681" s="302">
        <f t="shared" si="4"/>
        <v>46853</v>
      </c>
      <c r="B681" s="241">
        <f t="shared" si="1"/>
        <v>2028</v>
      </c>
      <c r="C681" s="241">
        <f t="shared" si="2"/>
        <v>4</v>
      </c>
      <c r="D681" s="301" t="str">
        <f t="shared" si="3"/>
        <v>Monday</v>
      </c>
      <c r="E681" s="240"/>
      <c r="F681" s="240"/>
      <c r="G681" s="240"/>
      <c r="H681" s="241"/>
      <c r="I681" s="301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ht="14.25" customHeight="1">
      <c r="A682" s="302">
        <f t="shared" si="4"/>
        <v>46854</v>
      </c>
      <c r="B682" s="241">
        <f t="shared" si="1"/>
        <v>2028</v>
      </c>
      <c r="C682" s="241">
        <f t="shared" si="2"/>
        <v>4</v>
      </c>
      <c r="D682" s="301" t="str">
        <f t="shared" si="3"/>
        <v>Tuesday</v>
      </c>
      <c r="E682" s="240"/>
      <c r="F682" s="240"/>
      <c r="G682" s="240"/>
      <c r="H682" s="241"/>
      <c r="I682" s="301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ht="14.25" customHeight="1">
      <c r="A683" s="302">
        <f t="shared" si="4"/>
        <v>46855</v>
      </c>
      <c r="B683" s="241">
        <f t="shared" si="1"/>
        <v>2028</v>
      </c>
      <c r="C683" s="241">
        <f t="shared" si="2"/>
        <v>4</v>
      </c>
      <c r="D683" s="301" t="str">
        <f t="shared" si="3"/>
        <v>Wednesday</v>
      </c>
      <c r="E683" s="240"/>
      <c r="F683" s="240"/>
      <c r="G683" s="240"/>
      <c r="H683" s="241"/>
      <c r="I683" s="301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ht="14.25" customHeight="1">
      <c r="A684" s="302">
        <f t="shared" si="4"/>
        <v>46856</v>
      </c>
      <c r="B684" s="241">
        <f t="shared" si="1"/>
        <v>2028</v>
      </c>
      <c r="C684" s="241">
        <f t="shared" si="2"/>
        <v>4</v>
      </c>
      <c r="D684" s="301" t="str">
        <f t="shared" si="3"/>
        <v>Thursday</v>
      </c>
      <c r="E684" s="240"/>
      <c r="F684" s="240"/>
      <c r="G684" s="240"/>
      <c r="H684" s="241"/>
      <c r="I684" s="301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ht="14.25" customHeight="1">
      <c r="A685" s="302">
        <f t="shared" si="4"/>
        <v>46857</v>
      </c>
      <c r="B685" s="241">
        <f t="shared" si="1"/>
        <v>2028</v>
      </c>
      <c r="C685" s="241">
        <f t="shared" si="2"/>
        <v>4</v>
      </c>
      <c r="D685" s="301" t="str">
        <f t="shared" si="3"/>
        <v>Friday</v>
      </c>
      <c r="E685" s="240"/>
      <c r="F685" s="240"/>
      <c r="G685" s="240"/>
      <c r="H685" s="241"/>
      <c r="I685" s="301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ht="14.25" customHeight="1">
      <c r="A686" s="302">
        <f t="shared" si="4"/>
        <v>46858</v>
      </c>
      <c r="B686" s="241">
        <f t="shared" si="1"/>
        <v>2028</v>
      </c>
      <c r="C686" s="241">
        <f t="shared" si="2"/>
        <v>4</v>
      </c>
      <c r="D686" s="301" t="str">
        <f t="shared" si="3"/>
        <v>Saturday</v>
      </c>
      <c r="E686" s="240"/>
      <c r="F686" s="240"/>
      <c r="G686" s="240"/>
      <c r="H686" s="241"/>
      <c r="I686" s="301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ht="14.25" customHeight="1">
      <c r="A687" s="302">
        <f t="shared" si="4"/>
        <v>46859</v>
      </c>
      <c r="B687" s="241">
        <f t="shared" si="1"/>
        <v>2028</v>
      </c>
      <c r="C687" s="241">
        <f t="shared" si="2"/>
        <v>4</v>
      </c>
      <c r="D687" s="301" t="str">
        <f t="shared" si="3"/>
        <v>Sunday</v>
      </c>
      <c r="E687" s="240"/>
      <c r="F687" s="240"/>
      <c r="G687" s="240"/>
      <c r="H687" s="241"/>
      <c r="I687" s="301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ht="14.25" customHeight="1">
      <c r="A688" s="302">
        <f t="shared" si="4"/>
        <v>46860</v>
      </c>
      <c r="B688" s="241">
        <f t="shared" si="1"/>
        <v>2028</v>
      </c>
      <c r="C688" s="241">
        <f t="shared" si="2"/>
        <v>4</v>
      </c>
      <c r="D688" s="301" t="str">
        <f t="shared" si="3"/>
        <v>Monday</v>
      </c>
      <c r="E688" s="240"/>
      <c r="F688" s="240"/>
      <c r="G688" s="240"/>
      <c r="H688" s="241"/>
      <c r="I688" s="301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ht="14.25" customHeight="1">
      <c r="A689" s="302">
        <f t="shared" si="4"/>
        <v>46861</v>
      </c>
      <c r="B689" s="241">
        <f t="shared" si="1"/>
        <v>2028</v>
      </c>
      <c r="C689" s="241">
        <f t="shared" si="2"/>
        <v>4</v>
      </c>
      <c r="D689" s="301" t="str">
        <f t="shared" si="3"/>
        <v>Tuesday</v>
      </c>
      <c r="E689" s="240"/>
      <c r="F689" s="240"/>
      <c r="G689" s="240"/>
      <c r="H689" s="241"/>
      <c r="I689" s="301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ht="14.25" customHeight="1">
      <c r="A690" s="302">
        <f t="shared" si="4"/>
        <v>46862</v>
      </c>
      <c r="B690" s="241">
        <f t="shared" si="1"/>
        <v>2028</v>
      </c>
      <c r="C690" s="241">
        <f t="shared" si="2"/>
        <v>4</v>
      </c>
      <c r="D690" s="301" t="str">
        <f t="shared" si="3"/>
        <v>Wednesday</v>
      </c>
      <c r="E690" s="240"/>
      <c r="F690" s="240"/>
      <c r="G690" s="240"/>
      <c r="H690" s="241"/>
      <c r="I690" s="301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ht="14.25" customHeight="1">
      <c r="A691" s="302">
        <f t="shared" si="4"/>
        <v>46863</v>
      </c>
      <c r="B691" s="241">
        <f t="shared" si="1"/>
        <v>2028</v>
      </c>
      <c r="C691" s="241">
        <f t="shared" si="2"/>
        <v>4</v>
      </c>
      <c r="D691" s="301" t="str">
        <f t="shared" si="3"/>
        <v>Thursday</v>
      </c>
      <c r="E691" s="240"/>
      <c r="F691" s="240"/>
      <c r="G691" s="240"/>
      <c r="H691" s="241"/>
      <c r="I691" s="301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ht="14.25" customHeight="1">
      <c r="A692" s="302">
        <f t="shared" si="4"/>
        <v>46864</v>
      </c>
      <c r="B692" s="241">
        <f t="shared" si="1"/>
        <v>2028</v>
      </c>
      <c r="C692" s="241">
        <f t="shared" si="2"/>
        <v>4</v>
      </c>
      <c r="D692" s="301" t="str">
        <f t="shared" si="3"/>
        <v>Friday</v>
      </c>
      <c r="E692" s="240"/>
      <c r="F692" s="240"/>
      <c r="G692" s="240"/>
      <c r="H692" s="241"/>
      <c r="I692" s="301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ht="14.25" customHeight="1">
      <c r="A693" s="302">
        <f t="shared" si="4"/>
        <v>46865</v>
      </c>
      <c r="B693" s="241">
        <f t="shared" si="1"/>
        <v>2028</v>
      </c>
      <c r="C693" s="241">
        <f t="shared" si="2"/>
        <v>4</v>
      </c>
      <c r="D693" s="301" t="str">
        <f t="shared" si="3"/>
        <v>Saturday</v>
      </c>
      <c r="E693" s="240"/>
      <c r="F693" s="240"/>
      <c r="G693" s="240"/>
      <c r="H693" s="241"/>
      <c r="I693" s="301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ht="14.25" customHeight="1">
      <c r="A694" s="302">
        <f t="shared" si="4"/>
        <v>46866</v>
      </c>
      <c r="B694" s="241">
        <f t="shared" si="1"/>
        <v>2028</v>
      </c>
      <c r="C694" s="241">
        <f t="shared" si="2"/>
        <v>4</v>
      </c>
      <c r="D694" s="301" t="str">
        <f t="shared" si="3"/>
        <v>Sunday</v>
      </c>
      <c r="E694" s="240"/>
      <c r="F694" s="240"/>
      <c r="G694" s="240"/>
      <c r="H694" s="241"/>
      <c r="I694" s="301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ht="14.25" customHeight="1">
      <c r="A695" s="302">
        <f t="shared" si="4"/>
        <v>46867</v>
      </c>
      <c r="B695" s="241">
        <f t="shared" si="1"/>
        <v>2028</v>
      </c>
      <c r="C695" s="241">
        <f t="shared" si="2"/>
        <v>4</v>
      </c>
      <c r="D695" s="301" t="str">
        <f t="shared" si="3"/>
        <v>Monday</v>
      </c>
      <c r="E695" s="240"/>
      <c r="F695" s="240"/>
      <c r="G695" s="240"/>
      <c r="H695" s="241"/>
      <c r="I695" s="301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ht="14.25" customHeight="1">
      <c r="A696" s="302">
        <f t="shared" si="4"/>
        <v>46868</v>
      </c>
      <c r="B696" s="241">
        <f t="shared" si="1"/>
        <v>2028</v>
      </c>
      <c r="C696" s="241">
        <f t="shared" si="2"/>
        <v>4</v>
      </c>
      <c r="D696" s="301" t="str">
        <f t="shared" si="3"/>
        <v>Tuesday</v>
      </c>
      <c r="E696" s="240"/>
      <c r="F696" s="240"/>
      <c r="G696" s="240"/>
      <c r="H696" s="241"/>
      <c r="I696" s="301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ht="14.25" customHeight="1">
      <c r="A697" s="302">
        <f t="shared" si="4"/>
        <v>46869</v>
      </c>
      <c r="B697" s="241">
        <f t="shared" si="1"/>
        <v>2028</v>
      </c>
      <c r="C697" s="241">
        <f t="shared" si="2"/>
        <v>4</v>
      </c>
      <c r="D697" s="301" t="str">
        <f t="shared" si="3"/>
        <v>Wednesday</v>
      </c>
      <c r="E697" s="240"/>
      <c r="F697" s="240"/>
      <c r="G697" s="240"/>
      <c r="H697" s="241"/>
      <c r="I697" s="301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ht="14.25" customHeight="1">
      <c r="A698" s="302">
        <f t="shared" si="4"/>
        <v>46870</v>
      </c>
      <c r="B698" s="241">
        <f t="shared" si="1"/>
        <v>2028</v>
      </c>
      <c r="C698" s="241">
        <f t="shared" si="2"/>
        <v>4</v>
      </c>
      <c r="D698" s="301" t="str">
        <f t="shared" si="3"/>
        <v>Thursday</v>
      </c>
      <c r="E698" s="240"/>
      <c r="F698" s="240"/>
      <c r="G698" s="240"/>
      <c r="H698" s="241"/>
      <c r="I698" s="301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ht="14.25" customHeight="1">
      <c r="A699" s="302">
        <f t="shared" si="4"/>
        <v>46871</v>
      </c>
      <c r="B699" s="241">
        <f t="shared" si="1"/>
        <v>2028</v>
      </c>
      <c r="C699" s="241">
        <f t="shared" si="2"/>
        <v>4</v>
      </c>
      <c r="D699" s="301" t="str">
        <f t="shared" si="3"/>
        <v>Friday</v>
      </c>
      <c r="E699" s="240"/>
      <c r="F699" s="240"/>
      <c r="G699" s="240"/>
      <c r="H699" s="241"/>
      <c r="I699" s="301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ht="14.25" customHeight="1">
      <c r="A700" s="302">
        <f t="shared" si="4"/>
        <v>46872</v>
      </c>
      <c r="B700" s="241">
        <f t="shared" si="1"/>
        <v>2028</v>
      </c>
      <c r="C700" s="241">
        <f t="shared" si="2"/>
        <v>4</v>
      </c>
      <c r="D700" s="301" t="str">
        <f t="shared" si="3"/>
        <v>Saturday</v>
      </c>
      <c r="E700" s="240"/>
      <c r="F700" s="240"/>
      <c r="G700" s="240"/>
      <c r="H700" s="241"/>
      <c r="I700" s="301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ht="14.25" customHeight="1">
      <c r="A701" s="302">
        <f t="shared" si="4"/>
        <v>46873</v>
      </c>
      <c r="B701" s="241">
        <f t="shared" si="1"/>
        <v>2028</v>
      </c>
      <c r="C701" s="241">
        <f t="shared" si="2"/>
        <v>4</v>
      </c>
      <c r="D701" s="301" t="str">
        <f t="shared" si="3"/>
        <v>Sunday</v>
      </c>
      <c r="E701" s="240"/>
      <c r="F701" s="240"/>
      <c r="G701" s="240"/>
      <c r="H701" s="241"/>
      <c r="I701" s="301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ht="14.25" customHeight="1">
      <c r="A702" s="302">
        <f t="shared" si="4"/>
        <v>46874</v>
      </c>
      <c r="B702" s="241">
        <f t="shared" si="1"/>
        <v>2028</v>
      </c>
      <c r="C702" s="241">
        <f t="shared" si="2"/>
        <v>5</v>
      </c>
      <c r="D702" s="301" t="str">
        <f t="shared" si="3"/>
        <v>Monday</v>
      </c>
      <c r="E702" s="240"/>
      <c r="F702" s="240"/>
      <c r="G702" s="240"/>
      <c r="H702" s="241"/>
      <c r="I702" s="301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ht="14.25" customHeight="1">
      <c r="A703" s="302">
        <f t="shared" si="4"/>
        <v>46875</v>
      </c>
      <c r="B703" s="241">
        <f t="shared" si="1"/>
        <v>2028</v>
      </c>
      <c r="C703" s="241">
        <f t="shared" si="2"/>
        <v>5</v>
      </c>
      <c r="D703" s="301" t="str">
        <f t="shared" si="3"/>
        <v>Tuesday</v>
      </c>
      <c r="E703" s="240"/>
      <c r="F703" s="240"/>
      <c r="G703" s="240"/>
      <c r="H703" s="241"/>
      <c r="I703" s="301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ht="14.25" customHeight="1">
      <c r="A704" s="302">
        <f t="shared" si="4"/>
        <v>46876</v>
      </c>
      <c r="B704" s="241">
        <f t="shared" si="1"/>
        <v>2028</v>
      </c>
      <c r="C704" s="241">
        <f t="shared" si="2"/>
        <v>5</v>
      </c>
      <c r="D704" s="301" t="str">
        <f t="shared" si="3"/>
        <v>Wednesday</v>
      </c>
      <c r="E704" s="240"/>
      <c r="F704" s="240"/>
      <c r="G704" s="240"/>
      <c r="H704" s="241"/>
      <c r="I704" s="301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ht="14.25" customHeight="1">
      <c r="A705" s="302">
        <f t="shared" si="4"/>
        <v>46877</v>
      </c>
      <c r="B705" s="241">
        <f t="shared" si="1"/>
        <v>2028</v>
      </c>
      <c r="C705" s="241">
        <f t="shared" si="2"/>
        <v>5</v>
      </c>
      <c r="D705" s="301" t="str">
        <f t="shared" si="3"/>
        <v>Thursday</v>
      </c>
      <c r="E705" s="240"/>
      <c r="F705" s="240"/>
      <c r="G705" s="240"/>
      <c r="H705" s="241"/>
      <c r="I705" s="301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ht="14.25" customHeight="1">
      <c r="A706" s="302">
        <f t="shared" si="4"/>
        <v>46878</v>
      </c>
      <c r="B706" s="241">
        <f t="shared" si="1"/>
        <v>2028</v>
      </c>
      <c r="C706" s="241">
        <f t="shared" si="2"/>
        <v>5</v>
      </c>
      <c r="D706" s="301" t="str">
        <f t="shared" si="3"/>
        <v>Friday</v>
      </c>
      <c r="E706" s="240"/>
      <c r="F706" s="240"/>
      <c r="G706" s="240"/>
      <c r="H706" s="241"/>
      <c r="I706" s="301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ht="14.25" customHeight="1">
      <c r="A707" s="302">
        <f t="shared" si="4"/>
        <v>46879</v>
      </c>
      <c r="B707" s="241">
        <f t="shared" si="1"/>
        <v>2028</v>
      </c>
      <c r="C707" s="241">
        <f t="shared" si="2"/>
        <v>5</v>
      </c>
      <c r="D707" s="301" t="str">
        <f t="shared" si="3"/>
        <v>Saturday</v>
      </c>
      <c r="E707" s="240"/>
      <c r="F707" s="240"/>
      <c r="G707" s="240"/>
      <c r="H707" s="241"/>
      <c r="I707" s="301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ht="14.25" customHeight="1">
      <c r="A708" s="302">
        <f t="shared" si="4"/>
        <v>46880</v>
      </c>
      <c r="B708" s="241">
        <f t="shared" si="1"/>
        <v>2028</v>
      </c>
      <c r="C708" s="241">
        <f t="shared" si="2"/>
        <v>5</v>
      </c>
      <c r="D708" s="301" t="str">
        <f t="shared" si="3"/>
        <v>Sunday</v>
      </c>
      <c r="E708" s="240"/>
      <c r="F708" s="240"/>
      <c r="G708" s="240"/>
      <c r="H708" s="241"/>
      <c r="I708" s="301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ht="14.25" customHeight="1">
      <c r="A709" s="302">
        <f t="shared" si="4"/>
        <v>46881</v>
      </c>
      <c r="B709" s="241">
        <f t="shared" si="1"/>
        <v>2028</v>
      </c>
      <c r="C709" s="241">
        <f t="shared" si="2"/>
        <v>5</v>
      </c>
      <c r="D709" s="301" t="str">
        <f t="shared" si="3"/>
        <v>Monday</v>
      </c>
      <c r="E709" s="240"/>
      <c r="F709" s="240"/>
      <c r="G709" s="240"/>
      <c r="H709" s="241"/>
      <c r="I709" s="301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ht="14.25" customHeight="1">
      <c r="A710" s="302">
        <f t="shared" si="4"/>
        <v>46882</v>
      </c>
      <c r="B710" s="241">
        <f t="shared" si="1"/>
        <v>2028</v>
      </c>
      <c r="C710" s="241">
        <f t="shared" si="2"/>
        <v>5</v>
      </c>
      <c r="D710" s="301" t="str">
        <f t="shared" si="3"/>
        <v>Tuesday</v>
      </c>
      <c r="E710" s="240"/>
      <c r="F710" s="240"/>
      <c r="G710" s="240"/>
      <c r="H710" s="241"/>
      <c r="I710" s="301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ht="14.25" customHeight="1">
      <c r="A711" s="302">
        <f t="shared" si="4"/>
        <v>46883</v>
      </c>
      <c r="B711" s="241">
        <f t="shared" si="1"/>
        <v>2028</v>
      </c>
      <c r="C711" s="241">
        <f t="shared" si="2"/>
        <v>5</v>
      </c>
      <c r="D711" s="301" t="str">
        <f t="shared" si="3"/>
        <v>Wednesday</v>
      </c>
      <c r="E711" s="240"/>
      <c r="F711" s="240"/>
      <c r="G711" s="240"/>
      <c r="H711" s="241"/>
      <c r="I711" s="301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ht="14.25" customHeight="1">
      <c r="A712" s="302">
        <f t="shared" si="4"/>
        <v>46884</v>
      </c>
      <c r="B712" s="241">
        <f t="shared" si="1"/>
        <v>2028</v>
      </c>
      <c r="C712" s="241">
        <f t="shared" si="2"/>
        <v>5</v>
      </c>
      <c r="D712" s="301" t="str">
        <f t="shared" si="3"/>
        <v>Thursday</v>
      </c>
      <c r="E712" s="240"/>
      <c r="F712" s="240"/>
      <c r="G712" s="240"/>
      <c r="H712" s="241"/>
      <c r="I712" s="301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ht="14.25" customHeight="1">
      <c r="A713" s="302">
        <f t="shared" si="4"/>
        <v>46885</v>
      </c>
      <c r="B713" s="241">
        <f t="shared" si="1"/>
        <v>2028</v>
      </c>
      <c r="C713" s="241">
        <f t="shared" si="2"/>
        <v>5</v>
      </c>
      <c r="D713" s="301" t="str">
        <f t="shared" si="3"/>
        <v>Friday</v>
      </c>
      <c r="E713" s="240"/>
      <c r="F713" s="240"/>
      <c r="G713" s="240"/>
      <c r="H713" s="241"/>
      <c r="I713" s="301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ht="14.25" customHeight="1">
      <c r="A714" s="302">
        <f t="shared" si="4"/>
        <v>46886</v>
      </c>
      <c r="B714" s="241">
        <f t="shared" si="1"/>
        <v>2028</v>
      </c>
      <c r="C714" s="241">
        <f t="shared" si="2"/>
        <v>5</v>
      </c>
      <c r="D714" s="301" t="str">
        <f t="shared" si="3"/>
        <v>Saturday</v>
      </c>
      <c r="E714" s="240"/>
      <c r="F714" s="240"/>
      <c r="G714" s="240"/>
      <c r="H714" s="241"/>
      <c r="I714" s="301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ht="14.25" customHeight="1">
      <c r="A715" s="302">
        <f t="shared" si="4"/>
        <v>46887</v>
      </c>
      <c r="B715" s="241">
        <f t="shared" si="1"/>
        <v>2028</v>
      </c>
      <c r="C715" s="241">
        <f t="shared" si="2"/>
        <v>5</v>
      </c>
      <c r="D715" s="301" t="str">
        <f t="shared" si="3"/>
        <v>Sunday</v>
      </c>
      <c r="E715" s="240"/>
      <c r="F715" s="240"/>
      <c r="G715" s="240"/>
      <c r="H715" s="241"/>
      <c r="I715" s="301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ht="14.25" customHeight="1">
      <c r="A716" s="302">
        <f t="shared" si="4"/>
        <v>46888</v>
      </c>
      <c r="B716" s="241">
        <f t="shared" si="1"/>
        <v>2028</v>
      </c>
      <c r="C716" s="241">
        <f t="shared" si="2"/>
        <v>5</v>
      </c>
      <c r="D716" s="301" t="str">
        <f t="shared" si="3"/>
        <v>Monday</v>
      </c>
      <c r="E716" s="240"/>
      <c r="F716" s="240"/>
      <c r="G716" s="240"/>
      <c r="H716" s="241"/>
      <c r="I716" s="301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ht="14.25" customHeight="1">
      <c r="A717" s="302">
        <f t="shared" si="4"/>
        <v>46889</v>
      </c>
      <c r="B717" s="241">
        <f t="shared" si="1"/>
        <v>2028</v>
      </c>
      <c r="C717" s="241">
        <f t="shared" si="2"/>
        <v>5</v>
      </c>
      <c r="D717" s="301" t="str">
        <f t="shared" si="3"/>
        <v>Tuesday</v>
      </c>
      <c r="E717" s="240"/>
      <c r="F717" s="240"/>
      <c r="G717" s="240"/>
      <c r="H717" s="241"/>
      <c r="I717" s="301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ht="14.25" customHeight="1">
      <c r="A718" s="302">
        <f t="shared" si="4"/>
        <v>46890</v>
      </c>
      <c r="B718" s="241">
        <f t="shared" si="1"/>
        <v>2028</v>
      </c>
      <c r="C718" s="241">
        <f t="shared" si="2"/>
        <v>5</v>
      </c>
      <c r="D718" s="301" t="str">
        <f t="shared" si="3"/>
        <v>Wednesday</v>
      </c>
      <c r="E718" s="240"/>
      <c r="F718" s="240"/>
      <c r="G718" s="240"/>
      <c r="H718" s="241"/>
      <c r="I718" s="301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ht="14.25" customHeight="1">
      <c r="A719" s="302">
        <f t="shared" si="4"/>
        <v>46891</v>
      </c>
      <c r="B719" s="241">
        <f t="shared" si="1"/>
        <v>2028</v>
      </c>
      <c r="C719" s="241">
        <f t="shared" si="2"/>
        <v>5</v>
      </c>
      <c r="D719" s="301" t="str">
        <f t="shared" si="3"/>
        <v>Thursday</v>
      </c>
      <c r="E719" s="240"/>
      <c r="F719" s="240"/>
      <c r="G719" s="240"/>
      <c r="H719" s="241"/>
      <c r="I719" s="301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ht="14.25" customHeight="1">
      <c r="A720" s="302">
        <f t="shared" si="4"/>
        <v>46892</v>
      </c>
      <c r="B720" s="241">
        <f t="shared" si="1"/>
        <v>2028</v>
      </c>
      <c r="C720" s="241">
        <f t="shared" si="2"/>
        <v>5</v>
      </c>
      <c r="D720" s="301" t="str">
        <f t="shared" si="3"/>
        <v>Friday</v>
      </c>
      <c r="E720" s="240"/>
      <c r="F720" s="240"/>
      <c r="G720" s="240"/>
      <c r="H720" s="241"/>
      <c r="I720" s="301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ht="14.25" customHeight="1">
      <c r="A721" s="302">
        <f t="shared" si="4"/>
        <v>46893</v>
      </c>
      <c r="B721" s="241">
        <f t="shared" si="1"/>
        <v>2028</v>
      </c>
      <c r="C721" s="241">
        <f t="shared" si="2"/>
        <v>5</v>
      </c>
      <c r="D721" s="301" t="str">
        <f t="shared" si="3"/>
        <v>Saturday</v>
      </c>
      <c r="E721" s="240"/>
      <c r="F721" s="240"/>
      <c r="G721" s="240"/>
      <c r="H721" s="241"/>
      <c r="I721" s="301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ht="14.25" customHeight="1">
      <c r="A722" s="302">
        <f t="shared" si="4"/>
        <v>46894</v>
      </c>
      <c r="B722" s="241">
        <f t="shared" si="1"/>
        <v>2028</v>
      </c>
      <c r="C722" s="241">
        <f t="shared" si="2"/>
        <v>5</v>
      </c>
      <c r="D722" s="301" t="str">
        <f t="shared" si="3"/>
        <v>Sunday</v>
      </c>
      <c r="E722" s="240"/>
      <c r="F722" s="240"/>
      <c r="G722" s="240"/>
      <c r="H722" s="241"/>
      <c r="I722" s="301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ht="14.25" customHeight="1">
      <c r="A723" s="302">
        <f t="shared" si="4"/>
        <v>46895</v>
      </c>
      <c r="B723" s="241">
        <f t="shared" si="1"/>
        <v>2028</v>
      </c>
      <c r="C723" s="241">
        <f t="shared" si="2"/>
        <v>5</v>
      </c>
      <c r="D723" s="301" t="str">
        <f t="shared" si="3"/>
        <v>Monday</v>
      </c>
      <c r="E723" s="240"/>
      <c r="F723" s="240"/>
      <c r="G723" s="240"/>
      <c r="H723" s="241"/>
      <c r="I723" s="301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ht="14.25" customHeight="1">
      <c r="A724" s="302">
        <f t="shared" si="4"/>
        <v>46896</v>
      </c>
      <c r="B724" s="241">
        <f t="shared" si="1"/>
        <v>2028</v>
      </c>
      <c r="C724" s="241">
        <f t="shared" si="2"/>
        <v>5</v>
      </c>
      <c r="D724" s="301" t="str">
        <f t="shared" si="3"/>
        <v>Tuesday</v>
      </c>
      <c r="E724" s="240"/>
      <c r="F724" s="240"/>
      <c r="G724" s="240"/>
      <c r="H724" s="241"/>
      <c r="I724" s="301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ht="14.25" customHeight="1">
      <c r="A725" s="302">
        <f t="shared" si="4"/>
        <v>46897</v>
      </c>
      <c r="B725" s="241">
        <f t="shared" si="1"/>
        <v>2028</v>
      </c>
      <c r="C725" s="241">
        <f t="shared" si="2"/>
        <v>5</v>
      </c>
      <c r="D725" s="301" t="str">
        <f t="shared" si="3"/>
        <v>Wednesday</v>
      </c>
      <c r="E725" s="240"/>
      <c r="F725" s="240"/>
      <c r="G725" s="240"/>
      <c r="H725" s="241"/>
      <c r="I725" s="301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ht="14.25" customHeight="1">
      <c r="A726" s="302">
        <f t="shared" si="4"/>
        <v>46898</v>
      </c>
      <c r="B726" s="241">
        <f t="shared" si="1"/>
        <v>2028</v>
      </c>
      <c r="C726" s="241">
        <f t="shared" si="2"/>
        <v>5</v>
      </c>
      <c r="D726" s="301" t="str">
        <f t="shared" si="3"/>
        <v>Thursday</v>
      </c>
      <c r="E726" s="240"/>
      <c r="F726" s="240"/>
      <c r="G726" s="240"/>
      <c r="H726" s="241"/>
      <c r="I726" s="301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ht="14.25" customHeight="1">
      <c r="A727" s="302">
        <f t="shared" si="4"/>
        <v>46899</v>
      </c>
      <c r="B727" s="241">
        <f t="shared" si="1"/>
        <v>2028</v>
      </c>
      <c r="C727" s="241">
        <f t="shared" si="2"/>
        <v>5</v>
      </c>
      <c r="D727" s="301" t="str">
        <f t="shared" si="3"/>
        <v>Friday</v>
      </c>
      <c r="E727" s="240"/>
      <c r="F727" s="240"/>
      <c r="G727" s="240"/>
      <c r="H727" s="241"/>
      <c r="I727" s="301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ht="14.25" customHeight="1">
      <c r="A728" s="302">
        <f t="shared" si="4"/>
        <v>46900</v>
      </c>
      <c r="B728" s="241">
        <f t="shared" si="1"/>
        <v>2028</v>
      </c>
      <c r="C728" s="241">
        <f t="shared" si="2"/>
        <v>5</v>
      </c>
      <c r="D728" s="301" t="str">
        <f t="shared" si="3"/>
        <v>Saturday</v>
      </c>
      <c r="E728" s="240"/>
      <c r="F728" s="240"/>
      <c r="G728" s="240"/>
      <c r="H728" s="241"/>
      <c r="I728" s="301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ht="14.25" customHeight="1">
      <c r="A729" s="302">
        <f t="shared" si="4"/>
        <v>46901</v>
      </c>
      <c r="B729" s="241">
        <f t="shared" si="1"/>
        <v>2028</v>
      </c>
      <c r="C729" s="241">
        <f t="shared" si="2"/>
        <v>5</v>
      </c>
      <c r="D729" s="301" t="str">
        <f t="shared" si="3"/>
        <v>Sunday</v>
      </c>
      <c r="E729" s="240"/>
      <c r="F729" s="240"/>
      <c r="G729" s="240"/>
      <c r="H729" s="241"/>
      <c r="I729" s="301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ht="14.25" customHeight="1">
      <c r="A730" s="302">
        <f t="shared" si="4"/>
        <v>46902</v>
      </c>
      <c r="B730" s="241">
        <f t="shared" si="1"/>
        <v>2028</v>
      </c>
      <c r="C730" s="241">
        <f t="shared" si="2"/>
        <v>5</v>
      </c>
      <c r="D730" s="301" t="str">
        <f t="shared" si="3"/>
        <v>Monday</v>
      </c>
      <c r="E730" s="240"/>
      <c r="F730" s="240"/>
      <c r="G730" s="240"/>
      <c r="H730" s="241"/>
      <c r="I730" s="301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ht="14.25" customHeight="1">
      <c r="A731" s="302">
        <f t="shared" si="4"/>
        <v>46903</v>
      </c>
      <c r="B731" s="241">
        <f t="shared" si="1"/>
        <v>2028</v>
      </c>
      <c r="C731" s="241">
        <f t="shared" si="2"/>
        <v>5</v>
      </c>
      <c r="D731" s="301" t="str">
        <f t="shared" si="3"/>
        <v>Tuesday</v>
      </c>
      <c r="E731" s="240"/>
      <c r="F731" s="240"/>
      <c r="G731" s="240"/>
      <c r="H731" s="241"/>
      <c r="I731" s="301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ht="14.25" customHeight="1">
      <c r="A732" s="302">
        <f t="shared" si="4"/>
        <v>46904</v>
      </c>
      <c r="B732" s="241">
        <f t="shared" si="1"/>
        <v>2028</v>
      </c>
      <c r="C732" s="241">
        <f t="shared" si="2"/>
        <v>5</v>
      </c>
      <c r="D732" s="301" t="str">
        <f t="shared" si="3"/>
        <v>Wednesday</v>
      </c>
      <c r="E732" s="240"/>
      <c r="F732" s="240"/>
      <c r="G732" s="240"/>
      <c r="H732" s="241"/>
      <c r="I732" s="301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ht="14.25" customHeight="1">
      <c r="A733" s="302">
        <f t="shared" si="4"/>
        <v>46905</v>
      </c>
      <c r="B733" s="241">
        <f t="shared" si="1"/>
        <v>2028</v>
      </c>
      <c r="C733" s="241">
        <f t="shared" si="2"/>
        <v>6</v>
      </c>
      <c r="D733" s="301" t="str">
        <f t="shared" si="3"/>
        <v>Thursday</v>
      </c>
      <c r="E733" s="240"/>
      <c r="F733" s="240"/>
      <c r="G733" s="240"/>
      <c r="H733" s="241"/>
      <c r="I733" s="301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ht="14.25" customHeight="1">
      <c r="A734" s="302">
        <f t="shared" si="4"/>
        <v>46906</v>
      </c>
      <c r="B734" s="241">
        <f t="shared" si="1"/>
        <v>2028</v>
      </c>
      <c r="C734" s="241">
        <f t="shared" si="2"/>
        <v>6</v>
      </c>
      <c r="D734" s="301" t="str">
        <f t="shared" si="3"/>
        <v>Friday</v>
      </c>
      <c r="E734" s="240"/>
      <c r="F734" s="240"/>
      <c r="G734" s="240"/>
      <c r="H734" s="241"/>
      <c r="I734" s="301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ht="14.25" customHeight="1">
      <c r="A735" s="302">
        <f t="shared" si="4"/>
        <v>46907</v>
      </c>
      <c r="B735" s="241">
        <f t="shared" si="1"/>
        <v>2028</v>
      </c>
      <c r="C735" s="241">
        <f t="shared" si="2"/>
        <v>6</v>
      </c>
      <c r="D735" s="301" t="str">
        <f t="shared" si="3"/>
        <v>Saturday</v>
      </c>
      <c r="E735" s="240"/>
      <c r="F735" s="240"/>
      <c r="G735" s="240"/>
      <c r="H735" s="241"/>
      <c r="I735" s="301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ht="14.25" customHeight="1">
      <c r="A736" s="302">
        <f t="shared" si="4"/>
        <v>46908</v>
      </c>
      <c r="B736" s="241">
        <f t="shared" si="1"/>
        <v>2028</v>
      </c>
      <c r="C736" s="241">
        <f t="shared" si="2"/>
        <v>6</v>
      </c>
      <c r="D736" s="301" t="str">
        <f t="shared" si="3"/>
        <v>Sunday</v>
      </c>
      <c r="E736" s="240"/>
      <c r="F736" s="240"/>
      <c r="G736" s="240"/>
      <c r="H736" s="241"/>
      <c r="I736" s="301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ht="14.25" customHeight="1">
      <c r="A737" s="302">
        <f t="shared" si="4"/>
        <v>46909</v>
      </c>
      <c r="B737" s="241">
        <f t="shared" si="1"/>
        <v>2028</v>
      </c>
      <c r="C737" s="241">
        <f t="shared" si="2"/>
        <v>6</v>
      </c>
      <c r="D737" s="301" t="str">
        <f t="shared" si="3"/>
        <v>Monday</v>
      </c>
      <c r="E737" s="240"/>
      <c r="F737" s="240"/>
      <c r="G737" s="240"/>
      <c r="H737" s="241"/>
      <c r="I737" s="301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ht="14.25" customHeight="1">
      <c r="A738" s="302">
        <f t="shared" si="4"/>
        <v>46910</v>
      </c>
      <c r="B738" s="241">
        <f t="shared" si="1"/>
        <v>2028</v>
      </c>
      <c r="C738" s="241">
        <f t="shared" si="2"/>
        <v>6</v>
      </c>
      <c r="D738" s="301" t="str">
        <f t="shared" si="3"/>
        <v>Tuesday</v>
      </c>
      <c r="E738" s="240"/>
      <c r="F738" s="240"/>
      <c r="G738" s="240"/>
      <c r="H738" s="241"/>
      <c r="I738" s="301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ht="14.25" customHeight="1">
      <c r="A739" s="302">
        <f t="shared" si="4"/>
        <v>46911</v>
      </c>
      <c r="B739" s="241">
        <f t="shared" si="1"/>
        <v>2028</v>
      </c>
      <c r="C739" s="241">
        <f t="shared" si="2"/>
        <v>6</v>
      </c>
      <c r="D739" s="301" t="str">
        <f t="shared" si="3"/>
        <v>Wednesday</v>
      </c>
      <c r="E739" s="240"/>
      <c r="F739" s="240"/>
      <c r="G739" s="240"/>
      <c r="H739" s="241"/>
      <c r="I739" s="301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ht="14.25" customHeight="1">
      <c r="A740" s="302">
        <f t="shared" si="4"/>
        <v>46912</v>
      </c>
      <c r="B740" s="241">
        <f t="shared" si="1"/>
        <v>2028</v>
      </c>
      <c r="C740" s="241">
        <f t="shared" si="2"/>
        <v>6</v>
      </c>
      <c r="D740" s="301" t="str">
        <f t="shared" si="3"/>
        <v>Thursday</v>
      </c>
      <c r="E740" s="240"/>
      <c r="F740" s="240"/>
      <c r="G740" s="240"/>
      <c r="H740" s="241"/>
      <c r="I740" s="301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ht="14.25" customHeight="1">
      <c r="A741" s="302">
        <f t="shared" si="4"/>
        <v>46913</v>
      </c>
      <c r="B741" s="241">
        <f t="shared" si="1"/>
        <v>2028</v>
      </c>
      <c r="C741" s="241">
        <f t="shared" si="2"/>
        <v>6</v>
      </c>
      <c r="D741" s="301" t="str">
        <f t="shared" si="3"/>
        <v>Friday</v>
      </c>
      <c r="E741" s="240"/>
      <c r="F741" s="240"/>
      <c r="G741" s="240"/>
      <c r="H741" s="241"/>
      <c r="I741" s="301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ht="14.25" customHeight="1">
      <c r="A742" s="302">
        <f t="shared" si="4"/>
        <v>46914</v>
      </c>
      <c r="B742" s="241">
        <f t="shared" si="1"/>
        <v>2028</v>
      </c>
      <c r="C742" s="241">
        <f t="shared" si="2"/>
        <v>6</v>
      </c>
      <c r="D742" s="301" t="str">
        <f t="shared" si="3"/>
        <v>Saturday</v>
      </c>
      <c r="E742" s="240"/>
      <c r="F742" s="240"/>
      <c r="G742" s="240"/>
      <c r="H742" s="241"/>
      <c r="I742" s="301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ht="14.25" customHeight="1">
      <c r="A743" s="302">
        <f t="shared" si="4"/>
        <v>46915</v>
      </c>
      <c r="B743" s="241">
        <f t="shared" si="1"/>
        <v>2028</v>
      </c>
      <c r="C743" s="241">
        <f t="shared" si="2"/>
        <v>6</v>
      </c>
      <c r="D743" s="301" t="str">
        <f t="shared" si="3"/>
        <v>Sunday</v>
      </c>
      <c r="E743" s="240"/>
      <c r="F743" s="240"/>
      <c r="G743" s="240"/>
      <c r="H743" s="241"/>
      <c r="I743" s="301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ht="14.25" customHeight="1">
      <c r="A744" s="302">
        <f t="shared" si="4"/>
        <v>46916</v>
      </c>
      <c r="B744" s="241">
        <f t="shared" si="1"/>
        <v>2028</v>
      </c>
      <c r="C744" s="241">
        <f t="shared" si="2"/>
        <v>6</v>
      </c>
      <c r="D744" s="301" t="str">
        <f t="shared" si="3"/>
        <v>Monday</v>
      </c>
      <c r="E744" s="240"/>
      <c r="F744" s="240"/>
      <c r="G744" s="240"/>
      <c r="H744" s="241"/>
      <c r="I744" s="301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ht="14.25" customHeight="1">
      <c r="A745" s="302">
        <f t="shared" si="4"/>
        <v>46917</v>
      </c>
      <c r="B745" s="241">
        <f t="shared" si="1"/>
        <v>2028</v>
      </c>
      <c r="C745" s="241">
        <f t="shared" si="2"/>
        <v>6</v>
      </c>
      <c r="D745" s="301" t="str">
        <f t="shared" si="3"/>
        <v>Tuesday</v>
      </c>
      <c r="E745" s="240"/>
      <c r="F745" s="240"/>
      <c r="G745" s="240"/>
      <c r="H745" s="241"/>
      <c r="I745" s="301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ht="14.25" customHeight="1">
      <c r="A746" s="302">
        <f t="shared" si="4"/>
        <v>46918</v>
      </c>
      <c r="B746" s="241">
        <f t="shared" si="1"/>
        <v>2028</v>
      </c>
      <c r="C746" s="241">
        <f t="shared" si="2"/>
        <v>6</v>
      </c>
      <c r="D746" s="301" t="str">
        <f t="shared" si="3"/>
        <v>Wednesday</v>
      </c>
      <c r="E746" s="240"/>
      <c r="F746" s="240"/>
      <c r="G746" s="240"/>
      <c r="H746" s="241"/>
      <c r="I746" s="301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ht="14.25" customHeight="1">
      <c r="A747" s="302">
        <f t="shared" si="4"/>
        <v>46919</v>
      </c>
      <c r="B747" s="241">
        <f t="shared" si="1"/>
        <v>2028</v>
      </c>
      <c r="C747" s="241">
        <f t="shared" si="2"/>
        <v>6</v>
      </c>
      <c r="D747" s="301" t="str">
        <f t="shared" si="3"/>
        <v>Thursday</v>
      </c>
      <c r="E747" s="240"/>
      <c r="F747" s="240"/>
      <c r="G747" s="240"/>
      <c r="H747" s="241"/>
      <c r="I747" s="301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ht="14.25" customHeight="1">
      <c r="A748" s="302">
        <f t="shared" si="4"/>
        <v>46920</v>
      </c>
      <c r="B748" s="241">
        <f t="shared" si="1"/>
        <v>2028</v>
      </c>
      <c r="C748" s="241">
        <f t="shared" si="2"/>
        <v>6</v>
      </c>
      <c r="D748" s="301" t="str">
        <f t="shared" si="3"/>
        <v>Friday</v>
      </c>
      <c r="E748" s="240"/>
      <c r="F748" s="240"/>
      <c r="G748" s="240"/>
      <c r="H748" s="241"/>
      <c r="I748" s="301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ht="14.25" customHeight="1">
      <c r="A749" s="302">
        <f t="shared" si="4"/>
        <v>46921</v>
      </c>
      <c r="B749" s="241">
        <f t="shared" si="1"/>
        <v>2028</v>
      </c>
      <c r="C749" s="241">
        <f t="shared" si="2"/>
        <v>6</v>
      </c>
      <c r="D749" s="301" t="str">
        <f t="shared" si="3"/>
        <v>Saturday</v>
      </c>
      <c r="E749" s="240"/>
      <c r="F749" s="240"/>
      <c r="G749" s="240"/>
      <c r="H749" s="241"/>
      <c r="I749" s="301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ht="14.25" customHeight="1">
      <c r="A750" s="302">
        <f t="shared" si="4"/>
        <v>46922</v>
      </c>
      <c r="B750" s="241">
        <f t="shared" si="1"/>
        <v>2028</v>
      </c>
      <c r="C750" s="241">
        <f t="shared" si="2"/>
        <v>6</v>
      </c>
      <c r="D750" s="301" t="str">
        <f t="shared" si="3"/>
        <v>Sunday</v>
      </c>
      <c r="E750" s="240"/>
      <c r="F750" s="240"/>
      <c r="G750" s="240"/>
      <c r="H750" s="241"/>
      <c r="I750" s="301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ht="14.25" customHeight="1">
      <c r="A751" s="302">
        <f t="shared" si="4"/>
        <v>46923</v>
      </c>
      <c r="B751" s="241">
        <f t="shared" si="1"/>
        <v>2028</v>
      </c>
      <c r="C751" s="241">
        <f t="shared" si="2"/>
        <v>6</v>
      </c>
      <c r="D751" s="301" t="str">
        <f t="shared" si="3"/>
        <v>Monday</v>
      </c>
      <c r="E751" s="240"/>
      <c r="F751" s="240"/>
      <c r="G751" s="240"/>
      <c r="H751" s="241"/>
      <c r="I751" s="301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ht="14.25" customHeight="1">
      <c r="A752" s="302">
        <f t="shared" si="4"/>
        <v>46924</v>
      </c>
      <c r="B752" s="241">
        <f t="shared" si="1"/>
        <v>2028</v>
      </c>
      <c r="C752" s="241">
        <f t="shared" si="2"/>
        <v>6</v>
      </c>
      <c r="D752" s="301" t="str">
        <f t="shared" si="3"/>
        <v>Tuesday</v>
      </c>
      <c r="E752" s="240"/>
      <c r="F752" s="240"/>
      <c r="G752" s="240"/>
      <c r="H752" s="241"/>
      <c r="I752" s="301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ht="14.25" customHeight="1">
      <c r="A753" s="302">
        <f t="shared" si="4"/>
        <v>46925</v>
      </c>
      <c r="B753" s="241">
        <f t="shared" si="1"/>
        <v>2028</v>
      </c>
      <c r="C753" s="241">
        <f t="shared" si="2"/>
        <v>6</v>
      </c>
      <c r="D753" s="301" t="str">
        <f t="shared" si="3"/>
        <v>Wednesday</v>
      </c>
      <c r="E753" s="240"/>
      <c r="F753" s="240"/>
      <c r="G753" s="240"/>
      <c r="H753" s="241"/>
      <c r="I753" s="301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ht="14.25" customHeight="1">
      <c r="A754" s="302">
        <f t="shared" si="4"/>
        <v>46926</v>
      </c>
      <c r="B754" s="241">
        <f t="shared" si="1"/>
        <v>2028</v>
      </c>
      <c r="C754" s="241">
        <f t="shared" si="2"/>
        <v>6</v>
      </c>
      <c r="D754" s="301" t="str">
        <f t="shared" si="3"/>
        <v>Thursday</v>
      </c>
      <c r="E754" s="240"/>
      <c r="F754" s="240"/>
      <c r="G754" s="240"/>
      <c r="H754" s="241"/>
      <c r="I754" s="301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ht="14.25" customHeight="1">
      <c r="A755" s="302">
        <f t="shared" si="4"/>
        <v>46927</v>
      </c>
      <c r="B755" s="241">
        <f t="shared" si="1"/>
        <v>2028</v>
      </c>
      <c r="C755" s="241">
        <f t="shared" si="2"/>
        <v>6</v>
      </c>
      <c r="D755" s="301" t="str">
        <f t="shared" si="3"/>
        <v>Friday</v>
      </c>
      <c r="E755" s="240"/>
      <c r="F755" s="240"/>
      <c r="G755" s="240"/>
      <c r="H755" s="241"/>
      <c r="I755" s="301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ht="14.25" customHeight="1">
      <c r="A756" s="302">
        <f t="shared" si="4"/>
        <v>46928</v>
      </c>
      <c r="B756" s="241">
        <f t="shared" si="1"/>
        <v>2028</v>
      </c>
      <c r="C756" s="241">
        <f t="shared" si="2"/>
        <v>6</v>
      </c>
      <c r="D756" s="301" t="str">
        <f t="shared" si="3"/>
        <v>Saturday</v>
      </c>
      <c r="E756" s="240"/>
      <c r="F756" s="240"/>
      <c r="G756" s="240"/>
      <c r="H756" s="241"/>
      <c r="I756" s="301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ht="14.25" customHeight="1">
      <c r="A757" s="302">
        <f t="shared" si="4"/>
        <v>46929</v>
      </c>
      <c r="B757" s="241">
        <f t="shared" si="1"/>
        <v>2028</v>
      </c>
      <c r="C757" s="241">
        <f t="shared" si="2"/>
        <v>6</v>
      </c>
      <c r="D757" s="301" t="str">
        <f t="shared" si="3"/>
        <v>Sunday</v>
      </c>
      <c r="E757" s="240"/>
      <c r="F757" s="240"/>
      <c r="G757" s="240"/>
      <c r="H757" s="241"/>
      <c r="I757" s="301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ht="14.25" customHeight="1">
      <c r="A758" s="302">
        <f t="shared" si="4"/>
        <v>46930</v>
      </c>
      <c r="B758" s="241">
        <f t="shared" si="1"/>
        <v>2028</v>
      </c>
      <c r="C758" s="241">
        <f t="shared" si="2"/>
        <v>6</v>
      </c>
      <c r="D758" s="301" t="str">
        <f t="shared" si="3"/>
        <v>Monday</v>
      </c>
      <c r="E758" s="240"/>
      <c r="F758" s="240"/>
      <c r="G758" s="240"/>
      <c r="H758" s="241"/>
      <c r="I758" s="301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ht="14.25" customHeight="1">
      <c r="A759" s="302">
        <f t="shared" si="4"/>
        <v>46931</v>
      </c>
      <c r="B759" s="241">
        <f t="shared" si="1"/>
        <v>2028</v>
      </c>
      <c r="C759" s="241">
        <f t="shared" si="2"/>
        <v>6</v>
      </c>
      <c r="D759" s="301" t="str">
        <f t="shared" si="3"/>
        <v>Tuesday</v>
      </c>
      <c r="E759" s="240"/>
      <c r="F759" s="240"/>
      <c r="G759" s="240"/>
      <c r="H759" s="241"/>
      <c r="I759" s="301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ht="14.25" customHeight="1">
      <c r="A760" s="302">
        <f t="shared" si="4"/>
        <v>46932</v>
      </c>
      <c r="B760" s="241">
        <f t="shared" si="1"/>
        <v>2028</v>
      </c>
      <c r="C760" s="241">
        <f t="shared" si="2"/>
        <v>6</v>
      </c>
      <c r="D760" s="301" t="str">
        <f t="shared" si="3"/>
        <v>Wednesday</v>
      </c>
      <c r="E760" s="240"/>
      <c r="F760" s="240"/>
      <c r="G760" s="240"/>
      <c r="H760" s="241"/>
      <c r="I760" s="301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ht="14.25" customHeight="1">
      <c r="A761" s="302">
        <f t="shared" si="4"/>
        <v>46933</v>
      </c>
      <c r="B761" s="241">
        <f t="shared" si="1"/>
        <v>2028</v>
      </c>
      <c r="C761" s="241">
        <f t="shared" si="2"/>
        <v>6</v>
      </c>
      <c r="D761" s="301" t="str">
        <f t="shared" si="3"/>
        <v>Thursday</v>
      </c>
      <c r="E761" s="240"/>
      <c r="F761" s="240"/>
      <c r="G761" s="240"/>
      <c r="H761" s="241"/>
      <c r="I761" s="301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ht="14.25" customHeight="1">
      <c r="A762" s="302">
        <f t="shared" si="4"/>
        <v>46934</v>
      </c>
      <c r="B762" s="241">
        <f t="shared" si="1"/>
        <v>2028</v>
      </c>
      <c r="C762" s="241">
        <f t="shared" si="2"/>
        <v>6</v>
      </c>
      <c r="D762" s="301" t="str">
        <f t="shared" si="3"/>
        <v>Friday</v>
      </c>
      <c r="E762" s="240"/>
      <c r="F762" s="240"/>
      <c r="G762" s="240"/>
      <c r="H762" s="241"/>
      <c r="I762" s="301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ht="14.25" customHeight="1">
      <c r="A763" s="302">
        <f t="shared" si="4"/>
        <v>46935</v>
      </c>
      <c r="B763" s="241">
        <f t="shared" si="1"/>
        <v>2028</v>
      </c>
      <c r="C763" s="241">
        <f t="shared" si="2"/>
        <v>7</v>
      </c>
      <c r="D763" s="301" t="str">
        <f t="shared" si="3"/>
        <v>Saturday</v>
      </c>
      <c r="E763" s="240"/>
      <c r="F763" s="240"/>
      <c r="G763" s="240"/>
      <c r="H763" s="241"/>
      <c r="I763" s="301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ht="14.25" customHeight="1">
      <c r="A764" s="302">
        <f t="shared" si="4"/>
        <v>46936</v>
      </c>
      <c r="B764" s="241">
        <f t="shared" si="1"/>
        <v>2028</v>
      </c>
      <c r="C764" s="241">
        <f t="shared" si="2"/>
        <v>7</v>
      </c>
      <c r="D764" s="301" t="str">
        <f t="shared" si="3"/>
        <v>Sunday</v>
      </c>
      <c r="E764" s="240"/>
      <c r="F764" s="240"/>
      <c r="G764" s="240"/>
      <c r="H764" s="241"/>
      <c r="I764" s="301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ht="14.25" customHeight="1">
      <c r="A765" s="302">
        <f t="shared" si="4"/>
        <v>46937</v>
      </c>
      <c r="B765" s="241">
        <f t="shared" si="1"/>
        <v>2028</v>
      </c>
      <c r="C765" s="241">
        <f t="shared" si="2"/>
        <v>7</v>
      </c>
      <c r="D765" s="301" t="str">
        <f t="shared" si="3"/>
        <v>Monday</v>
      </c>
      <c r="E765" s="240"/>
      <c r="F765" s="240"/>
      <c r="G765" s="240"/>
      <c r="H765" s="241"/>
      <c r="I765" s="301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ht="14.25" customHeight="1">
      <c r="A766" s="302">
        <f t="shared" si="4"/>
        <v>46938</v>
      </c>
      <c r="B766" s="241">
        <f t="shared" si="1"/>
        <v>2028</v>
      </c>
      <c r="C766" s="241">
        <f t="shared" si="2"/>
        <v>7</v>
      </c>
      <c r="D766" s="301" t="str">
        <f t="shared" si="3"/>
        <v>Tuesday</v>
      </c>
      <c r="E766" s="240"/>
      <c r="F766" s="240"/>
      <c r="G766" s="240"/>
      <c r="H766" s="241"/>
      <c r="I766" s="301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ht="14.25" customHeight="1">
      <c r="A767" s="302">
        <f t="shared" si="4"/>
        <v>46939</v>
      </c>
      <c r="B767" s="241">
        <f t="shared" si="1"/>
        <v>2028</v>
      </c>
      <c r="C767" s="241">
        <f t="shared" si="2"/>
        <v>7</v>
      </c>
      <c r="D767" s="301" t="str">
        <f t="shared" si="3"/>
        <v>Wednesday</v>
      </c>
      <c r="E767" s="240"/>
      <c r="F767" s="240"/>
      <c r="G767" s="240"/>
      <c r="H767" s="241"/>
      <c r="I767" s="301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ht="14.25" customHeight="1">
      <c r="A768" s="302">
        <f t="shared" si="4"/>
        <v>46940</v>
      </c>
      <c r="B768" s="241">
        <f t="shared" si="1"/>
        <v>2028</v>
      </c>
      <c r="C768" s="241">
        <f t="shared" si="2"/>
        <v>7</v>
      </c>
      <c r="D768" s="301" t="str">
        <f t="shared" si="3"/>
        <v>Thursday</v>
      </c>
      <c r="E768" s="240"/>
      <c r="F768" s="240"/>
      <c r="G768" s="240"/>
      <c r="H768" s="241"/>
      <c r="I768" s="301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ht="14.25" customHeight="1">
      <c r="A769" s="302">
        <f t="shared" si="4"/>
        <v>46941</v>
      </c>
      <c r="B769" s="241">
        <f t="shared" si="1"/>
        <v>2028</v>
      </c>
      <c r="C769" s="241">
        <f t="shared" si="2"/>
        <v>7</v>
      </c>
      <c r="D769" s="301" t="str">
        <f t="shared" si="3"/>
        <v>Friday</v>
      </c>
      <c r="E769" s="240"/>
      <c r="F769" s="240"/>
      <c r="G769" s="240"/>
      <c r="H769" s="241"/>
      <c r="I769" s="301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ht="14.25" customHeight="1">
      <c r="A770" s="302">
        <f t="shared" si="4"/>
        <v>46942</v>
      </c>
      <c r="B770" s="241">
        <f t="shared" si="1"/>
        <v>2028</v>
      </c>
      <c r="C770" s="241">
        <f t="shared" si="2"/>
        <v>7</v>
      </c>
      <c r="D770" s="301" t="str">
        <f t="shared" si="3"/>
        <v>Saturday</v>
      </c>
      <c r="E770" s="240"/>
      <c r="F770" s="240"/>
      <c r="G770" s="240"/>
      <c r="H770" s="241"/>
      <c r="I770" s="301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ht="14.25" customHeight="1">
      <c r="A771" s="302">
        <f t="shared" si="4"/>
        <v>46943</v>
      </c>
      <c r="B771" s="241">
        <f t="shared" si="1"/>
        <v>2028</v>
      </c>
      <c r="C771" s="241">
        <f t="shared" si="2"/>
        <v>7</v>
      </c>
      <c r="D771" s="301" t="str">
        <f t="shared" si="3"/>
        <v>Sunday</v>
      </c>
      <c r="E771" s="240"/>
      <c r="F771" s="240"/>
      <c r="G771" s="240"/>
      <c r="H771" s="241"/>
      <c r="I771" s="301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ht="14.25" customHeight="1">
      <c r="A772" s="302">
        <f t="shared" si="4"/>
        <v>46944</v>
      </c>
      <c r="B772" s="241">
        <f t="shared" si="1"/>
        <v>2028</v>
      </c>
      <c r="C772" s="241">
        <f t="shared" si="2"/>
        <v>7</v>
      </c>
      <c r="D772" s="301" t="str">
        <f t="shared" si="3"/>
        <v>Monday</v>
      </c>
      <c r="E772" s="240"/>
      <c r="F772" s="240"/>
      <c r="G772" s="240"/>
      <c r="H772" s="241"/>
      <c r="I772" s="301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ht="14.25" customHeight="1">
      <c r="A773" s="302">
        <f t="shared" si="4"/>
        <v>46945</v>
      </c>
      <c r="B773" s="241">
        <f t="shared" si="1"/>
        <v>2028</v>
      </c>
      <c r="C773" s="241">
        <f t="shared" si="2"/>
        <v>7</v>
      </c>
      <c r="D773" s="301" t="str">
        <f t="shared" si="3"/>
        <v>Tuesday</v>
      </c>
      <c r="E773" s="240"/>
      <c r="F773" s="240"/>
      <c r="G773" s="240"/>
      <c r="H773" s="241"/>
      <c r="I773" s="301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ht="14.25" customHeight="1">
      <c r="A774" s="302">
        <f t="shared" si="4"/>
        <v>46946</v>
      </c>
      <c r="B774" s="241">
        <f t="shared" si="1"/>
        <v>2028</v>
      </c>
      <c r="C774" s="241">
        <f t="shared" si="2"/>
        <v>7</v>
      </c>
      <c r="D774" s="301" t="str">
        <f t="shared" si="3"/>
        <v>Wednesday</v>
      </c>
      <c r="E774" s="240"/>
      <c r="F774" s="240"/>
      <c r="G774" s="240"/>
      <c r="H774" s="241"/>
      <c r="I774" s="301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ht="14.25" customHeight="1">
      <c r="A775" s="302">
        <f t="shared" si="4"/>
        <v>46947</v>
      </c>
      <c r="B775" s="241">
        <f t="shared" si="1"/>
        <v>2028</v>
      </c>
      <c r="C775" s="241">
        <f t="shared" si="2"/>
        <v>7</v>
      </c>
      <c r="D775" s="301" t="str">
        <f t="shared" si="3"/>
        <v>Thursday</v>
      </c>
      <c r="E775" s="240"/>
      <c r="F775" s="240"/>
      <c r="G775" s="240"/>
      <c r="H775" s="241"/>
      <c r="I775" s="301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ht="14.25" customHeight="1">
      <c r="A776" s="302">
        <f t="shared" si="4"/>
        <v>46948</v>
      </c>
      <c r="B776" s="241">
        <f t="shared" si="1"/>
        <v>2028</v>
      </c>
      <c r="C776" s="241">
        <f t="shared" si="2"/>
        <v>7</v>
      </c>
      <c r="D776" s="301" t="str">
        <f t="shared" si="3"/>
        <v>Friday</v>
      </c>
      <c r="E776" s="240"/>
      <c r="F776" s="240"/>
      <c r="G776" s="240"/>
      <c r="H776" s="241"/>
      <c r="I776" s="301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ht="14.25" customHeight="1">
      <c r="A777" s="302">
        <f t="shared" si="4"/>
        <v>46949</v>
      </c>
      <c r="B777" s="241">
        <f t="shared" si="1"/>
        <v>2028</v>
      </c>
      <c r="C777" s="241">
        <f t="shared" si="2"/>
        <v>7</v>
      </c>
      <c r="D777" s="301" t="str">
        <f t="shared" si="3"/>
        <v>Saturday</v>
      </c>
      <c r="E777" s="240"/>
      <c r="F777" s="240"/>
      <c r="G777" s="240"/>
      <c r="H777" s="241"/>
      <c r="I777" s="301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ht="14.25" customHeight="1">
      <c r="A778" s="302">
        <f t="shared" si="4"/>
        <v>46950</v>
      </c>
      <c r="B778" s="241">
        <f t="shared" si="1"/>
        <v>2028</v>
      </c>
      <c r="C778" s="241">
        <f t="shared" si="2"/>
        <v>7</v>
      </c>
      <c r="D778" s="301" t="str">
        <f t="shared" si="3"/>
        <v>Sunday</v>
      </c>
      <c r="E778" s="240"/>
      <c r="F778" s="240"/>
      <c r="G778" s="240"/>
      <c r="H778" s="241"/>
      <c r="I778" s="301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ht="14.25" customHeight="1">
      <c r="A779" s="302">
        <f t="shared" si="4"/>
        <v>46951</v>
      </c>
      <c r="B779" s="241">
        <f t="shared" si="1"/>
        <v>2028</v>
      </c>
      <c r="C779" s="241">
        <f t="shared" si="2"/>
        <v>7</v>
      </c>
      <c r="D779" s="301" t="str">
        <f t="shared" si="3"/>
        <v>Monday</v>
      </c>
      <c r="E779" s="240"/>
      <c r="F779" s="240"/>
      <c r="G779" s="240"/>
      <c r="H779" s="241"/>
      <c r="I779" s="301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ht="14.25" customHeight="1">
      <c r="A780" s="302">
        <f t="shared" si="4"/>
        <v>46952</v>
      </c>
      <c r="B780" s="241">
        <f t="shared" si="1"/>
        <v>2028</v>
      </c>
      <c r="C780" s="241">
        <f t="shared" si="2"/>
        <v>7</v>
      </c>
      <c r="D780" s="301" t="str">
        <f t="shared" si="3"/>
        <v>Tuesday</v>
      </c>
      <c r="E780" s="240"/>
      <c r="F780" s="240"/>
      <c r="G780" s="240"/>
      <c r="H780" s="241"/>
      <c r="I780" s="301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ht="14.25" customHeight="1">
      <c r="A781" s="302">
        <f t="shared" si="4"/>
        <v>46953</v>
      </c>
      <c r="B781" s="241">
        <f t="shared" si="1"/>
        <v>2028</v>
      </c>
      <c r="C781" s="241">
        <f t="shared" si="2"/>
        <v>7</v>
      </c>
      <c r="D781" s="301" t="str">
        <f t="shared" si="3"/>
        <v>Wednesday</v>
      </c>
      <c r="E781" s="240"/>
      <c r="F781" s="240"/>
      <c r="G781" s="240"/>
      <c r="H781" s="241"/>
      <c r="I781" s="301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ht="14.25" customHeight="1">
      <c r="A782" s="302">
        <f t="shared" si="4"/>
        <v>46954</v>
      </c>
      <c r="B782" s="241">
        <f t="shared" si="1"/>
        <v>2028</v>
      </c>
      <c r="C782" s="241">
        <f t="shared" si="2"/>
        <v>7</v>
      </c>
      <c r="D782" s="301" t="str">
        <f t="shared" si="3"/>
        <v>Thursday</v>
      </c>
      <c r="E782" s="240"/>
      <c r="F782" s="240"/>
      <c r="G782" s="240"/>
      <c r="H782" s="241"/>
      <c r="I782" s="301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ht="14.25" customHeight="1">
      <c r="A783" s="302">
        <f t="shared" si="4"/>
        <v>46955</v>
      </c>
      <c r="B783" s="241">
        <f t="shared" si="1"/>
        <v>2028</v>
      </c>
      <c r="C783" s="241">
        <f t="shared" si="2"/>
        <v>7</v>
      </c>
      <c r="D783" s="301" t="str">
        <f t="shared" si="3"/>
        <v>Friday</v>
      </c>
      <c r="E783" s="240"/>
      <c r="F783" s="240"/>
      <c r="G783" s="240"/>
      <c r="H783" s="241"/>
      <c r="I783" s="301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ht="14.25" customHeight="1">
      <c r="A784" s="302">
        <f t="shared" si="4"/>
        <v>46956</v>
      </c>
      <c r="B784" s="241">
        <f t="shared" si="1"/>
        <v>2028</v>
      </c>
      <c r="C784" s="241">
        <f t="shared" si="2"/>
        <v>7</v>
      </c>
      <c r="D784" s="301" t="str">
        <f t="shared" si="3"/>
        <v>Saturday</v>
      </c>
      <c r="E784" s="240"/>
      <c r="F784" s="240"/>
      <c r="G784" s="240"/>
      <c r="H784" s="241"/>
      <c r="I784" s="301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ht="14.25" customHeight="1">
      <c r="A785" s="302">
        <f t="shared" si="4"/>
        <v>46957</v>
      </c>
      <c r="B785" s="241">
        <f t="shared" si="1"/>
        <v>2028</v>
      </c>
      <c r="C785" s="241">
        <f t="shared" si="2"/>
        <v>7</v>
      </c>
      <c r="D785" s="301" t="str">
        <f t="shared" si="3"/>
        <v>Sunday</v>
      </c>
      <c r="E785" s="240"/>
      <c r="F785" s="240"/>
      <c r="G785" s="240"/>
      <c r="H785" s="241"/>
      <c r="I785" s="301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ht="14.25" customHeight="1">
      <c r="A786" s="302">
        <f t="shared" si="4"/>
        <v>46958</v>
      </c>
      <c r="B786" s="241">
        <f t="shared" si="1"/>
        <v>2028</v>
      </c>
      <c r="C786" s="241">
        <f t="shared" si="2"/>
        <v>7</v>
      </c>
      <c r="D786" s="301" t="str">
        <f t="shared" si="3"/>
        <v>Monday</v>
      </c>
      <c r="E786" s="240"/>
      <c r="F786" s="240"/>
      <c r="G786" s="240"/>
      <c r="H786" s="241"/>
      <c r="I786" s="301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ht="14.25" customHeight="1">
      <c r="A787" s="302">
        <f t="shared" si="4"/>
        <v>46959</v>
      </c>
      <c r="B787" s="241">
        <f t="shared" si="1"/>
        <v>2028</v>
      </c>
      <c r="C787" s="241">
        <f t="shared" si="2"/>
        <v>7</v>
      </c>
      <c r="D787" s="301" t="str">
        <f t="shared" si="3"/>
        <v>Tuesday</v>
      </c>
      <c r="E787" s="240"/>
      <c r="F787" s="240"/>
      <c r="G787" s="240"/>
      <c r="H787" s="241"/>
      <c r="I787" s="301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ht="14.25" customHeight="1">
      <c r="A788" s="302">
        <f t="shared" si="4"/>
        <v>46960</v>
      </c>
      <c r="B788" s="241">
        <f t="shared" si="1"/>
        <v>2028</v>
      </c>
      <c r="C788" s="241">
        <f t="shared" si="2"/>
        <v>7</v>
      </c>
      <c r="D788" s="301" t="str">
        <f t="shared" si="3"/>
        <v>Wednesday</v>
      </c>
      <c r="E788" s="240"/>
      <c r="F788" s="240"/>
      <c r="G788" s="240"/>
      <c r="H788" s="241"/>
      <c r="I788" s="301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ht="14.25" customHeight="1">
      <c r="A789" s="302">
        <f t="shared" si="4"/>
        <v>46961</v>
      </c>
      <c r="B789" s="241">
        <f t="shared" si="1"/>
        <v>2028</v>
      </c>
      <c r="C789" s="241">
        <f t="shared" si="2"/>
        <v>7</v>
      </c>
      <c r="D789" s="301" t="str">
        <f t="shared" si="3"/>
        <v>Thursday</v>
      </c>
      <c r="E789" s="240"/>
      <c r="F789" s="240"/>
      <c r="G789" s="240"/>
      <c r="H789" s="241"/>
      <c r="I789" s="301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ht="14.25" customHeight="1">
      <c r="A790" s="302">
        <f t="shared" si="4"/>
        <v>46962</v>
      </c>
      <c r="B790" s="241">
        <f t="shared" si="1"/>
        <v>2028</v>
      </c>
      <c r="C790" s="241">
        <f t="shared" si="2"/>
        <v>7</v>
      </c>
      <c r="D790" s="301" t="str">
        <f t="shared" si="3"/>
        <v>Friday</v>
      </c>
      <c r="E790" s="240"/>
      <c r="F790" s="240"/>
      <c r="G790" s="240"/>
      <c r="H790" s="241"/>
      <c r="I790" s="301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ht="14.25" customHeight="1">
      <c r="A791" s="302">
        <f t="shared" si="4"/>
        <v>46963</v>
      </c>
      <c r="B791" s="241">
        <f t="shared" si="1"/>
        <v>2028</v>
      </c>
      <c r="C791" s="241">
        <f t="shared" si="2"/>
        <v>7</v>
      </c>
      <c r="D791" s="301" t="str">
        <f t="shared" si="3"/>
        <v>Saturday</v>
      </c>
      <c r="E791" s="240"/>
      <c r="F791" s="240"/>
      <c r="G791" s="240"/>
      <c r="H791" s="241"/>
      <c r="I791" s="301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ht="14.25" customHeight="1">
      <c r="A792" s="302">
        <f t="shared" si="4"/>
        <v>46964</v>
      </c>
      <c r="B792" s="241">
        <f t="shared" si="1"/>
        <v>2028</v>
      </c>
      <c r="C792" s="241">
        <f t="shared" si="2"/>
        <v>7</v>
      </c>
      <c r="D792" s="301" t="str">
        <f t="shared" si="3"/>
        <v>Sunday</v>
      </c>
      <c r="E792" s="240"/>
      <c r="F792" s="240"/>
      <c r="G792" s="240"/>
      <c r="H792" s="241"/>
      <c r="I792" s="301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ht="14.25" customHeight="1">
      <c r="A793" s="302">
        <f t="shared" si="4"/>
        <v>46965</v>
      </c>
      <c r="B793" s="241">
        <f t="shared" si="1"/>
        <v>2028</v>
      </c>
      <c r="C793" s="241">
        <f t="shared" si="2"/>
        <v>7</v>
      </c>
      <c r="D793" s="301" t="str">
        <f t="shared" si="3"/>
        <v>Monday</v>
      </c>
      <c r="E793" s="240"/>
      <c r="F793" s="240"/>
      <c r="G793" s="240"/>
      <c r="H793" s="241"/>
      <c r="I793" s="301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ht="14.25" customHeight="1">
      <c r="A794" s="302">
        <f t="shared" si="4"/>
        <v>46966</v>
      </c>
      <c r="B794" s="241">
        <f t="shared" si="1"/>
        <v>2028</v>
      </c>
      <c r="C794" s="241">
        <f t="shared" si="2"/>
        <v>8</v>
      </c>
      <c r="D794" s="301" t="str">
        <f t="shared" si="3"/>
        <v>Tuesday</v>
      </c>
      <c r="E794" s="240"/>
      <c r="F794" s="240"/>
      <c r="G794" s="240"/>
      <c r="H794" s="241"/>
      <c r="I794" s="301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ht="14.25" customHeight="1">
      <c r="A795" s="302">
        <f t="shared" si="4"/>
        <v>46967</v>
      </c>
      <c r="B795" s="241">
        <f t="shared" si="1"/>
        <v>2028</v>
      </c>
      <c r="C795" s="241">
        <f t="shared" si="2"/>
        <v>8</v>
      </c>
      <c r="D795" s="301" t="str">
        <f t="shared" si="3"/>
        <v>Wednesday</v>
      </c>
      <c r="E795" s="240"/>
      <c r="F795" s="240"/>
      <c r="G795" s="240"/>
      <c r="H795" s="241"/>
      <c r="I795" s="301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ht="14.25" customHeight="1">
      <c r="A796" s="302">
        <f t="shared" si="4"/>
        <v>46968</v>
      </c>
      <c r="B796" s="241">
        <f t="shared" si="1"/>
        <v>2028</v>
      </c>
      <c r="C796" s="241">
        <f t="shared" si="2"/>
        <v>8</v>
      </c>
      <c r="D796" s="301" t="str">
        <f t="shared" si="3"/>
        <v>Thursday</v>
      </c>
      <c r="E796" s="240"/>
      <c r="F796" s="240"/>
      <c r="G796" s="240"/>
      <c r="H796" s="241"/>
      <c r="I796" s="301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ht="14.25" customHeight="1">
      <c r="A797" s="302">
        <f t="shared" si="4"/>
        <v>46969</v>
      </c>
      <c r="B797" s="241">
        <f t="shared" si="1"/>
        <v>2028</v>
      </c>
      <c r="C797" s="241">
        <f t="shared" si="2"/>
        <v>8</v>
      </c>
      <c r="D797" s="301" t="str">
        <f t="shared" si="3"/>
        <v>Friday</v>
      </c>
      <c r="E797" s="240"/>
      <c r="F797" s="240"/>
      <c r="G797" s="240"/>
      <c r="H797" s="241"/>
      <c r="I797" s="301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ht="14.25" customHeight="1">
      <c r="A798" s="302">
        <f t="shared" si="4"/>
        <v>46970</v>
      </c>
      <c r="B798" s="241">
        <f t="shared" si="1"/>
        <v>2028</v>
      </c>
      <c r="C798" s="241">
        <f t="shared" si="2"/>
        <v>8</v>
      </c>
      <c r="D798" s="301" t="str">
        <f t="shared" si="3"/>
        <v>Saturday</v>
      </c>
      <c r="E798" s="240"/>
      <c r="F798" s="240"/>
      <c r="G798" s="240"/>
      <c r="H798" s="241"/>
      <c r="I798" s="301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ht="14.25" customHeight="1">
      <c r="A799" s="302">
        <f t="shared" si="4"/>
        <v>46971</v>
      </c>
      <c r="B799" s="241">
        <f t="shared" si="1"/>
        <v>2028</v>
      </c>
      <c r="C799" s="241">
        <f t="shared" si="2"/>
        <v>8</v>
      </c>
      <c r="D799" s="301" t="str">
        <f t="shared" si="3"/>
        <v>Sunday</v>
      </c>
      <c r="E799" s="240"/>
      <c r="F799" s="240"/>
      <c r="G799" s="240"/>
      <c r="H799" s="241"/>
      <c r="I799" s="301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ht="14.25" customHeight="1">
      <c r="A800" s="302">
        <f t="shared" si="4"/>
        <v>46972</v>
      </c>
      <c r="B800" s="241">
        <f t="shared" si="1"/>
        <v>2028</v>
      </c>
      <c r="C800" s="241">
        <f t="shared" si="2"/>
        <v>8</v>
      </c>
      <c r="D800" s="301" t="str">
        <f t="shared" si="3"/>
        <v>Monday</v>
      </c>
      <c r="E800" s="240"/>
      <c r="F800" s="240"/>
      <c r="G800" s="240"/>
      <c r="H800" s="241"/>
      <c r="I800" s="301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ht="14.25" customHeight="1">
      <c r="A801" s="302">
        <f t="shared" si="4"/>
        <v>46973</v>
      </c>
      <c r="B801" s="241">
        <f t="shared" si="1"/>
        <v>2028</v>
      </c>
      <c r="C801" s="241">
        <f t="shared" si="2"/>
        <v>8</v>
      </c>
      <c r="D801" s="301" t="str">
        <f t="shared" si="3"/>
        <v>Tuesday</v>
      </c>
      <c r="E801" s="240"/>
      <c r="F801" s="240"/>
      <c r="G801" s="240"/>
      <c r="H801" s="241"/>
      <c r="I801" s="301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ht="14.25" customHeight="1">
      <c r="A802" s="302">
        <f t="shared" si="4"/>
        <v>46974</v>
      </c>
      <c r="B802" s="241">
        <f t="shared" si="1"/>
        <v>2028</v>
      </c>
      <c r="C802" s="241">
        <f t="shared" si="2"/>
        <v>8</v>
      </c>
      <c r="D802" s="301" t="str">
        <f t="shared" si="3"/>
        <v>Wednesday</v>
      </c>
      <c r="E802" s="240"/>
      <c r="F802" s="240"/>
      <c r="G802" s="240"/>
      <c r="H802" s="241"/>
      <c r="I802" s="301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ht="14.25" customHeight="1">
      <c r="A803" s="302">
        <f t="shared" si="4"/>
        <v>46975</v>
      </c>
      <c r="B803" s="241">
        <f t="shared" si="1"/>
        <v>2028</v>
      </c>
      <c r="C803" s="241">
        <f t="shared" si="2"/>
        <v>8</v>
      </c>
      <c r="D803" s="301" t="str">
        <f t="shared" si="3"/>
        <v>Thursday</v>
      </c>
      <c r="E803" s="240"/>
      <c r="F803" s="240"/>
      <c r="G803" s="240"/>
      <c r="H803" s="241"/>
      <c r="I803" s="301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ht="14.25" customHeight="1">
      <c r="A804" s="302">
        <f t="shared" si="4"/>
        <v>46976</v>
      </c>
      <c r="B804" s="241">
        <f t="shared" si="1"/>
        <v>2028</v>
      </c>
      <c r="C804" s="241">
        <f t="shared" si="2"/>
        <v>8</v>
      </c>
      <c r="D804" s="301" t="str">
        <f t="shared" si="3"/>
        <v>Friday</v>
      </c>
      <c r="E804" s="240"/>
      <c r="F804" s="240"/>
      <c r="G804" s="240"/>
      <c r="H804" s="241"/>
      <c r="I804" s="301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ht="14.25" customHeight="1">
      <c r="A805" s="302">
        <f t="shared" si="4"/>
        <v>46977</v>
      </c>
      <c r="B805" s="241">
        <f t="shared" si="1"/>
        <v>2028</v>
      </c>
      <c r="C805" s="241">
        <f t="shared" si="2"/>
        <v>8</v>
      </c>
      <c r="D805" s="301" t="str">
        <f t="shared" si="3"/>
        <v>Saturday</v>
      </c>
      <c r="E805" s="240"/>
      <c r="F805" s="240"/>
      <c r="G805" s="240"/>
      <c r="H805" s="241"/>
      <c r="I805" s="301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ht="14.25" customHeight="1">
      <c r="A806" s="302">
        <f t="shared" si="4"/>
        <v>46978</v>
      </c>
      <c r="B806" s="241">
        <f t="shared" si="1"/>
        <v>2028</v>
      </c>
      <c r="C806" s="241">
        <f t="shared" si="2"/>
        <v>8</v>
      </c>
      <c r="D806" s="301" t="str">
        <f t="shared" si="3"/>
        <v>Sunday</v>
      </c>
      <c r="E806" s="240"/>
      <c r="F806" s="240"/>
      <c r="G806" s="240"/>
      <c r="H806" s="241"/>
      <c r="I806" s="301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ht="14.25" customHeight="1">
      <c r="A807" s="302">
        <f t="shared" si="4"/>
        <v>46979</v>
      </c>
      <c r="B807" s="241">
        <f t="shared" si="1"/>
        <v>2028</v>
      </c>
      <c r="C807" s="241">
        <f t="shared" si="2"/>
        <v>8</v>
      </c>
      <c r="D807" s="301" t="str">
        <f t="shared" si="3"/>
        <v>Monday</v>
      </c>
      <c r="E807" s="240"/>
      <c r="F807" s="240"/>
      <c r="G807" s="240"/>
      <c r="H807" s="241"/>
      <c r="I807" s="301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ht="14.25" customHeight="1">
      <c r="A808" s="302">
        <f t="shared" si="4"/>
        <v>46980</v>
      </c>
      <c r="B808" s="241">
        <f t="shared" si="1"/>
        <v>2028</v>
      </c>
      <c r="C808" s="241">
        <f t="shared" si="2"/>
        <v>8</v>
      </c>
      <c r="D808" s="301" t="str">
        <f t="shared" si="3"/>
        <v>Tuesday</v>
      </c>
      <c r="E808" s="240"/>
      <c r="F808" s="240"/>
      <c r="G808" s="240"/>
      <c r="H808" s="241"/>
      <c r="I808" s="301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ht="14.25" customHeight="1">
      <c r="A809" s="302">
        <f t="shared" si="4"/>
        <v>46981</v>
      </c>
      <c r="B809" s="241">
        <f t="shared" si="1"/>
        <v>2028</v>
      </c>
      <c r="C809" s="241">
        <f t="shared" si="2"/>
        <v>8</v>
      </c>
      <c r="D809" s="301" t="str">
        <f t="shared" si="3"/>
        <v>Wednesday</v>
      </c>
      <c r="E809" s="240"/>
      <c r="F809" s="240"/>
      <c r="G809" s="240"/>
      <c r="H809" s="241"/>
      <c r="I809" s="301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ht="14.25" customHeight="1">
      <c r="A810" s="302">
        <f t="shared" si="4"/>
        <v>46982</v>
      </c>
      <c r="B810" s="241">
        <f t="shared" si="1"/>
        <v>2028</v>
      </c>
      <c r="C810" s="241">
        <f t="shared" si="2"/>
        <v>8</v>
      </c>
      <c r="D810" s="301" t="str">
        <f t="shared" si="3"/>
        <v>Thursday</v>
      </c>
      <c r="E810" s="240"/>
      <c r="F810" s="240"/>
      <c r="G810" s="240"/>
      <c r="H810" s="241"/>
      <c r="I810" s="301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ht="14.25" customHeight="1">
      <c r="A811" s="302">
        <f t="shared" si="4"/>
        <v>46983</v>
      </c>
      <c r="B811" s="241">
        <f t="shared" si="1"/>
        <v>2028</v>
      </c>
      <c r="C811" s="241">
        <f t="shared" si="2"/>
        <v>8</v>
      </c>
      <c r="D811" s="301" t="str">
        <f t="shared" si="3"/>
        <v>Friday</v>
      </c>
      <c r="E811" s="240"/>
      <c r="F811" s="240"/>
      <c r="G811" s="240"/>
      <c r="H811" s="241"/>
      <c r="I811" s="301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ht="14.25" customHeight="1">
      <c r="A812" s="302">
        <f t="shared" si="4"/>
        <v>46984</v>
      </c>
      <c r="B812" s="241">
        <f t="shared" si="1"/>
        <v>2028</v>
      </c>
      <c r="C812" s="241">
        <f t="shared" si="2"/>
        <v>8</v>
      </c>
      <c r="D812" s="301" t="str">
        <f t="shared" si="3"/>
        <v>Saturday</v>
      </c>
      <c r="E812" s="240"/>
      <c r="F812" s="240"/>
      <c r="G812" s="240"/>
      <c r="H812" s="241"/>
      <c r="I812" s="301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ht="14.25" customHeight="1">
      <c r="A813" s="302">
        <f t="shared" si="4"/>
        <v>46985</v>
      </c>
      <c r="B813" s="241">
        <f t="shared" si="1"/>
        <v>2028</v>
      </c>
      <c r="C813" s="241">
        <f t="shared" si="2"/>
        <v>8</v>
      </c>
      <c r="D813" s="301" t="str">
        <f t="shared" si="3"/>
        <v>Sunday</v>
      </c>
      <c r="E813" s="240"/>
      <c r="F813" s="240"/>
      <c r="G813" s="240"/>
      <c r="H813" s="241"/>
      <c r="I813" s="301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ht="14.25" customHeight="1">
      <c r="A814" s="302">
        <f t="shared" si="4"/>
        <v>46986</v>
      </c>
      <c r="B814" s="241">
        <f t="shared" si="1"/>
        <v>2028</v>
      </c>
      <c r="C814" s="241">
        <f t="shared" si="2"/>
        <v>8</v>
      </c>
      <c r="D814" s="301" t="str">
        <f t="shared" si="3"/>
        <v>Monday</v>
      </c>
      <c r="E814" s="240"/>
      <c r="F814" s="240"/>
      <c r="G814" s="240"/>
      <c r="H814" s="241"/>
      <c r="I814" s="301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ht="14.25" customHeight="1">
      <c r="A815" s="302">
        <f t="shared" si="4"/>
        <v>46987</v>
      </c>
      <c r="B815" s="241">
        <f t="shared" si="1"/>
        <v>2028</v>
      </c>
      <c r="C815" s="241">
        <f t="shared" si="2"/>
        <v>8</v>
      </c>
      <c r="D815" s="301" t="str">
        <f t="shared" si="3"/>
        <v>Tuesday</v>
      </c>
      <c r="E815" s="240"/>
      <c r="F815" s="240"/>
      <c r="G815" s="240"/>
      <c r="H815" s="241"/>
      <c r="I815" s="301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ht="14.25" customHeight="1">
      <c r="A816" s="302">
        <f t="shared" si="4"/>
        <v>46988</v>
      </c>
      <c r="B816" s="241">
        <f t="shared" si="1"/>
        <v>2028</v>
      </c>
      <c r="C816" s="241">
        <f t="shared" si="2"/>
        <v>8</v>
      </c>
      <c r="D816" s="301" t="str">
        <f t="shared" si="3"/>
        <v>Wednesday</v>
      </c>
      <c r="E816" s="240"/>
      <c r="F816" s="240"/>
      <c r="G816" s="240"/>
      <c r="H816" s="241"/>
      <c r="I816" s="301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ht="14.25" customHeight="1">
      <c r="A817" s="302">
        <f t="shared" si="4"/>
        <v>46989</v>
      </c>
      <c r="B817" s="241">
        <f t="shared" si="1"/>
        <v>2028</v>
      </c>
      <c r="C817" s="241">
        <f t="shared" si="2"/>
        <v>8</v>
      </c>
      <c r="D817" s="301" t="str">
        <f t="shared" si="3"/>
        <v>Thursday</v>
      </c>
      <c r="E817" s="240"/>
      <c r="F817" s="240"/>
      <c r="G817" s="240"/>
      <c r="H817" s="241"/>
      <c r="I817" s="301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ht="14.25" customHeight="1">
      <c r="A818" s="302">
        <f t="shared" si="4"/>
        <v>46990</v>
      </c>
      <c r="B818" s="241">
        <f t="shared" si="1"/>
        <v>2028</v>
      </c>
      <c r="C818" s="241">
        <f t="shared" si="2"/>
        <v>8</v>
      </c>
      <c r="D818" s="301" t="str">
        <f t="shared" si="3"/>
        <v>Friday</v>
      </c>
      <c r="E818" s="240"/>
      <c r="F818" s="240"/>
      <c r="G818" s="240"/>
      <c r="H818" s="241"/>
      <c r="I818" s="301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ht="14.25" customHeight="1">
      <c r="A819" s="302">
        <f t="shared" si="4"/>
        <v>46991</v>
      </c>
      <c r="B819" s="241">
        <f t="shared" si="1"/>
        <v>2028</v>
      </c>
      <c r="C819" s="241">
        <f t="shared" si="2"/>
        <v>8</v>
      </c>
      <c r="D819" s="301" t="str">
        <f t="shared" si="3"/>
        <v>Saturday</v>
      </c>
      <c r="E819" s="240"/>
      <c r="F819" s="240"/>
      <c r="G819" s="240"/>
      <c r="H819" s="241"/>
      <c r="I819" s="301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ht="14.25" customHeight="1">
      <c r="A820" s="302">
        <f t="shared" si="4"/>
        <v>46992</v>
      </c>
      <c r="B820" s="241">
        <f t="shared" si="1"/>
        <v>2028</v>
      </c>
      <c r="C820" s="241">
        <f t="shared" si="2"/>
        <v>8</v>
      </c>
      <c r="D820" s="301" t="str">
        <f t="shared" si="3"/>
        <v>Sunday</v>
      </c>
      <c r="E820" s="240"/>
      <c r="F820" s="240"/>
      <c r="G820" s="240"/>
      <c r="H820" s="241"/>
      <c r="I820" s="301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ht="14.25" customHeight="1">
      <c r="A821" s="302">
        <f t="shared" si="4"/>
        <v>46993</v>
      </c>
      <c r="B821" s="241">
        <f t="shared" si="1"/>
        <v>2028</v>
      </c>
      <c r="C821" s="241">
        <f t="shared" si="2"/>
        <v>8</v>
      </c>
      <c r="D821" s="301" t="str">
        <f t="shared" si="3"/>
        <v>Monday</v>
      </c>
      <c r="E821" s="240"/>
      <c r="F821" s="240"/>
      <c r="G821" s="240"/>
      <c r="H821" s="241"/>
      <c r="I821" s="301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ht="14.25" customHeight="1">
      <c r="A822" s="302">
        <f t="shared" si="4"/>
        <v>46994</v>
      </c>
      <c r="B822" s="241">
        <f t="shared" si="1"/>
        <v>2028</v>
      </c>
      <c r="C822" s="241">
        <f t="shared" si="2"/>
        <v>8</v>
      </c>
      <c r="D822" s="301" t="str">
        <f t="shared" si="3"/>
        <v>Tuesday</v>
      </c>
      <c r="E822" s="240"/>
      <c r="F822" s="240"/>
      <c r="G822" s="240"/>
      <c r="H822" s="241"/>
      <c r="I822" s="301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ht="14.25" customHeight="1">
      <c r="A823" s="302">
        <f t="shared" si="4"/>
        <v>46995</v>
      </c>
      <c r="B823" s="241">
        <f t="shared" si="1"/>
        <v>2028</v>
      </c>
      <c r="C823" s="241">
        <f t="shared" si="2"/>
        <v>8</v>
      </c>
      <c r="D823" s="301" t="str">
        <f t="shared" si="3"/>
        <v>Wednesday</v>
      </c>
      <c r="E823" s="240"/>
      <c r="F823" s="240"/>
      <c r="G823" s="240"/>
      <c r="H823" s="241"/>
      <c r="I823" s="301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ht="14.25" customHeight="1">
      <c r="A824" s="302">
        <f t="shared" si="4"/>
        <v>46996</v>
      </c>
      <c r="B824" s="241">
        <f t="shared" si="1"/>
        <v>2028</v>
      </c>
      <c r="C824" s="241">
        <f t="shared" si="2"/>
        <v>8</v>
      </c>
      <c r="D824" s="301" t="str">
        <f t="shared" si="3"/>
        <v>Thursday</v>
      </c>
      <c r="E824" s="240"/>
      <c r="F824" s="240"/>
      <c r="G824" s="240"/>
      <c r="H824" s="241"/>
      <c r="I824" s="301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ht="14.25" customHeight="1">
      <c r="A825" s="302">
        <f t="shared" si="4"/>
        <v>46997</v>
      </c>
      <c r="B825" s="241">
        <f t="shared" si="1"/>
        <v>2028</v>
      </c>
      <c r="C825" s="241">
        <f t="shared" si="2"/>
        <v>9</v>
      </c>
      <c r="D825" s="301" t="str">
        <f t="shared" si="3"/>
        <v>Friday</v>
      </c>
      <c r="E825" s="240"/>
      <c r="F825" s="240"/>
      <c r="G825" s="240"/>
      <c r="H825" s="241"/>
      <c r="I825" s="301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ht="14.25" customHeight="1">
      <c r="A826" s="302">
        <f t="shared" si="4"/>
        <v>46998</v>
      </c>
      <c r="B826" s="241">
        <f t="shared" si="1"/>
        <v>2028</v>
      </c>
      <c r="C826" s="241">
        <f t="shared" si="2"/>
        <v>9</v>
      </c>
      <c r="D826" s="301" t="str">
        <f t="shared" si="3"/>
        <v>Saturday</v>
      </c>
      <c r="E826" s="240"/>
      <c r="F826" s="240"/>
      <c r="G826" s="240"/>
      <c r="H826" s="241"/>
      <c r="I826" s="301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ht="14.25" customHeight="1">
      <c r="A827" s="302">
        <f t="shared" si="4"/>
        <v>46999</v>
      </c>
      <c r="B827" s="241">
        <f t="shared" si="1"/>
        <v>2028</v>
      </c>
      <c r="C827" s="241">
        <f t="shared" si="2"/>
        <v>9</v>
      </c>
      <c r="D827" s="301" t="str">
        <f t="shared" si="3"/>
        <v>Sunday</v>
      </c>
      <c r="E827" s="240"/>
      <c r="F827" s="240"/>
      <c r="G827" s="240"/>
      <c r="H827" s="241"/>
      <c r="I827" s="301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ht="14.25" customHeight="1">
      <c r="A828" s="302">
        <f t="shared" si="4"/>
        <v>47000</v>
      </c>
      <c r="B828" s="241">
        <f t="shared" si="1"/>
        <v>2028</v>
      </c>
      <c r="C828" s="241">
        <f t="shared" si="2"/>
        <v>9</v>
      </c>
      <c r="D828" s="301" t="str">
        <f t="shared" si="3"/>
        <v>Monday</v>
      </c>
      <c r="E828" s="240"/>
      <c r="F828" s="240"/>
      <c r="G828" s="240"/>
      <c r="H828" s="241"/>
      <c r="I828" s="301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ht="14.25" customHeight="1">
      <c r="A829" s="302">
        <f t="shared" si="4"/>
        <v>47001</v>
      </c>
      <c r="B829" s="241">
        <f t="shared" si="1"/>
        <v>2028</v>
      </c>
      <c r="C829" s="241">
        <f t="shared" si="2"/>
        <v>9</v>
      </c>
      <c r="D829" s="301" t="str">
        <f t="shared" si="3"/>
        <v>Tuesday</v>
      </c>
      <c r="E829" s="240"/>
      <c r="F829" s="240"/>
      <c r="G829" s="240"/>
      <c r="H829" s="241"/>
      <c r="I829" s="301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ht="14.25" customHeight="1">
      <c r="A830" s="302">
        <f t="shared" si="4"/>
        <v>47002</v>
      </c>
      <c r="B830" s="241">
        <f t="shared" si="1"/>
        <v>2028</v>
      </c>
      <c r="C830" s="241">
        <f t="shared" si="2"/>
        <v>9</v>
      </c>
      <c r="D830" s="301" t="str">
        <f t="shared" si="3"/>
        <v>Wednesday</v>
      </c>
      <c r="E830" s="240"/>
      <c r="F830" s="240"/>
      <c r="G830" s="240"/>
      <c r="H830" s="241"/>
      <c r="I830" s="301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ht="14.25" customHeight="1">
      <c r="A831" s="302">
        <f t="shared" si="4"/>
        <v>47003</v>
      </c>
      <c r="B831" s="241">
        <f t="shared" si="1"/>
        <v>2028</v>
      </c>
      <c r="C831" s="241">
        <f t="shared" si="2"/>
        <v>9</v>
      </c>
      <c r="D831" s="301" t="str">
        <f t="shared" si="3"/>
        <v>Thursday</v>
      </c>
      <c r="E831" s="240"/>
      <c r="F831" s="240"/>
      <c r="G831" s="240"/>
      <c r="H831" s="241"/>
      <c r="I831" s="301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ht="14.25" customHeight="1">
      <c r="A832" s="302">
        <f t="shared" si="4"/>
        <v>47004</v>
      </c>
      <c r="B832" s="241">
        <f t="shared" si="1"/>
        <v>2028</v>
      </c>
      <c r="C832" s="241">
        <f t="shared" si="2"/>
        <v>9</v>
      </c>
      <c r="D832" s="301" t="str">
        <f t="shared" si="3"/>
        <v>Friday</v>
      </c>
      <c r="E832" s="240"/>
      <c r="F832" s="240"/>
      <c r="G832" s="240"/>
      <c r="H832" s="241"/>
      <c r="I832" s="301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ht="14.25" customHeight="1">
      <c r="A833" s="302">
        <f t="shared" si="4"/>
        <v>47005</v>
      </c>
      <c r="B833" s="241">
        <f t="shared" si="1"/>
        <v>2028</v>
      </c>
      <c r="C833" s="241">
        <f t="shared" si="2"/>
        <v>9</v>
      </c>
      <c r="D833" s="301" t="str">
        <f t="shared" si="3"/>
        <v>Saturday</v>
      </c>
      <c r="E833" s="240"/>
      <c r="F833" s="240"/>
      <c r="G833" s="240"/>
      <c r="H833" s="241"/>
      <c r="I833" s="301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ht="14.25" customHeight="1">
      <c r="A834" s="302">
        <f t="shared" si="4"/>
        <v>47006</v>
      </c>
      <c r="B834" s="241">
        <f t="shared" si="1"/>
        <v>2028</v>
      </c>
      <c r="C834" s="241">
        <f t="shared" si="2"/>
        <v>9</v>
      </c>
      <c r="D834" s="301" t="str">
        <f t="shared" si="3"/>
        <v>Sunday</v>
      </c>
      <c r="E834" s="240"/>
      <c r="F834" s="240"/>
      <c r="G834" s="240"/>
      <c r="H834" s="241"/>
      <c r="I834" s="301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ht="14.25" customHeight="1">
      <c r="A835" s="302">
        <f t="shared" si="4"/>
        <v>47007</v>
      </c>
      <c r="B835" s="241">
        <f t="shared" si="1"/>
        <v>2028</v>
      </c>
      <c r="C835" s="241">
        <f t="shared" si="2"/>
        <v>9</v>
      </c>
      <c r="D835" s="301" t="str">
        <f t="shared" si="3"/>
        <v>Monday</v>
      </c>
      <c r="E835" s="240"/>
      <c r="F835" s="240"/>
      <c r="G835" s="240"/>
      <c r="H835" s="241"/>
      <c r="I835" s="301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ht="14.25" customHeight="1">
      <c r="A836" s="302">
        <f t="shared" si="4"/>
        <v>47008</v>
      </c>
      <c r="B836" s="241">
        <f t="shared" si="1"/>
        <v>2028</v>
      </c>
      <c r="C836" s="241">
        <f t="shared" si="2"/>
        <v>9</v>
      </c>
      <c r="D836" s="301" t="str">
        <f t="shared" si="3"/>
        <v>Tuesday</v>
      </c>
      <c r="E836" s="240"/>
      <c r="F836" s="240"/>
      <c r="G836" s="240"/>
      <c r="H836" s="241"/>
      <c r="I836" s="301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ht="14.25" customHeight="1">
      <c r="A837" s="302">
        <f t="shared" si="4"/>
        <v>47009</v>
      </c>
      <c r="B837" s="241">
        <f t="shared" si="1"/>
        <v>2028</v>
      </c>
      <c r="C837" s="241">
        <f t="shared" si="2"/>
        <v>9</v>
      </c>
      <c r="D837" s="301" t="str">
        <f t="shared" si="3"/>
        <v>Wednesday</v>
      </c>
      <c r="E837" s="240"/>
      <c r="F837" s="240"/>
      <c r="G837" s="240"/>
      <c r="H837" s="241"/>
      <c r="I837" s="301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ht="14.25" customHeight="1">
      <c r="A838" s="302">
        <f t="shared" si="4"/>
        <v>47010</v>
      </c>
      <c r="B838" s="241">
        <f t="shared" si="1"/>
        <v>2028</v>
      </c>
      <c r="C838" s="241">
        <f t="shared" si="2"/>
        <v>9</v>
      </c>
      <c r="D838" s="301" t="str">
        <f t="shared" si="3"/>
        <v>Thursday</v>
      </c>
      <c r="E838" s="240"/>
      <c r="F838" s="240"/>
      <c r="G838" s="240"/>
      <c r="H838" s="241"/>
      <c r="I838" s="301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ht="14.25" customHeight="1">
      <c r="A839" s="302">
        <f t="shared" si="4"/>
        <v>47011</v>
      </c>
      <c r="B839" s="241">
        <f t="shared" si="1"/>
        <v>2028</v>
      </c>
      <c r="C839" s="241">
        <f t="shared" si="2"/>
        <v>9</v>
      </c>
      <c r="D839" s="301" t="str">
        <f t="shared" si="3"/>
        <v>Friday</v>
      </c>
      <c r="E839" s="240"/>
      <c r="F839" s="240"/>
      <c r="G839" s="240"/>
      <c r="H839" s="241"/>
      <c r="I839" s="301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ht="14.25" customHeight="1">
      <c r="A840" s="302">
        <f t="shared" si="4"/>
        <v>47012</v>
      </c>
      <c r="B840" s="241">
        <f t="shared" si="1"/>
        <v>2028</v>
      </c>
      <c r="C840" s="241">
        <f t="shared" si="2"/>
        <v>9</v>
      </c>
      <c r="D840" s="301" t="str">
        <f t="shared" si="3"/>
        <v>Saturday</v>
      </c>
      <c r="E840" s="240"/>
      <c r="F840" s="240"/>
      <c r="G840" s="240"/>
      <c r="H840" s="241"/>
      <c r="I840" s="301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ht="14.25" customHeight="1">
      <c r="A841" s="302">
        <f t="shared" si="4"/>
        <v>47013</v>
      </c>
      <c r="B841" s="241">
        <f t="shared" si="1"/>
        <v>2028</v>
      </c>
      <c r="C841" s="241">
        <f t="shared" si="2"/>
        <v>9</v>
      </c>
      <c r="D841" s="301" t="str">
        <f t="shared" si="3"/>
        <v>Sunday</v>
      </c>
      <c r="E841" s="240"/>
      <c r="F841" s="240"/>
      <c r="G841" s="240"/>
      <c r="H841" s="241"/>
      <c r="I841" s="301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ht="14.25" customHeight="1">
      <c r="A842" s="302">
        <f t="shared" si="4"/>
        <v>47014</v>
      </c>
      <c r="B842" s="241">
        <f t="shared" si="1"/>
        <v>2028</v>
      </c>
      <c r="C842" s="241">
        <f t="shared" si="2"/>
        <v>9</v>
      </c>
      <c r="D842" s="301" t="str">
        <f t="shared" si="3"/>
        <v>Monday</v>
      </c>
      <c r="E842" s="240"/>
      <c r="F842" s="240"/>
      <c r="G842" s="240"/>
      <c r="H842" s="241"/>
      <c r="I842" s="301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ht="14.25" customHeight="1">
      <c r="A843" s="302">
        <f t="shared" si="4"/>
        <v>47015</v>
      </c>
      <c r="B843" s="241">
        <f t="shared" si="1"/>
        <v>2028</v>
      </c>
      <c r="C843" s="241">
        <f t="shared" si="2"/>
        <v>9</v>
      </c>
      <c r="D843" s="301" t="str">
        <f t="shared" si="3"/>
        <v>Tuesday</v>
      </c>
      <c r="E843" s="240"/>
      <c r="F843" s="240"/>
      <c r="G843" s="240"/>
      <c r="H843" s="241"/>
      <c r="I843" s="301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ht="14.25" customHeight="1">
      <c r="A844" s="302">
        <f t="shared" si="4"/>
        <v>47016</v>
      </c>
      <c r="B844" s="241">
        <f t="shared" si="1"/>
        <v>2028</v>
      </c>
      <c r="C844" s="241">
        <f t="shared" si="2"/>
        <v>9</v>
      </c>
      <c r="D844" s="301" t="str">
        <f t="shared" si="3"/>
        <v>Wednesday</v>
      </c>
      <c r="E844" s="240"/>
      <c r="F844" s="240"/>
      <c r="G844" s="240"/>
      <c r="H844" s="241"/>
      <c r="I844" s="301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ht="14.25" customHeight="1">
      <c r="A845" s="302">
        <f t="shared" si="4"/>
        <v>47017</v>
      </c>
      <c r="B845" s="241">
        <f t="shared" si="1"/>
        <v>2028</v>
      </c>
      <c r="C845" s="241">
        <f t="shared" si="2"/>
        <v>9</v>
      </c>
      <c r="D845" s="301" t="str">
        <f t="shared" si="3"/>
        <v>Thursday</v>
      </c>
      <c r="E845" s="240"/>
      <c r="F845" s="240"/>
      <c r="G845" s="240"/>
      <c r="H845" s="241"/>
      <c r="I845" s="301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ht="14.25" customHeight="1">
      <c r="A846" s="302">
        <f t="shared" si="4"/>
        <v>47018</v>
      </c>
      <c r="B846" s="241">
        <f t="shared" si="1"/>
        <v>2028</v>
      </c>
      <c r="C846" s="241">
        <f t="shared" si="2"/>
        <v>9</v>
      </c>
      <c r="D846" s="301" t="str">
        <f t="shared" si="3"/>
        <v>Friday</v>
      </c>
      <c r="E846" s="240"/>
      <c r="F846" s="240"/>
      <c r="G846" s="240"/>
      <c r="H846" s="241"/>
      <c r="I846" s="301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ht="14.25" customHeight="1">
      <c r="A847" s="302">
        <f t="shared" si="4"/>
        <v>47019</v>
      </c>
      <c r="B847" s="241">
        <f t="shared" si="1"/>
        <v>2028</v>
      </c>
      <c r="C847" s="241">
        <f t="shared" si="2"/>
        <v>9</v>
      </c>
      <c r="D847" s="301" t="str">
        <f t="shared" si="3"/>
        <v>Saturday</v>
      </c>
      <c r="E847" s="240"/>
      <c r="F847" s="240"/>
      <c r="G847" s="240"/>
      <c r="H847" s="241"/>
      <c r="I847" s="301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ht="14.25" customHeight="1">
      <c r="A848" s="302">
        <f t="shared" si="4"/>
        <v>47020</v>
      </c>
      <c r="B848" s="241">
        <f t="shared" si="1"/>
        <v>2028</v>
      </c>
      <c r="C848" s="241">
        <f t="shared" si="2"/>
        <v>9</v>
      </c>
      <c r="D848" s="301" t="str">
        <f t="shared" si="3"/>
        <v>Sunday</v>
      </c>
      <c r="E848" s="240"/>
      <c r="F848" s="240"/>
      <c r="G848" s="240"/>
      <c r="H848" s="241"/>
      <c r="I848" s="301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ht="14.25" customHeight="1">
      <c r="A849" s="302">
        <f t="shared" si="4"/>
        <v>47021</v>
      </c>
      <c r="B849" s="241">
        <f t="shared" si="1"/>
        <v>2028</v>
      </c>
      <c r="C849" s="241">
        <f t="shared" si="2"/>
        <v>9</v>
      </c>
      <c r="D849" s="301" t="str">
        <f t="shared" si="3"/>
        <v>Monday</v>
      </c>
      <c r="E849" s="240"/>
      <c r="F849" s="240"/>
      <c r="G849" s="240"/>
      <c r="H849" s="241"/>
      <c r="I849" s="301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ht="14.25" customHeight="1">
      <c r="A850" s="302">
        <f t="shared" si="4"/>
        <v>47022</v>
      </c>
      <c r="B850" s="241">
        <f t="shared" si="1"/>
        <v>2028</v>
      </c>
      <c r="C850" s="241">
        <f t="shared" si="2"/>
        <v>9</v>
      </c>
      <c r="D850" s="301" t="str">
        <f t="shared" si="3"/>
        <v>Tuesday</v>
      </c>
      <c r="E850" s="240"/>
      <c r="F850" s="240"/>
      <c r="G850" s="240"/>
      <c r="H850" s="241"/>
      <c r="I850" s="301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ht="14.25" customHeight="1">
      <c r="A851" s="302">
        <f t="shared" si="4"/>
        <v>47023</v>
      </c>
      <c r="B851" s="241">
        <f t="shared" si="1"/>
        <v>2028</v>
      </c>
      <c r="C851" s="241">
        <f t="shared" si="2"/>
        <v>9</v>
      </c>
      <c r="D851" s="301" t="str">
        <f t="shared" si="3"/>
        <v>Wednesday</v>
      </c>
      <c r="E851" s="240"/>
      <c r="F851" s="240"/>
      <c r="G851" s="240"/>
      <c r="H851" s="241"/>
      <c r="I851" s="301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ht="14.25" customHeight="1">
      <c r="A852" s="302">
        <f t="shared" si="4"/>
        <v>47024</v>
      </c>
      <c r="B852" s="241">
        <f t="shared" si="1"/>
        <v>2028</v>
      </c>
      <c r="C852" s="241">
        <f t="shared" si="2"/>
        <v>9</v>
      </c>
      <c r="D852" s="301" t="str">
        <f t="shared" si="3"/>
        <v>Thursday</v>
      </c>
      <c r="E852" s="240"/>
      <c r="F852" s="240"/>
      <c r="G852" s="240"/>
      <c r="H852" s="241"/>
      <c r="I852" s="301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ht="14.25" customHeight="1">
      <c r="A853" s="302">
        <f t="shared" si="4"/>
        <v>47025</v>
      </c>
      <c r="B853" s="241">
        <f t="shared" si="1"/>
        <v>2028</v>
      </c>
      <c r="C853" s="241">
        <f t="shared" si="2"/>
        <v>9</v>
      </c>
      <c r="D853" s="301" t="str">
        <f t="shared" si="3"/>
        <v>Friday</v>
      </c>
      <c r="E853" s="240"/>
      <c r="F853" s="240"/>
      <c r="G853" s="240"/>
      <c r="H853" s="241"/>
      <c r="I853" s="301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ht="14.25" customHeight="1">
      <c r="A854" s="302">
        <f t="shared" si="4"/>
        <v>47026</v>
      </c>
      <c r="B854" s="241">
        <f t="shared" si="1"/>
        <v>2028</v>
      </c>
      <c r="C854" s="241">
        <f t="shared" si="2"/>
        <v>9</v>
      </c>
      <c r="D854" s="301" t="str">
        <f t="shared" si="3"/>
        <v>Saturday</v>
      </c>
      <c r="E854" s="240"/>
      <c r="F854" s="240"/>
      <c r="G854" s="240"/>
      <c r="H854" s="241"/>
      <c r="I854" s="301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ht="14.25" customHeight="1">
      <c r="A855" s="302">
        <f t="shared" si="4"/>
        <v>47027</v>
      </c>
      <c r="B855" s="241">
        <f t="shared" si="1"/>
        <v>2028</v>
      </c>
      <c r="C855" s="241">
        <f t="shared" si="2"/>
        <v>10</v>
      </c>
      <c r="D855" s="301" t="str">
        <f t="shared" si="3"/>
        <v>Sunday</v>
      </c>
      <c r="E855" s="240"/>
      <c r="F855" s="240"/>
      <c r="G855" s="240"/>
      <c r="H855" s="241"/>
      <c r="I855" s="301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ht="14.25" customHeight="1">
      <c r="A856" s="302">
        <f t="shared" si="4"/>
        <v>47028</v>
      </c>
      <c r="B856" s="241">
        <f t="shared" si="1"/>
        <v>2028</v>
      </c>
      <c r="C856" s="241">
        <f t="shared" si="2"/>
        <v>10</v>
      </c>
      <c r="D856" s="301" t="str">
        <f t="shared" si="3"/>
        <v>Monday</v>
      </c>
      <c r="E856" s="240"/>
      <c r="F856" s="240"/>
      <c r="G856" s="240"/>
      <c r="H856" s="241"/>
      <c r="I856" s="301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ht="14.25" customHeight="1">
      <c r="A857" s="302">
        <f t="shared" si="4"/>
        <v>47029</v>
      </c>
      <c r="B857" s="241">
        <f t="shared" si="1"/>
        <v>2028</v>
      </c>
      <c r="C857" s="241">
        <f t="shared" si="2"/>
        <v>10</v>
      </c>
      <c r="D857" s="301" t="str">
        <f t="shared" si="3"/>
        <v>Tuesday</v>
      </c>
      <c r="E857" s="240"/>
      <c r="F857" s="240"/>
      <c r="G857" s="240"/>
      <c r="H857" s="241"/>
      <c r="I857" s="301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ht="14.25" customHeight="1">
      <c r="A858" s="302">
        <f t="shared" si="4"/>
        <v>47030</v>
      </c>
      <c r="B858" s="241">
        <f t="shared" si="1"/>
        <v>2028</v>
      </c>
      <c r="C858" s="241">
        <f t="shared" si="2"/>
        <v>10</v>
      </c>
      <c r="D858" s="301" t="str">
        <f t="shared" si="3"/>
        <v>Wednesday</v>
      </c>
      <c r="E858" s="240"/>
      <c r="F858" s="240"/>
      <c r="G858" s="240"/>
      <c r="H858" s="241"/>
      <c r="I858" s="301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ht="14.25" customHeight="1">
      <c r="A859" s="302">
        <f t="shared" si="4"/>
        <v>47031</v>
      </c>
      <c r="B859" s="241">
        <f t="shared" si="1"/>
        <v>2028</v>
      </c>
      <c r="C859" s="241">
        <f t="shared" si="2"/>
        <v>10</v>
      </c>
      <c r="D859" s="301" t="str">
        <f t="shared" si="3"/>
        <v>Thursday</v>
      </c>
      <c r="E859" s="240"/>
      <c r="F859" s="240"/>
      <c r="G859" s="240"/>
      <c r="H859" s="241"/>
      <c r="I859" s="301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ht="14.25" customHeight="1">
      <c r="A860" s="302">
        <f t="shared" si="4"/>
        <v>47032</v>
      </c>
      <c r="B860" s="241">
        <f t="shared" si="1"/>
        <v>2028</v>
      </c>
      <c r="C860" s="241">
        <f t="shared" si="2"/>
        <v>10</v>
      </c>
      <c r="D860" s="301" t="str">
        <f t="shared" si="3"/>
        <v>Friday</v>
      </c>
      <c r="E860" s="240"/>
      <c r="F860" s="240"/>
      <c r="G860" s="240"/>
      <c r="H860" s="241"/>
      <c r="I860" s="301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ht="14.25" customHeight="1">
      <c r="A861" s="302">
        <f t="shared" si="4"/>
        <v>47033</v>
      </c>
      <c r="B861" s="241">
        <f t="shared" si="1"/>
        <v>2028</v>
      </c>
      <c r="C861" s="241">
        <f t="shared" si="2"/>
        <v>10</v>
      </c>
      <c r="D861" s="301" t="str">
        <f t="shared" si="3"/>
        <v>Saturday</v>
      </c>
      <c r="E861" s="240"/>
      <c r="F861" s="240"/>
      <c r="G861" s="240"/>
      <c r="H861" s="241"/>
      <c r="I861" s="301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ht="14.25" customHeight="1">
      <c r="A862" s="302">
        <f t="shared" si="4"/>
        <v>47034</v>
      </c>
      <c r="B862" s="241">
        <f t="shared" si="1"/>
        <v>2028</v>
      </c>
      <c r="C862" s="241">
        <f t="shared" si="2"/>
        <v>10</v>
      </c>
      <c r="D862" s="301" t="str">
        <f t="shared" si="3"/>
        <v>Sunday</v>
      </c>
      <c r="E862" s="240"/>
      <c r="F862" s="240"/>
      <c r="G862" s="240"/>
      <c r="H862" s="241"/>
      <c r="I862" s="301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ht="14.25" customHeight="1">
      <c r="A863" s="302">
        <f t="shared" si="4"/>
        <v>47035</v>
      </c>
      <c r="B863" s="241">
        <f t="shared" si="1"/>
        <v>2028</v>
      </c>
      <c r="C863" s="241">
        <f t="shared" si="2"/>
        <v>10</v>
      </c>
      <c r="D863" s="301" t="str">
        <f t="shared" si="3"/>
        <v>Monday</v>
      </c>
      <c r="E863" s="240"/>
      <c r="F863" s="240"/>
      <c r="G863" s="240"/>
      <c r="H863" s="241"/>
      <c r="I863" s="301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ht="14.25" customHeight="1">
      <c r="A864" s="302">
        <f t="shared" si="4"/>
        <v>47036</v>
      </c>
      <c r="B864" s="241">
        <f t="shared" si="1"/>
        <v>2028</v>
      </c>
      <c r="C864" s="241">
        <f t="shared" si="2"/>
        <v>10</v>
      </c>
      <c r="D864" s="301" t="str">
        <f t="shared" si="3"/>
        <v>Tuesday</v>
      </c>
      <c r="E864" s="240"/>
      <c r="F864" s="240"/>
      <c r="G864" s="240"/>
      <c r="H864" s="241"/>
      <c r="I864" s="301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ht="14.25" customHeight="1">
      <c r="A865" s="302">
        <f t="shared" si="4"/>
        <v>47037</v>
      </c>
      <c r="B865" s="241">
        <f t="shared" si="1"/>
        <v>2028</v>
      </c>
      <c r="C865" s="241">
        <f t="shared" si="2"/>
        <v>10</v>
      </c>
      <c r="D865" s="301" t="str">
        <f t="shared" si="3"/>
        <v>Wednesday</v>
      </c>
      <c r="E865" s="240"/>
      <c r="F865" s="240"/>
      <c r="G865" s="240"/>
      <c r="H865" s="241"/>
      <c r="I865" s="301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ht="14.25" customHeight="1">
      <c r="A866" s="302">
        <f t="shared" si="4"/>
        <v>47038</v>
      </c>
      <c r="B866" s="241">
        <f t="shared" si="1"/>
        <v>2028</v>
      </c>
      <c r="C866" s="241">
        <f t="shared" si="2"/>
        <v>10</v>
      </c>
      <c r="D866" s="301" t="str">
        <f t="shared" si="3"/>
        <v>Thursday</v>
      </c>
      <c r="E866" s="240"/>
      <c r="F866" s="240"/>
      <c r="G866" s="240"/>
      <c r="H866" s="241"/>
      <c r="I866" s="301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ht="14.25" customHeight="1">
      <c r="A867" s="302">
        <f t="shared" si="4"/>
        <v>47039</v>
      </c>
      <c r="B867" s="241">
        <f t="shared" si="1"/>
        <v>2028</v>
      </c>
      <c r="C867" s="241">
        <f t="shared" si="2"/>
        <v>10</v>
      </c>
      <c r="D867" s="301" t="str">
        <f t="shared" si="3"/>
        <v>Friday</v>
      </c>
      <c r="E867" s="240"/>
      <c r="F867" s="240"/>
      <c r="G867" s="240"/>
      <c r="H867" s="241"/>
      <c r="I867" s="301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ht="14.25" customHeight="1">
      <c r="A868" s="302">
        <f t="shared" si="4"/>
        <v>47040</v>
      </c>
      <c r="B868" s="241">
        <f t="shared" si="1"/>
        <v>2028</v>
      </c>
      <c r="C868" s="241">
        <f t="shared" si="2"/>
        <v>10</v>
      </c>
      <c r="D868" s="301" t="str">
        <f t="shared" si="3"/>
        <v>Saturday</v>
      </c>
      <c r="E868" s="240"/>
      <c r="F868" s="240"/>
      <c r="G868" s="240"/>
      <c r="H868" s="241"/>
      <c r="I868" s="301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ht="14.25" customHeight="1">
      <c r="A869" s="302">
        <f t="shared" si="4"/>
        <v>47041</v>
      </c>
      <c r="B869" s="241">
        <f t="shared" si="1"/>
        <v>2028</v>
      </c>
      <c r="C869" s="241">
        <f t="shared" si="2"/>
        <v>10</v>
      </c>
      <c r="D869" s="301" t="str">
        <f t="shared" si="3"/>
        <v>Sunday</v>
      </c>
      <c r="E869" s="240"/>
      <c r="F869" s="240"/>
      <c r="G869" s="240"/>
      <c r="H869" s="241"/>
      <c r="I869" s="301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ht="14.25" customHeight="1">
      <c r="A870" s="302">
        <f t="shared" si="4"/>
        <v>47042</v>
      </c>
      <c r="B870" s="241">
        <f t="shared" si="1"/>
        <v>2028</v>
      </c>
      <c r="C870" s="241">
        <f t="shared" si="2"/>
        <v>10</v>
      </c>
      <c r="D870" s="301" t="str">
        <f t="shared" si="3"/>
        <v>Monday</v>
      </c>
      <c r="E870" s="240"/>
      <c r="F870" s="240"/>
      <c r="G870" s="240"/>
      <c r="H870" s="241"/>
      <c r="I870" s="301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ht="14.25" customHeight="1">
      <c r="A871" s="302">
        <f t="shared" si="4"/>
        <v>47043</v>
      </c>
      <c r="B871" s="241">
        <f t="shared" si="1"/>
        <v>2028</v>
      </c>
      <c r="C871" s="241">
        <f t="shared" si="2"/>
        <v>10</v>
      </c>
      <c r="D871" s="301" t="str">
        <f t="shared" si="3"/>
        <v>Tuesday</v>
      </c>
      <c r="E871" s="240"/>
      <c r="F871" s="240"/>
      <c r="G871" s="240"/>
      <c r="H871" s="241"/>
      <c r="I871" s="301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ht="14.25" customHeight="1">
      <c r="A872" s="302">
        <f t="shared" si="4"/>
        <v>47044</v>
      </c>
      <c r="B872" s="241">
        <f t="shared" si="1"/>
        <v>2028</v>
      </c>
      <c r="C872" s="241">
        <f t="shared" si="2"/>
        <v>10</v>
      </c>
      <c r="D872" s="301" t="str">
        <f t="shared" si="3"/>
        <v>Wednesday</v>
      </c>
      <c r="E872" s="240"/>
      <c r="F872" s="240"/>
      <c r="G872" s="240"/>
      <c r="H872" s="241"/>
      <c r="I872" s="301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ht="14.25" customHeight="1">
      <c r="A873" s="302">
        <f t="shared" si="4"/>
        <v>47045</v>
      </c>
      <c r="B873" s="241">
        <f t="shared" si="1"/>
        <v>2028</v>
      </c>
      <c r="C873" s="241">
        <f t="shared" si="2"/>
        <v>10</v>
      </c>
      <c r="D873" s="301" t="str">
        <f t="shared" si="3"/>
        <v>Thursday</v>
      </c>
      <c r="E873" s="240"/>
      <c r="F873" s="240"/>
      <c r="G873" s="240"/>
      <c r="H873" s="241"/>
      <c r="I873" s="301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ht="14.25" customHeight="1">
      <c r="A874" s="302">
        <f t="shared" si="4"/>
        <v>47046</v>
      </c>
      <c r="B874" s="241">
        <f t="shared" si="1"/>
        <v>2028</v>
      </c>
      <c r="C874" s="241">
        <f t="shared" si="2"/>
        <v>10</v>
      </c>
      <c r="D874" s="301" t="str">
        <f t="shared" si="3"/>
        <v>Friday</v>
      </c>
      <c r="E874" s="240"/>
      <c r="F874" s="240"/>
      <c r="G874" s="240"/>
      <c r="H874" s="241"/>
      <c r="I874" s="301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ht="14.25" customHeight="1">
      <c r="A875" s="302">
        <f t="shared" si="4"/>
        <v>47047</v>
      </c>
      <c r="B875" s="241">
        <f t="shared" si="1"/>
        <v>2028</v>
      </c>
      <c r="C875" s="241">
        <f t="shared" si="2"/>
        <v>10</v>
      </c>
      <c r="D875" s="301" t="str">
        <f t="shared" si="3"/>
        <v>Saturday</v>
      </c>
      <c r="E875" s="240"/>
      <c r="F875" s="240"/>
      <c r="G875" s="240"/>
      <c r="H875" s="241"/>
      <c r="I875" s="301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ht="14.25" customHeight="1">
      <c r="A876" s="302">
        <f t="shared" si="4"/>
        <v>47048</v>
      </c>
      <c r="B876" s="241">
        <f t="shared" si="1"/>
        <v>2028</v>
      </c>
      <c r="C876" s="241">
        <f t="shared" si="2"/>
        <v>10</v>
      </c>
      <c r="D876" s="301" t="str">
        <f t="shared" si="3"/>
        <v>Sunday</v>
      </c>
      <c r="E876" s="240"/>
      <c r="F876" s="240"/>
      <c r="G876" s="240"/>
      <c r="H876" s="241"/>
      <c r="I876" s="301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ht="14.25" customHeight="1">
      <c r="A877" s="302">
        <f t="shared" si="4"/>
        <v>47049</v>
      </c>
      <c r="B877" s="241">
        <f t="shared" si="1"/>
        <v>2028</v>
      </c>
      <c r="C877" s="241">
        <f t="shared" si="2"/>
        <v>10</v>
      </c>
      <c r="D877" s="301" t="str">
        <f t="shared" si="3"/>
        <v>Monday</v>
      </c>
      <c r="E877" s="240"/>
      <c r="F877" s="240"/>
      <c r="G877" s="240"/>
      <c r="H877" s="241"/>
      <c r="I877" s="301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ht="14.25" customHeight="1">
      <c r="A878" s="302">
        <f t="shared" si="4"/>
        <v>47050</v>
      </c>
      <c r="B878" s="241">
        <f t="shared" si="1"/>
        <v>2028</v>
      </c>
      <c r="C878" s="241">
        <f t="shared" si="2"/>
        <v>10</v>
      </c>
      <c r="D878" s="301" t="str">
        <f t="shared" si="3"/>
        <v>Tuesday</v>
      </c>
      <c r="E878" s="240"/>
      <c r="F878" s="240"/>
      <c r="G878" s="240"/>
      <c r="H878" s="241"/>
      <c r="I878" s="301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ht="14.25" customHeight="1">
      <c r="A879" s="302">
        <f t="shared" si="4"/>
        <v>47051</v>
      </c>
      <c r="B879" s="241">
        <f t="shared" si="1"/>
        <v>2028</v>
      </c>
      <c r="C879" s="241">
        <f t="shared" si="2"/>
        <v>10</v>
      </c>
      <c r="D879" s="301" t="str">
        <f t="shared" si="3"/>
        <v>Wednesday</v>
      </c>
      <c r="E879" s="240"/>
      <c r="F879" s="240"/>
      <c r="G879" s="240"/>
      <c r="H879" s="241"/>
      <c r="I879" s="301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ht="14.25" customHeight="1">
      <c r="A880" s="302">
        <f t="shared" si="4"/>
        <v>47052</v>
      </c>
      <c r="B880" s="241">
        <f t="shared" si="1"/>
        <v>2028</v>
      </c>
      <c r="C880" s="241">
        <f t="shared" si="2"/>
        <v>10</v>
      </c>
      <c r="D880" s="301" t="str">
        <f t="shared" si="3"/>
        <v>Thursday</v>
      </c>
      <c r="E880" s="240"/>
      <c r="F880" s="240"/>
      <c r="G880" s="240"/>
      <c r="H880" s="241"/>
      <c r="I880" s="301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ht="14.25" customHeight="1">
      <c r="A881" s="302">
        <f t="shared" si="4"/>
        <v>47053</v>
      </c>
      <c r="B881" s="241">
        <f t="shared" si="1"/>
        <v>2028</v>
      </c>
      <c r="C881" s="241">
        <f t="shared" si="2"/>
        <v>10</v>
      </c>
      <c r="D881" s="301" t="str">
        <f t="shared" si="3"/>
        <v>Friday</v>
      </c>
      <c r="E881" s="240"/>
      <c r="F881" s="240"/>
      <c r="G881" s="240"/>
      <c r="H881" s="241"/>
      <c r="I881" s="301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ht="14.25" customHeight="1">
      <c r="A882" s="302">
        <f t="shared" si="4"/>
        <v>47054</v>
      </c>
      <c r="B882" s="241">
        <f t="shared" si="1"/>
        <v>2028</v>
      </c>
      <c r="C882" s="241">
        <f t="shared" si="2"/>
        <v>10</v>
      </c>
      <c r="D882" s="301" t="str">
        <f t="shared" si="3"/>
        <v>Saturday</v>
      </c>
      <c r="E882" s="240"/>
      <c r="F882" s="240"/>
      <c r="G882" s="240"/>
      <c r="H882" s="241"/>
      <c r="I882" s="301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ht="14.25" customHeight="1">
      <c r="A883" s="302">
        <f t="shared" si="4"/>
        <v>47055</v>
      </c>
      <c r="B883" s="241">
        <f t="shared" si="1"/>
        <v>2028</v>
      </c>
      <c r="C883" s="241">
        <f t="shared" si="2"/>
        <v>10</v>
      </c>
      <c r="D883" s="301" t="str">
        <f t="shared" si="3"/>
        <v>Sunday</v>
      </c>
      <c r="E883" s="240"/>
      <c r="F883" s="240"/>
      <c r="G883" s="240"/>
      <c r="H883" s="241"/>
      <c r="I883" s="301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ht="14.25" customHeight="1">
      <c r="A884" s="302">
        <f t="shared" si="4"/>
        <v>47056</v>
      </c>
      <c r="B884" s="241">
        <f t="shared" si="1"/>
        <v>2028</v>
      </c>
      <c r="C884" s="241">
        <f t="shared" si="2"/>
        <v>10</v>
      </c>
      <c r="D884" s="301" t="str">
        <f t="shared" si="3"/>
        <v>Monday</v>
      </c>
      <c r="E884" s="240"/>
      <c r="F884" s="240"/>
      <c r="G884" s="240"/>
      <c r="H884" s="241"/>
      <c r="I884" s="301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ht="14.25" customHeight="1">
      <c r="A885" s="302">
        <f t="shared" si="4"/>
        <v>47057</v>
      </c>
      <c r="B885" s="241">
        <f t="shared" si="1"/>
        <v>2028</v>
      </c>
      <c r="C885" s="241">
        <f t="shared" si="2"/>
        <v>10</v>
      </c>
      <c r="D885" s="301" t="str">
        <f t="shared" si="3"/>
        <v>Tuesday</v>
      </c>
      <c r="E885" s="240"/>
      <c r="F885" s="240"/>
      <c r="G885" s="240"/>
      <c r="H885" s="241"/>
      <c r="I885" s="301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ht="14.25" customHeight="1">
      <c r="A886" s="302">
        <f t="shared" si="4"/>
        <v>47058</v>
      </c>
      <c r="B886" s="241">
        <f t="shared" si="1"/>
        <v>2028</v>
      </c>
      <c r="C886" s="241">
        <f t="shared" si="2"/>
        <v>11</v>
      </c>
      <c r="D886" s="301" t="str">
        <f t="shared" si="3"/>
        <v>Wednesday</v>
      </c>
      <c r="E886" s="240"/>
      <c r="F886" s="240"/>
      <c r="G886" s="240"/>
      <c r="H886" s="241"/>
      <c r="I886" s="301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ht="14.25" customHeight="1">
      <c r="A887" s="302">
        <f t="shared" si="4"/>
        <v>47059</v>
      </c>
      <c r="B887" s="241">
        <f t="shared" si="1"/>
        <v>2028</v>
      </c>
      <c r="C887" s="241">
        <f t="shared" si="2"/>
        <v>11</v>
      </c>
      <c r="D887" s="301" t="str">
        <f t="shared" si="3"/>
        <v>Thursday</v>
      </c>
      <c r="E887" s="240"/>
      <c r="F887" s="240"/>
      <c r="G887" s="240"/>
      <c r="H887" s="241"/>
      <c r="I887" s="301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ht="14.25" customHeight="1">
      <c r="A888" s="302">
        <f t="shared" si="4"/>
        <v>47060</v>
      </c>
      <c r="B888" s="241">
        <f t="shared" si="1"/>
        <v>2028</v>
      </c>
      <c r="C888" s="241">
        <f t="shared" si="2"/>
        <v>11</v>
      </c>
      <c r="D888" s="301" t="str">
        <f t="shared" si="3"/>
        <v>Friday</v>
      </c>
      <c r="E888" s="240"/>
      <c r="F888" s="240"/>
      <c r="G888" s="240"/>
      <c r="H888" s="241"/>
      <c r="I888" s="301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ht="14.25" customHeight="1">
      <c r="A889" s="302">
        <f t="shared" si="4"/>
        <v>47061</v>
      </c>
      <c r="B889" s="241">
        <f t="shared" si="1"/>
        <v>2028</v>
      </c>
      <c r="C889" s="241">
        <f t="shared" si="2"/>
        <v>11</v>
      </c>
      <c r="D889" s="301" t="str">
        <f t="shared" si="3"/>
        <v>Saturday</v>
      </c>
      <c r="E889" s="240"/>
      <c r="F889" s="240"/>
      <c r="G889" s="240"/>
      <c r="H889" s="241"/>
      <c r="I889" s="301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ht="14.25" customHeight="1">
      <c r="A890" s="302">
        <f t="shared" si="4"/>
        <v>47062</v>
      </c>
      <c r="B890" s="241">
        <f t="shared" si="1"/>
        <v>2028</v>
      </c>
      <c r="C890" s="241">
        <f t="shared" si="2"/>
        <v>11</v>
      </c>
      <c r="D890" s="301" t="str">
        <f t="shared" si="3"/>
        <v>Sunday</v>
      </c>
      <c r="E890" s="240"/>
      <c r="F890" s="240"/>
      <c r="G890" s="240"/>
      <c r="H890" s="241"/>
      <c r="I890" s="301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ht="14.25" customHeight="1">
      <c r="A891" s="302">
        <f t="shared" si="4"/>
        <v>47063</v>
      </c>
      <c r="B891" s="241">
        <f t="shared" si="1"/>
        <v>2028</v>
      </c>
      <c r="C891" s="241">
        <f t="shared" si="2"/>
        <v>11</v>
      </c>
      <c r="D891" s="301" t="str">
        <f t="shared" si="3"/>
        <v>Monday</v>
      </c>
      <c r="E891" s="240"/>
      <c r="F891" s="240"/>
      <c r="G891" s="240"/>
      <c r="H891" s="241"/>
      <c r="I891" s="301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ht="14.25" customHeight="1">
      <c r="A892" s="302">
        <f t="shared" si="4"/>
        <v>47064</v>
      </c>
      <c r="B892" s="241">
        <f t="shared" si="1"/>
        <v>2028</v>
      </c>
      <c r="C892" s="241">
        <f t="shared" si="2"/>
        <v>11</v>
      </c>
      <c r="D892" s="301" t="str">
        <f t="shared" si="3"/>
        <v>Tuesday</v>
      </c>
      <c r="E892" s="240"/>
      <c r="F892" s="240"/>
      <c r="G892" s="240"/>
      <c r="H892" s="241"/>
      <c r="I892" s="301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ht="14.25" customHeight="1">
      <c r="A893" s="302">
        <f t="shared" si="4"/>
        <v>47065</v>
      </c>
      <c r="B893" s="241">
        <f t="shared" si="1"/>
        <v>2028</v>
      </c>
      <c r="C893" s="241">
        <f t="shared" si="2"/>
        <v>11</v>
      </c>
      <c r="D893" s="301" t="str">
        <f t="shared" si="3"/>
        <v>Wednesday</v>
      </c>
      <c r="E893" s="240"/>
      <c r="F893" s="240"/>
      <c r="G893" s="240"/>
      <c r="H893" s="241"/>
      <c r="I893" s="301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ht="14.25" customHeight="1">
      <c r="A894" s="302">
        <f t="shared" si="4"/>
        <v>47066</v>
      </c>
      <c r="B894" s="241">
        <f t="shared" si="1"/>
        <v>2028</v>
      </c>
      <c r="C894" s="241">
        <f t="shared" si="2"/>
        <v>11</v>
      </c>
      <c r="D894" s="301" t="str">
        <f t="shared" si="3"/>
        <v>Thursday</v>
      </c>
      <c r="E894" s="240"/>
      <c r="F894" s="240"/>
      <c r="G894" s="240"/>
      <c r="H894" s="241"/>
      <c r="I894" s="301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ht="14.25" customHeight="1">
      <c r="A895" s="302">
        <f t="shared" si="4"/>
        <v>47067</v>
      </c>
      <c r="B895" s="241">
        <f t="shared" si="1"/>
        <v>2028</v>
      </c>
      <c r="C895" s="241">
        <f t="shared" si="2"/>
        <v>11</v>
      </c>
      <c r="D895" s="301" t="str">
        <f t="shared" si="3"/>
        <v>Friday</v>
      </c>
      <c r="E895" s="240"/>
      <c r="F895" s="240"/>
      <c r="G895" s="240"/>
      <c r="H895" s="241"/>
      <c r="I895" s="301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ht="14.25" customHeight="1">
      <c r="A896" s="302">
        <f t="shared" si="4"/>
        <v>47068</v>
      </c>
      <c r="B896" s="241">
        <f t="shared" si="1"/>
        <v>2028</v>
      </c>
      <c r="C896" s="241">
        <f t="shared" si="2"/>
        <v>11</v>
      </c>
      <c r="D896" s="301" t="str">
        <f t="shared" si="3"/>
        <v>Saturday</v>
      </c>
      <c r="E896" s="240"/>
      <c r="F896" s="240"/>
      <c r="G896" s="240"/>
      <c r="H896" s="241"/>
      <c r="I896" s="301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ht="14.25" customHeight="1">
      <c r="A897" s="302">
        <f t="shared" si="4"/>
        <v>47069</v>
      </c>
      <c r="B897" s="241">
        <f t="shared" si="1"/>
        <v>2028</v>
      </c>
      <c r="C897" s="241">
        <f t="shared" si="2"/>
        <v>11</v>
      </c>
      <c r="D897" s="301" t="str">
        <f t="shared" si="3"/>
        <v>Sunday</v>
      </c>
      <c r="E897" s="240"/>
      <c r="F897" s="240"/>
      <c r="G897" s="240"/>
      <c r="H897" s="241"/>
      <c r="I897" s="301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ht="14.25" customHeight="1">
      <c r="A898" s="302">
        <f t="shared" si="4"/>
        <v>47070</v>
      </c>
      <c r="B898" s="241">
        <f t="shared" si="1"/>
        <v>2028</v>
      </c>
      <c r="C898" s="241">
        <f t="shared" si="2"/>
        <v>11</v>
      </c>
      <c r="D898" s="301" t="str">
        <f t="shared" si="3"/>
        <v>Monday</v>
      </c>
      <c r="E898" s="240"/>
      <c r="F898" s="240"/>
      <c r="G898" s="240"/>
      <c r="H898" s="241"/>
      <c r="I898" s="301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ht="14.25" customHeight="1">
      <c r="A899" s="302">
        <f t="shared" si="4"/>
        <v>47071</v>
      </c>
      <c r="B899" s="241">
        <f t="shared" si="1"/>
        <v>2028</v>
      </c>
      <c r="C899" s="241">
        <f t="shared" si="2"/>
        <v>11</v>
      </c>
      <c r="D899" s="301" t="str">
        <f t="shared" si="3"/>
        <v>Tuesday</v>
      </c>
      <c r="E899" s="240"/>
      <c r="F899" s="240"/>
      <c r="G899" s="240"/>
      <c r="H899" s="241"/>
      <c r="I899" s="301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ht="14.25" customHeight="1">
      <c r="A900" s="302">
        <f t="shared" si="4"/>
        <v>47072</v>
      </c>
      <c r="B900" s="241">
        <f t="shared" si="1"/>
        <v>2028</v>
      </c>
      <c r="C900" s="241">
        <f t="shared" si="2"/>
        <v>11</v>
      </c>
      <c r="D900" s="301" t="str">
        <f t="shared" si="3"/>
        <v>Wednesday</v>
      </c>
      <c r="E900" s="240"/>
      <c r="F900" s="240"/>
      <c r="G900" s="240"/>
      <c r="H900" s="241"/>
      <c r="I900" s="301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ht="14.25" customHeight="1">
      <c r="A901" s="302">
        <f t="shared" si="4"/>
        <v>47073</v>
      </c>
      <c r="B901" s="241">
        <f t="shared" si="1"/>
        <v>2028</v>
      </c>
      <c r="C901" s="241">
        <f t="shared" si="2"/>
        <v>11</v>
      </c>
      <c r="D901" s="301" t="str">
        <f t="shared" si="3"/>
        <v>Thursday</v>
      </c>
      <c r="E901" s="240"/>
      <c r="F901" s="240"/>
      <c r="G901" s="240"/>
      <c r="H901" s="241"/>
      <c r="I901" s="301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ht="14.25" customHeight="1">
      <c r="A902" s="302">
        <f t="shared" si="4"/>
        <v>47074</v>
      </c>
      <c r="B902" s="241">
        <f t="shared" si="1"/>
        <v>2028</v>
      </c>
      <c r="C902" s="241">
        <f t="shared" si="2"/>
        <v>11</v>
      </c>
      <c r="D902" s="301" t="str">
        <f t="shared" si="3"/>
        <v>Friday</v>
      </c>
      <c r="E902" s="240"/>
      <c r="F902" s="240"/>
      <c r="G902" s="240"/>
      <c r="H902" s="241"/>
      <c r="I902" s="301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ht="14.25" customHeight="1">
      <c r="A903" s="302">
        <f t="shared" si="4"/>
        <v>47075</v>
      </c>
      <c r="B903" s="241">
        <f t="shared" si="1"/>
        <v>2028</v>
      </c>
      <c r="C903" s="241">
        <f t="shared" si="2"/>
        <v>11</v>
      </c>
      <c r="D903" s="301" t="str">
        <f t="shared" si="3"/>
        <v>Saturday</v>
      </c>
      <c r="E903" s="240"/>
      <c r="F903" s="240"/>
      <c r="G903" s="240"/>
      <c r="H903" s="241"/>
      <c r="I903" s="301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ht="14.25" customHeight="1">
      <c r="A904" s="302">
        <f t="shared" si="4"/>
        <v>47076</v>
      </c>
      <c r="B904" s="241">
        <f t="shared" si="1"/>
        <v>2028</v>
      </c>
      <c r="C904" s="241">
        <f t="shared" si="2"/>
        <v>11</v>
      </c>
      <c r="D904" s="301" t="str">
        <f t="shared" si="3"/>
        <v>Sunday</v>
      </c>
      <c r="E904" s="240"/>
      <c r="F904" s="240"/>
      <c r="G904" s="240"/>
      <c r="H904" s="241"/>
      <c r="I904" s="301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ht="14.25" customHeight="1">
      <c r="A905" s="302">
        <f t="shared" si="4"/>
        <v>47077</v>
      </c>
      <c r="B905" s="241">
        <f t="shared" si="1"/>
        <v>2028</v>
      </c>
      <c r="C905" s="241">
        <f t="shared" si="2"/>
        <v>11</v>
      </c>
      <c r="D905" s="301" t="str">
        <f t="shared" si="3"/>
        <v>Monday</v>
      </c>
      <c r="E905" s="240"/>
      <c r="F905" s="240"/>
      <c r="G905" s="240"/>
      <c r="H905" s="241"/>
      <c r="I905" s="301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ht="14.25" customHeight="1">
      <c r="A906" s="302">
        <f t="shared" si="4"/>
        <v>47078</v>
      </c>
      <c r="B906" s="241">
        <f t="shared" si="1"/>
        <v>2028</v>
      </c>
      <c r="C906" s="241">
        <f t="shared" si="2"/>
        <v>11</v>
      </c>
      <c r="D906" s="301" t="str">
        <f t="shared" si="3"/>
        <v>Tuesday</v>
      </c>
      <c r="E906" s="240"/>
      <c r="F906" s="240"/>
      <c r="G906" s="240"/>
      <c r="H906" s="241"/>
      <c r="I906" s="301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ht="14.25" customHeight="1">
      <c r="A907" s="302">
        <f t="shared" si="4"/>
        <v>47079</v>
      </c>
      <c r="B907" s="241">
        <f t="shared" si="1"/>
        <v>2028</v>
      </c>
      <c r="C907" s="241">
        <f t="shared" si="2"/>
        <v>11</v>
      </c>
      <c r="D907" s="301" t="str">
        <f t="shared" si="3"/>
        <v>Wednesday</v>
      </c>
      <c r="E907" s="240"/>
      <c r="F907" s="240"/>
      <c r="G907" s="240"/>
      <c r="H907" s="241"/>
      <c r="I907" s="301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ht="14.25" customHeight="1">
      <c r="A908" s="302">
        <f t="shared" si="4"/>
        <v>47080</v>
      </c>
      <c r="B908" s="241">
        <f t="shared" si="1"/>
        <v>2028</v>
      </c>
      <c r="C908" s="241">
        <f t="shared" si="2"/>
        <v>11</v>
      </c>
      <c r="D908" s="301" t="str">
        <f t="shared" si="3"/>
        <v>Thursday</v>
      </c>
      <c r="E908" s="240"/>
      <c r="F908" s="240"/>
      <c r="G908" s="240"/>
      <c r="H908" s="241"/>
      <c r="I908" s="301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ht="14.25" customHeight="1">
      <c r="A909" s="302">
        <f t="shared" si="4"/>
        <v>47081</v>
      </c>
      <c r="B909" s="241">
        <f t="shared" si="1"/>
        <v>2028</v>
      </c>
      <c r="C909" s="241">
        <f t="shared" si="2"/>
        <v>11</v>
      </c>
      <c r="D909" s="301" t="str">
        <f t="shared" si="3"/>
        <v>Friday</v>
      </c>
      <c r="E909" s="240"/>
      <c r="F909" s="240"/>
      <c r="G909" s="240"/>
      <c r="H909" s="241"/>
      <c r="I909" s="301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ht="14.25" customHeight="1">
      <c r="A910" s="302">
        <f t="shared" si="4"/>
        <v>47082</v>
      </c>
      <c r="B910" s="241">
        <f t="shared" si="1"/>
        <v>2028</v>
      </c>
      <c r="C910" s="241">
        <f t="shared" si="2"/>
        <v>11</v>
      </c>
      <c r="D910" s="301" t="str">
        <f t="shared" si="3"/>
        <v>Saturday</v>
      </c>
      <c r="E910" s="240"/>
      <c r="F910" s="240"/>
      <c r="G910" s="240"/>
      <c r="H910" s="241"/>
      <c r="I910" s="301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ht="14.25" customHeight="1">
      <c r="A911" s="302">
        <f t="shared" si="4"/>
        <v>47083</v>
      </c>
      <c r="B911" s="241">
        <f t="shared" si="1"/>
        <v>2028</v>
      </c>
      <c r="C911" s="241">
        <f t="shared" si="2"/>
        <v>11</v>
      </c>
      <c r="D911" s="301" t="str">
        <f t="shared" si="3"/>
        <v>Sunday</v>
      </c>
      <c r="E911" s="240"/>
      <c r="F911" s="240"/>
      <c r="G911" s="240"/>
      <c r="H911" s="241"/>
      <c r="I911" s="301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ht="14.25" customHeight="1">
      <c r="A912" s="302">
        <f t="shared" si="4"/>
        <v>47084</v>
      </c>
      <c r="B912" s="241">
        <f t="shared" si="1"/>
        <v>2028</v>
      </c>
      <c r="C912" s="241">
        <f t="shared" si="2"/>
        <v>11</v>
      </c>
      <c r="D912" s="301" t="str">
        <f t="shared" si="3"/>
        <v>Monday</v>
      </c>
      <c r="E912" s="240"/>
      <c r="F912" s="240"/>
      <c r="G912" s="240"/>
      <c r="H912" s="241"/>
      <c r="I912" s="301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ht="14.25" customHeight="1">
      <c r="A913" s="302">
        <f t="shared" si="4"/>
        <v>47085</v>
      </c>
      <c r="B913" s="241">
        <f t="shared" si="1"/>
        <v>2028</v>
      </c>
      <c r="C913" s="241">
        <f t="shared" si="2"/>
        <v>11</v>
      </c>
      <c r="D913" s="301" t="str">
        <f t="shared" si="3"/>
        <v>Tuesday</v>
      </c>
      <c r="E913" s="240"/>
      <c r="F913" s="240"/>
      <c r="G913" s="240"/>
      <c r="H913" s="241"/>
      <c r="I913" s="301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ht="14.25" customHeight="1">
      <c r="A914" s="302">
        <f t="shared" si="4"/>
        <v>47086</v>
      </c>
      <c r="B914" s="241">
        <f t="shared" si="1"/>
        <v>2028</v>
      </c>
      <c r="C914" s="241">
        <f t="shared" si="2"/>
        <v>11</v>
      </c>
      <c r="D914" s="301" t="str">
        <f t="shared" si="3"/>
        <v>Wednesday</v>
      </c>
      <c r="E914" s="240"/>
      <c r="F914" s="240"/>
      <c r="G914" s="240"/>
      <c r="H914" s="241"/>
      <c r="I914" s="301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ht="14.25" customHeight="1">
      <c r="A915" s="302">
        <f t="shared" si="4"/>
        <v>47087</v>
      </c>
      <c r="B915" s="241">
        <f t="shared" si="1"/>
        <v>2028</v>
      </c>
      <c r="C915" s="241">
        <f t="shared" si="2"/>
        <v>11</v>
      </c>
      <c r="D915" s="301" t="str">
        <f t="shared" si="3"/>
        <v>Thursday</v>
      </c>
      <c r="E915" s="240"/>
      <c r="F915" s="240"/>
      <c r="G915" s="240"/>
      <c r="H915" s="241"/>
      <c r="I915" s="301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ht="14.25" customHeight="1">
      <c r="A916" s="302">
        <f t="shared" si="4"/>
        <v>47088</v>
      </c>
      <c r="B916" s="241">
        <f t="shared" si="1"/>
        <v>2028</v>
      </c>
      <c r="C916" s="241">
        <f t="shared" si="2"/>
        <v>12</v>
      </c>
      <c r="D916" s="301" t="str">
        <f t="shared" si="3"/>
        <v>Friday</v>
      </c>
      <c r="E916" s="240"/>
      <c r="F916" s="240"/>
      <c r="G916" s="240"/>
      <c r="H916" s="241"/>
      <c r="I916" s="301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ht="14.25" customHeight="1">
      <c r="A917" s="302">
        <f t="shared" si="4"/>
        <v>47089</v>
      </c>
      <c r="B917" s="241">
        <f t="shared" si="1"/>
        <v>2028</v>
      </c>
      <c r="C917" s="241">
        <f t="shared" si="2"/>
        <v>12</v>
      </c>
      <c r="D917" s="301" t="str">
        <f t="shared" si="3"/>
        <v>Saturday</v>
      </c>
      <c r="E917" s="240"/>
      <c r="F917" s="240"/>
      <c r="G917" s="240"/>
      <c r="H917" s="241"/>
      <c r="I917" s="301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ht="14.25" customHeight="1">
      <c r="A918" s="302">
        <f t="shared" si="4"/>
        <v>47090</v>
      </c>
      <c r="B918" s="241">
        <f t="shared" si="1"/>
        <v>2028</v>
      </c>
      <c r="C918" s="241">
        <f t="shared" si="2"/>
        <v>12</v>
      </c>
      <c r="D918" s="301" t="str">
        <f t="shared" si="3"/>
        <v>Sunday</v>
      </c>
      <c r="E918" s="240"/>
      <c r="F918" s="240"/>
      <c r="G918" s="240"/>
      <c r="H918" s="241"/>
      <c r="I918" s="301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ht="14.25" customHeight="1">
      <c r="A919" s="302">
        <f t="shared" si="4"/>
        <v>47091</v>
      </c>
      <c r="B919" s="241">
        <f t="shared" si="1"/>
        <v>2028</v>
      </c>
      <c r="C919" s="241">
        <f t="shared" si="2"/>
        <v>12</v>
      </c>
      <c r="D919" s="301" t="str">
        <f t="shared" si="3"/>
        <v>Monday</v>
      </c>
      <c r="E919" s="240"/>
      <c r="F919" s="240"/>
      <c r="G919" s="240"/>
      <c r="H919" s="241"/>
      <c r="I919" s="301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ht="14.25" customHeight="1">
      <c r="A920" s="302">
        <f t="shared" si="4"/>
        <v>47092</v>
      </c>
      <c r="B920" s="241">
        <f t="shared" si="1"/>
        <v>2028</v>
      </c>
      <c r="C920" s="241">
        <f t="shared" si="2"/>
        <v>12</v>
      </c>
      <c r="D920" s="301" t="str">
        <f t="shared" si="3"/>
        <v>Tuesday</v>
      </c>
      <c r="E920" s="240"/>
      <c r="F920" s="240"/>
      <c r="G920" s="240"/>
      <c r="H920" s="241"/>
      <c r="I920" s="301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ht="14.25" customHeight="1">
      <c r="A921" s="302">
        <f t="shared" si="4"/>
        <v>47093</v>
      </c>
      <c r="B921" s="241">
        <f t="shared" si="1"/>
        <v>2028</v>
      </c>
      <c r="C921" s="241">
        <f t="shared" si="2"/>
        <v>12</v>
      </c>
      <c r="D921" s="301" t="str">
        <f t="shared" si="3"/>
        <v>Wednesday</v>
      </c>
      <c r="E921" s="240"/>
      <c r="F921" s="240"/>
      <c r="G921" s="240"/>
      <c r="H921" s="241"/>
      <c r="I921" s="301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ht="14.25" customHeight="1">
      <c r="A922" s="302">
        <f t="shared" si="4"/>
        <v>47094</v>
      </c>
      <c r="B922" s="241">
        <f t="shared" si="1"/>
        <v>2028</v>
      </c>
      <c r="C922" s="241">
        <f t="shared" si="2"/>
        <v>12</v>
      </c>
      <c r="D922" s="301" t="str">
        <f t="shared" si="3"/>
        <v>Thursday</v>
      </c>
      <c r="E922" s="240"/>
      <c r="F922" s="240"/>
      <c r="G922" s="240"/>
      <c r="H922" s="241"/>
      <c r="I922" s="301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ht="14.25" customHeight="1">
      <c r="A923" s="302">
        <f t="shared" si="4"/>
        <v>47095</v>
      </c>
      <c r="B923" s="241">
        <f t="shared" si="1"/>
        <v>2028</v>
      </c>
      <c r="C923" s="241">
        <f t="shared" si="2"/>
        <v>12</v>
      </c>
      <c r="D923" s="301" t="str">
        <f t="shared" si="3"/>
        <v>Friday</v>
      </c>
      <c r="E923" s="240"/>
      <c r="F923" s="240"/>
      <c r="G923" s="240"/>
      <c r="H923" s="241"/>
      <c r="I923" s="301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ht="14.25" customHeight="1">
      <c r="A924" s="302">
        <f t="shared" si="4"/>
        <v>47096</v>
      </c>
      <c r="B924" s="241">
        <f t="shared" si="1"/>
        <v>2028</v>
      </c>
      <c r="C924" s="241">
        <f t="shared" si="2"/>
        <v>12</v>
      </c>
      <c r="D924" s="301" t="str">
        <f t="shared" si="3"/>
        <v>Saturday</v>
      </c>
      <c r="E924" s="240"/>
      <c r="F924" s="240"/>
      <c r="G924" s="240"/>
      <c r="H924" s="241"/>
      <c r="I924" s="301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ht="14.25" customHeight="1">
      <c r="A925" s="302">
        <f t="shared" si="4"/>
        <v>47097</v>
      </c>
      <c r="B925" s="241">
        <f t="shared" si="1"/>
        <v>2028</v>
      </c>
      <c r="C925" s="241">
        <f t="shared" si="2"/>
        <v>12</v>
      </c>
      <c r="D925" s="301" t="str">
        <f t="shared" si="3"/>
        <v>Sunday</v>
      </c>
      <c r="E925" s="240"/>
      <c r="F925" s="240"/>
      <c r="G925" s="240"/>
      <c r="H925" s="241"/>
      <c r="I925" s="301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ht="14.25" customHeight="1">
      <c r="A926" s="302">
        <f t="shared" si="4"/>
        <v>47098</v>
      </c>
      <c r="B926" s="241">
        <f t="shared" si="1"/>
        <v>2028</v>
      </c>
      <c r="C926" s="241">
        <f t="shared" si="2"/>
        <v>12</v>
      </c>
      <c r="D926" s="301" t="str">
        <f t="shared" si="3"/>
        <v>Monday</v>
      </c>
      <c r="E926" s="240"/>
      <c r="F926" s="240"/>
      <c r="G926" s="240"/>
      <c r="H926" s="241"/>
      <c r="I926" s="301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ht="14.25" customHeight="1">
      <c r="A927" s="302">
        <f t="shared" si="4"/>
        <v>47099</v>
      </c>
      <c r="B927" s="241">
        <f t="shared" si="1"/>
        <v>2028</v>
      </c>
      <c r="C927" s="241">
        <f t="shared" si="2"/>
        <v>12</v>
      </c>
      <c r="D927" s="301" t="str">
        <f t="shared" si="3"/>
        <v>Tuesday</v>
      </c>
      <c r="E927" s="240"/>
      <c r="F927" s="240"/>
      <c r="G927" s="240"/>
      <c r="H927" s="241"/>
      <c r="I927" s="301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ht="14.25" customHeight="1">
      <c r="A928" s="302">
        <f t="shared" si="4"/>
        <v>47100</v>
      </c>
      <c r="B928" s="241">
        <f t="shared" si="1"/>
        <v>2028</v>
      </c>
      <c r="C928" s="241">
        <f t="shared" si="2"/>
        <v>12</v>
      </c>
      <c r="D928" s="301" t="str">
        <f t="shared" si="3"/>
        <v>Wednesday</v>
      </c>
      <c r="E928" s="240"/>
      <c r="F928" s="240"/>
      <c r="G928" s="240"/>
      <c r="H928" s="241"/>
      <c r="I928" s="301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ht="14.25" customHeight="1">
      <c r="A929" s="302">
        <f t="shared" si="4"/>
        <v>47101</v>
      </c>
      <c r="B929" s="241">
        <f t="shared" si="1"/>
        <v>2028</v>
      </c>
      <c r="C929" s="241">
        <f t="shared" si="2"/>
        <v>12</v>
      </c>
      <c r="D929" s="301" t="str">
        <f t="shared" si="3"/>
        <v>Thursday</v>
      </c>
      <c r="E929" s="240"/>
      <c r="F929" s="240"/>
      <c r="G929" s="240"/>
      <c r="H929" s="241"/>
      <c r="I929" s="301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ht="14.25" customHeight="1">
      <c r="A930" s="302">
        <f t="shared" si="4"/>
        <v>47102</v>
      </c>
      <c r="B930" s="241">
        <f t="shared" si="1"/>
        <v>2028</v>
      </c>
      <c r="C930" s="241">
        <f t="shared" si="2"/>
        <v>12</v>
      </c>
      <c r="D930" s="301" t="str">
        <f t="shared" si="3"/>
        <v>Friday</v>
      </c>
      <c r="E930" s="240"/>
      <c r="F930" s="240"/>
      <c r="G930" s="240"/>
      <c r="H930" s="241"/>
      <c r="I930" s="301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ht="14.25" customHeight="1">
      <c r="A931" s="302">
        <f t="shared" si="4"/>
        <v>47103</v>
      </c>
      <c r="B931" s="241">
        <f t="shared" si="1"/>
        <v>2028</v>
      </c>
      <c r="C931" s="241">
        <f t="shared" si="2"/>
        <v>12</v>
      </c>
      <c r="D931" s="301" t="str">
        <f t="shared" si="3"/>
        <v>Saturday</v>
      </c>
      <c r="E931" s="240"/>
      <c r="F931" s="240"/>
      <c r="G931" s="240"/>
      <c r="H931" s="241"/>
      <c r="I931" s="301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ht="14.25" customHeight="1">
      <c r="A932" s="302">
        <f t="shared" si="4"/>
        <v>47104</v>
      </c>
      <c r="B932" s="241">
        <f t="shared" si="1"/>
        <v>2028</v>
      </c>
      <c r="C932" s="241">
        <f t="shared" si="2"/>
        <v>12</v>
      </c>
      <c r="D932" s="301" t="str">
        <f t="shared" si="3"/>
        <v>Sunday</v>
      </c>
      <c r="E932" s="240"/>
      <c r="F932" s="240"/>
      <c r="G932" s="240"/>
      <c r="H932" s="241"/>
      <c r="I932" s="301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ht="14.25" customHeight="1">
      <c r="A933" s="302">
        <f t="shared" si="4"/>
        <v>47105</v>
      </c>
      <c r="B933" s="241">
        <f t="shared" si="1"/>
        <v>2028</v>
      </c>
      <c r="C933" s="241">
        <f t="shared" si="2"/>
        <v>12</v>
      </c>
      <c r="D933" s="301" t="str">
        <f t="shared" si="3"/>
        <v>Monday</v>
      </c>
      <c r="E933" s="240"/>
      <c r="F933" s="240"/>
      <c r="G933" s="240"/>
      <c r="H933" s="241"/>
      <c r="I933" s="301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ht="14.25" customHeight="1">
      <c r="A934" s="302">
        <f t="shared" si="4"/>
        <v>47106</v>
      </c>
      <c r="B934" s="241">
        <f t="shared" si="1"/>
        <v>2028</v>
      </c>
      <c r="C934" s="241">
        <f t="shared" si="2"/>
        <v>12</v>
      </c>
      <c r="D934" s="301" t="str">
        <f t="shared" si="3"/>
        <v>Tuesday</v>
      </c>
      <c r="E934" s="240"/>
      <c r="F934" s="240"/>
      <c r="G934" s="240"/>
      <c r="H934" s="241"/>
      <c r="I934" s="301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ht="14.25" customHeight="1">
      <c r="A935" s="302">
        <f t="shared" si="4"/>
        <v>47107</v>
      </c>
      <c r="B935" s="241">
        <f t="shared" si="1"/>
        <v>2028</v>
      </c>
      <c r="C935" s="241">
        <f t="shared" si="2"/>
        <v>12</v>
      </c>
      <c r="D935" s="301" t="str">
        <f t="shared" si="3"/>
        <v>Wednesday</v>
      </c>
      <c r="E935" s="240"/>
      <c r="F935" s="240"/>
      <c r="G935" s="240"/>
      <c r="H935" s="241"/>
      <c r="I935" s="301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ht="14.25" customHeight="1">
      <c r="A936" s="302">
        <f t="shared" si="4"/>
        <v>47108</v>
      </c>
      <c r="B936" s="241">
        <f t="shared" si="1"/>
        <v>2028</v>
      </c>
      <c r="C936" s="241">
        <f t="shared" si="2"/>
        <v>12</v>
      </c>
      <c r="D936" s="301" t="str">
        <f t="shared" si="3"/>
        <v>Thursday</v>
      </c>
      <c r="E936" s="240"/>
      <c r="F936" s="240"/>
      <c r="G936" s="240"/>
      <c r="H936" s="241"/>
      <c r="I936" s="301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ht="14.25" customHeight="1">
      <c r="A937" s="302">
        <f t="shared" si="4"/>
        <v>47109</v>
      </c>
      <c r="B937" s="241">
        <f t="shared" si="1"/>
        <v>2028</v>
      </c>
      <c r="C937" s="241">
        <f t="shared" si="2"/>
        <v>12</v>
      </c>
      <c r="D937" s="301" t="str">
        <f t="shared" si="3"/>
        <v>Friday</v>
      </c>
      <c r="E937" s="240"/>
      <c r="F937" s="240"/>
      <c r="G937" s="240"/>
      <c r="H937" s="241"/>
      <c r="I937" s="301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ht="14.25" customHeight="1">
      <c r="A938" s="302">
        <f t="shared" si="4"/>
        <v>47110</v>
      </c>
      <c r="B938" s="241">
        <f t="shared" si="1"/>
        <v>2028</v>
      </c>
      <c r="C938" s="241">
        <f t="shared" si="2"/>
        <v>12</v>
      </c>
      <c r="D938" s="301" t="str">
        <f t="shared" si="3"/>
        <v>Saturday</v>
      </c>
      <c r="E938" s="240"/>
      <c r="F938" s="240"/>
      <c r="G938" s="240"/>
      <c r="H938" s="241"/>
      <c r="I938" s="301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ht="14.25" customHeight="1">
      <c r="A939" s="302">
        <f t="shared" si="4"/>
        <v>47111</v>
      </c>
      <c r="B939" s="241">
        <f t="shared" si="1"/>
        <v>2028</v>
      </c>
      <c r="C939" s="241">
        <f t="shared" si="2"/>
        <v>12</v>
      </c>
      <c r="D939" s="301" t="str">
        <f t="shared" si="3"/>
        <v>Sunday</v>
      </c>
      <c r="E939" s="240"/>
      <c r="F939" s="240"/>
      <c r="G939" s="240"/>
      <c r="H939" s="241"/>
      <c r="I939" s="301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ht="14.25" customHeight="1">
      <c r="A940" s="302">
        <f t="shared" si="4"/>
        <v>47112</v>
      </c>
      <c r="B940" s="241">
        <f t="shared" si="1"/>
        <v>2028</v>
      </c>
      <c r="C940" s="241">
        <f t="shared" si="2"/>
        <v>12</v>
      </c>
      <c r="D940" s="301" t="str">
        <f t="shared" si="3"/>
        <v>Monday</v>
      </c>
      <c r="E940" s="240"/>
      <c r="F940" s="240"/>
      <c r="G940" s="240"/>
      <c r="H940" s="241"/>
      <c r="I940" s="301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ht="14.25" customHeight="1">
      <c r="A941" s="302">
        <f t="shared" si="4"/>
        <v>47113</v>
      </c>
      <c r="B941" s="241">
        <f t="shared" si="1"/>
        <v>2028</v>
      </c>
      <c r="C941" s="241">
        <f t="shared" si="2"/>
        <v>12</v>
      </c>
      <c r="D941" s="301" t="str">
        <f t="shared" si="3"/>
        <v>Tuesday</v>
      </c>
      <c r="E941" s="240"/>
      <c r="F941" s="240"/>
      <c r="G941" s="240"/>
      <c r="H941" s="241"/>
      <c r="I941" s="301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ht="14.25" customHeight="1">
      <c r="A942" s="302">
        <f t="shared" si="4"/>
        <v>47114</v>
      </c>
      <c r="B942" s="241">
        <f t="shared" si="1"/>
        <v>2028</v>
      </c>
      <c r="C942" s="241">
        <f t="shared" si="2"/>
        <v>12</v>
      </c>
      <c r="D942" s="301" t="str">
        <f t="shared" si="3"/>
        <v>Wednesday</v>
      </c>
      <c r="E942" s="240"/>
      <c r="F942" s="240"/>
      <c r="G942" s="240"/>
      <c r="H942" s="241"/>
      <c r="I942" s="301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ht="14.25" customHeight="1">
      <c r="A943" s="302">
        <f t="shared" si="4"/>
        <v>47115</v>
      </c>
      <c r="B943" s="241">
        <f t="shared" si="1"/>
        <v>2028</v>
      </c>
      <c r="C943" s="241">
        <f t="shared" si="2"/>
        <v>12</v>
      </c>
      <c r="D943" s="301" t="str">
        <f t="shared" si="3"/>
        <v>Thursday</v>
      </c>
      <c r="E943" s="240"/>
      <c r="F943" s="240"/>
      <c r="G943" s="240"/>
      <c r="H943" s="241"/>
      <c r="I943" s="301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ht="14.25" customHeight="1">
      <c r="A944" s="302">
        <f t="shared" si="4"/>
        <v>47116</v>
      </c>
      <c r="B944" s="241">
        <f t="shared" si="1"/>
        <v>2028</v>
      </c>
      <c r="C944" s="241">
        <f t="shared" si="2"/>
        <v>12</v>
      </c>
      <c r="D944" s="301" t="str">
        <f t="shared" si="3"/>
        <v>Friday</v>
      </c>
      <c r="E944" s="240"/>
      <c r="F944" s="240"/>
      <c r="G944" s="240"/>
      <c r="H944" s="241"/>
      <c r="I944" s="301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ht="14.25" customHeight="1">
      <c r="A945" s="302">
        <f t="shared" si="4"/>
        <v>47117</v>
      </c>
      <c r="B945" s="241">
        <f t="shared" si="1"/>
        <v>2028</v>
      </c>
      <c r="C945" s="241">
        <f t="shared" si="2"/>
        <v>12</v>
      </c>
      <c r="D945" s="301" t="str">
        <f t="shared" si="3"/>
        <v>Saturday</v>
      </c>
      <c r="E945" s="240"/>
      <c r="F945" s="240"/>
      <c r="G945" s="240"/>
      <c r="H945" s="241"/>
      <c r="I945" s="301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ht="14.25" customHeight="1">
      <c r="A946" s="302">
        <f t="shared" si="4"/>
        <v>47118</v>
      </c>
      <c r="B946" s="241">
        <f t="shared" si="1"/>
        <v>2028</v>
      </c>
      <c r="C946" s="241">
        <f t="shared" si="2"/>
        <v>12</v>
      </c>
      <c r="D946" s="301" t="str">
        <f t="shared" si="3"/>
        <v>Sunday</v>
      </c>
      <c r="E946" s="240"/>
      <c r="F946" s="240"/>
      <c r="G946" s="240"/>
      <c r="H946" s="241"/>
      <c r="I946" s="301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ht="14.25" customHeight="1">
      <c r="A947" s="302">
        <f t="shared" si="4"/>
        <v>47119</v>
      </c>
      <c r="B947" s="241">
        <f t="shared" si="1"/>
        <v>2029</v>
      </c>
      <c r="C947" s="241">
        <f t="shared" si="2"/>
        <v>1</v>
      </c>
      <c r="D947" s="301" t="str">
        <f t="shared" si="3"/>
        <v>Monday</v>
      </c>
      <c r="E947" s="240"/>
      <c r="F947" s="240"/>
      <c r="G947" s="240"/>
      <c r="H947" s="241"/>
      <c r="I947" s="301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ht="14.25" customHeight="1">
      <c r="A948" s="302">
        <f t="shared" si="4"/>
        <v>47120</v>
      </c>
      <c r="B948" s="241">
        <f t="shared" si="1"/>
        <v>2029</v>
      </c>
      <c r="C948" s="241">
        <f t="shared" si="2"/>
        <v>1</v>
      </c>
      <c r="D948" s="301" t="str">
        <f t="shared" si="3"/>
        <v>Tuesday</v>
      </c>
      <c r="E948" s="240"/>
      <c r="F948" s="240"/>
      <c r="G948" s="240"/>
      <c r="H948" s="241"/>
      <c r="I948" s="301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ht="14.25" customHeight="1">
      <c r="A949" s="302">
        <f t="shared" si="4"/>
        <v>47121</v>
      </c>
      <c r="B949" s="241">
        <f t="shared" si="1"/>
        <v>2029</v>
      </c>
      <c r="C949" s="241">
        <f t="shared" si="2"/>
        <v>1</v>
      </c>
      <c r="D949" s="301" t="str">
        <f t="shared" si="3"/>
        <v>Wednesday</v>
      </c>
      <c r="E949" s="240"/>
      <c r="F949" s="240"/>
      <c r="G949" s="240"/>
      <c r="H949" s="241"/>
      <c r="I949" s="301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ht="14.25" customHeight="1">
      <c r="A950" s="302">
        <f t="shared" si="4"/>
        <v>47122</v>
      </c>
      <c r="B950" s="241">
        <f t="shared" si="1"/>
        <v>2029</v>
      </c>
      <c r="C950" s="241">
        <f t="shared" si="2"/>
        <v>1</v>
      </c>
      <c r="D950" s="301" t="str">
        <f t="shared" si="3"/>
        <v>Thursday</v>
      </c>
      <c r="E950" s="240"/>
      <c r="F950" s="240"/>
      <c r="G950" s="240"/>
      <c r="H950" s="241"/>
      <c r="I950" s="301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ht="14.25" customHeight="1">
      <c r="A951" s="302">
        <f t="shared" si="4"/>
        <v>47123</v>
      </c>
      <c r="B951" s="241">
        <f t="shared" si="1"/>
        <v>2029</v>
      </c>
      <c r="C951" s="241">
        <f t="shared" si="2"/>
        <v>1</v>
      </c>
      <c r="D951" s="301" t="str">
        <f t="shared" si="3"/>
        <v>Friday</v>
      </c>
      <c r="E951" s="240"/>
      <c r="F951" s="240"/>
      <c r="G951" s="240"/>
      <c r="H951" s="241"/>
      <c r="I951" s="301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ht="14.25" customHeight="1">
      <c r="A952" s="302">
        <f t="shared" si="4"/>
        <v>47124</v>
      </c>
      <c r="B952" s="241">
        <f t="shared" si="1"/>
        <v>2029</v>
      </c>
      <c r="C952" s="241">
        <f t="shared" si="2"/>
        <v>1</v>
      </c>
      <c r="D952" s="301" t="str">
        <f t="shared" si="3"/>
        <v>Saturday</v>
      </c>
      <c r="E952" s="240"/>
      <c r="F952" s="240"/>
      <c r="G952" s="240"/>
      <c r="H952" s="241"/>
      <c r="I952" s="301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ht="14.25" customHeight="1">
      <c r="A953" s="302">
        <f t="shared" si="4"/>
        <v>47125</v>
      </c>
      <c r="B953" s="241">
        <f t="shared" si="1"/>
        <v>2029</v>
      </c>
      <c r="C953" s="241">
        <f t="shared" si="2"/>
        <v>1</v>
      </c>
      <c r="D953" s="301" t="str">
        <f t="shared" si="3"/>
        <v>Sunday</v>
      </c>
      <c r="E953" s="240"/>
      <c r="F953" s="240"/>
      <c r="G953" s="240"/>
      <c r="H953" s="241"/>
      <c r="I953" s="301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ht="14.25" customHeight="1">
      <c r="A954" s="302">
        <f t="shared" si="4"/>
        <v>47126</v>
      </c>
      <c r="B954" s="241">
        <f t="shared" si="1"/>
        <v>2029</v>
      </c>
      <c r="C954" s="241">
        <f t="shared" si="2"/>
        <v>1</v>
      </c>
      <c r="D954" s="301" t="str">
        <f t="shared" si="3"/>
        <v>Monday</v>
      </c>
      <c r="E954" s="240"/>
      <c r="F954" s="240"/>
      <c r="G954" s="240"/>
      <c r="H954" s="241"/>
      <c r="I954" s="301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ht="14.25" customHeight="1">
      <c r="A955" s="302">
        <f t="shared" si="4"/>
        <v>47127</v>
      </c>
      <c r="B955" s="241">
        <f t="shared" si="1"/>
        <v>2029</v>
      </c>
      <c r="C955" s="241">
        <f t="shared" si="2"/>
        <v>1</v>
      </c>
      <c r="D955" s="301" t="str">
        <f t="shared" si="3"/>
        <v>Tuesday</v>
      </c>
      <c r="E955" s="240"/>
      <c r="F955" s="240"/>
      <c r="G955" s="240"/>
      <c r="H955" s="241"/>
      <c r="I955" s="301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ht="14.25" customHeight="1">
      <c r="A956" s="302">
        <f t="shared" si="4"/>
        <v>47128</v>
      </c>
      <c r="B956" s="241">
        <f t="shared" si="1"/>
        <v>2029</v>
      </c>
      <c r="C956" s="241">
        <f t="shared" si="2"/>
        <v>1</v>
      </c>
      <c r="D956" s="301" t="str">
        <f t="shared" si="3"/>
        <v>Wednesday</v>
      </c>
      <c r="E956" s="240"/>
      <c r="F956" s="240"/>
      <c r="G956" s="240"/>
      <c r="H956" s="241"/>
      <c r="I956" s="301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ht="14.25" customHeight="1">
      <c r="A957" s="302">
        <f t="shared" si="4"/>
        <v>47129</v>
      </c>
      <c r="B957" s="241">
        <f t="shared" si="1"/>
        <v>2029</v>
      </c>
      <c r="C957" s="241">
        <f t="shared" si="2"/>
        <v>1</v>
      </c>
      <c r="D957" s="301" t="str">
        <f t="shared" si="3"/>
        <v>Thursday</v>
      </c>
      <c r="E957" s="240"/>
      <c r="F957" s="240"/>
      <c r="G957" s="240"/>
      <c r="H957" s="241"/>
      <c r="I957" s="301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ht="14.25" customHeight="1">
      <c r="A958" s="302">
        <f t="shared" si="4"/>
        <v>47130</v>
      </c>
      <c r="B958" s="241">
        <f t="shared" si="1"/>
        <v>2029</v>
      </c>
      <c r="C958" s="241">
        <f t="shared" si="2"/>
        <v>1</v>
      </c>
      <c r="D958" s="301" t="str">
        <f t="shared" si="3"/>
        <v>Friday</v>
      </c>
      <c r="E958" s="240"/>
      <c r="F958" s="240"/>
      <c r="G958" s="240"/>
      <c r="H958" s="241"/>
      <c r="I958" s="301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ht="14.25" customHeight="1">
      <c r="A959" s="302">
        <f t="shared" si="4"/>
        <v>47131</v>
      </c>
      <c r="B959" s="241">
        <f t="shared" si="1"/>
        <v>2029</v>
      </c>
      <c r="C959" s="241">
        <f t="shared" si="2"/>
        <v>1</v>
      </c>
      <c r="D959" s="301" t="str">
        <f t="shared" si="3"/>
        <v>Saturday</v>
      </c>
      <c r="E959" s="240"/>
      <c r="F959" s="240"/>
      <c r="G959" s="240"/>
      <c r="H959" s="241"/>
      <c r="I959" s="301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ht="14.25" customHeight="1">
      <c r="A960" s="302">
        <f t="shared" si="4"/>
        <v>47132</v>
      </c>
      <c r="B960" s="241">
        <f t="shared" si="1"/>
        <v>2029</v>
      </c>
      <c r="C960" s="241">
        <f t="shared" si="2"/>
        <v>1</v>
      </c>
      <c r="D960" s="301" t="str">
        <f t="shared" si="3"/>
        <v>Sunday</v>
      </c>
      <c r="E960" s="240"/>
      <c r="F960" s="240"/>
      <c r="G960" s="240"/>
      <c r="H960" s="241"/>
      <c r="I960" s="301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ht="14.25" customHeight="1">
      <c r="A961" s="302">
        <f t="shared" si="4"/>
        <v>47133</v>
      </c>
      <c r="B961" s="241">
        <f t="shared" si="1"/>
        <v>2029</v>
      </c>
      <c r="C961" s="241">
        <f t="shared" si="2"/>
        <v>1</v>
      </c>
      <c r="D961" s="301" t="str">
        <f t="shared" si="3"/>
        <v>Monday</v>
      </c>
      <c r="E961" s="240"/>
      <c r="F961" s="240"/>
      <c r="G961" s="240"/>
      <c r="H961" s="241"/>
      <c r="I961" s="301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ht="14.25" customHeight="1">
      <c r="A962" s="302">
        <f t="shared" si="4"/>
        <v>47134</v>
      </c>
      <c r="B962" s="241">
        <f t="shared" si="1"/>
        <v>2029</v>
      </c>
      <c r="C962" s="241">
        <f t="shared" si="2"/>
        <v>1</v>
      </c>
      <c r="D962" s="301" t="str">
        <f t="shared" si="3"/>
        <v>Tuesday</v>
      </c>
      <c r="E962" s="240"/>
      <c r="F962" s="240"/>
      <c r="G962" s="240"/>
      <c r="H962" s="241"/>
      <c r="I962" s="301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ht="14.25" customHeight="1">
      <c r="A963" s="302">
        <f t="shared" si="4"/>
        <v>47135</v>
      </c>
      <c r="B963" s="241">
        <f t="shared" si="1"/>
        <v>2029</v>
      </c>
      <c r="C963" s="241">
        <f t="shared" si="2"/>
        <v>1</v>
      </c>
      <c r="D963" s="301" t="str">
        <f t="shared" si="3"/>
        <v>Wednesday</v>
      </c>
      <c r="E963" s="240"/>
      <c r="F963" s="240"/>
      <c r="G963" s="240"/>
      <c r="H963" s="241"/>
      <c r="I963" s="301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ht="14.25" customHeight="1">
      <c r="A964" s="302">
        <f t="shared" si="4"/>
        <v>47136</v>
      </c>
      <c r="B964" s="241">
        <f t="shared" si="1"/>
        <v>2029</v>
      </c>
      <c r="C964" s="241">
        <f t="shared" si="2"/>
        <v>1</v>
      </c>
      <c r="D964" s="301" t="str">
        <f t="shared" si="3"/>
        <v>Thursday</v>
      </c>
      <c r="E964" s="240"/>
      <c r="F964" s="240"/>
      <c r="G964" s="240"/>
      <c r="H964" s="241"/>
      <c r="I964" s="301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ht="14.25" customHeight="1">
      <c r="A965" s="302">
        <f t="shared" si="4"/>
        <v>47137</v>
      </c>
      <c r="B965" s="241">
        <f t="shared" si="1"/>
        <v>2029</v>
      </c>
      <c r="C965" s="241">
        <f t="shared" si="2"/>
        <v>1</v>
      </c>
      <c r="D965" s="301" t="str">
        <f t="shared" si="3"/>
        <v>Friday</v>
      </c>
      <c r="E965" s="240"/>
      <c r="F965" s="240"/>
      <c r="G965" s="240"/>
      <c r="H965" s="241"/>
      <c r="I965" s="301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ht="14.25" customHeight="1">
      <c r="A966" s="302">
        <f t="shared" si="4"/>
        <v>47138</v>
      </c>
      <c r="B966" s="241">
        <f t="shared" si="1"/>
        <v>2029</v>
      </c>
      <c r="C966" s="241">
        <f t="shared" si="2"/>
        <v>1</v>
      </c>
      <c r="D966" s="301" t="str">
        <f t="shared" si="3"/>
        <v>Saturday</v>
      </c>
      <c r="E966" s="240"/>
      <c r="F966" s="240"/>
      <c r="G966" s="240"/>
      <c r="H966" s="241"/>
      <c r="I966" s="301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ht="14.25" customHeight="1">
      <c r="A967" s="302">
        <f t="shared" si="4"/>
        <v>47139</v>
      </c>
      <c r="B967" s="241">
        <f t="shared" si="1"/>
        <v>2029</v>
      </c>
      <c r="C967" s="241">
        <f t="shared" si="2"/>
        <v>1</v>
      </c>
      <c r="D967" s="301" t="str">
        <f t="shared" si="3"/>
        <v>Sunday</v>
      </c>
      <c r="E967" s="240"/>
      <c r="F967" s="240"/>
      <c r="G967" s="240"/>
      <c r="H967" s="241"/>
      <c r="I967" s="301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ht="14.25" customHeight="1">
      <c r="A968" s="302">
        <f t="shared" si="4"/>
        <v>47140</v>
      </c>
      <c r="B968" s="241">
        <f t="shared" si="1"/>
        <v>2029</v>
      </c>
      <c r="C968" s="241">
        <f t="shared" si="2"/>
        <v>1</v>
      </c>
      <c r="D968" s="301" t="str">
        <f t="shared" si="3"/>
        <v>Monday</v>
      </c>
      <c r="E968" s="240"/>
      <c r="F968" s="240"/>
      <c r="G968" s="240"/>
      <c r="H968" s="241"/>
      <c r="I968" s="301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ht="14.25" customHeight="1">
      <c r="A969" s="302">
        <f t="shared" si="4"/>
        <v>47141</v>
      </c>
      <c r="B969" s="241">
        <f t="shared" si="1"/>
        <v>2029</v>
      </c>
      <c r="C969" s="241">
        <f t="shared" si="2"/>
        <v>1</v>
      </c>
      <c r="D969" s="301" t="str">
        <f t="shared" si="3"/>
        <v>Tuesday</v>
      </c>
      <c r="E969" s="240"/>
      <c r="F969" s="240"/>
      <c r="G969" s="240"/>
      <c r="H969" s="241"/>
      <c r="I969" s="301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ht="14.25" customHeight="1">
      <c r="A970" s="302">
        <f t="shared" si="4"/>
        <v>47142</v>
      </c>
      <c r="B970" s="241">
        <f t="shared" si="1"/>
        <v>2029</v>
      </c>
      <c r="C970" s="241">
        <f t="shared" si="2"/>
        <v>1</v>
      </c>
      <c r="D970" s="301" t="str">
        <f t="shared" si="3"/>
        <v>Wednesday</v>
      </c>
      <c r="E970" s="240"/>
      <c r="F970" s="240"/>
      <c r="G970" s="240"/>
      <c r="H970" s="241"/>
      <c r="I970" s="301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ht="14.25" customHeight="1">
      <c r="A971" s="302">
        <f t="shared" si="4"/>
        <v>47143</v>
      </c>
      <c r="B971" s="241">
        <f t="shared" si="1"/>
        <v>2029</v>
      </c>
      <c r="C971" s="241">
        <f t="shared" si="2"/>
        <v>1</v>
      </c>
      <c r="D971" s="301" t="str">
        <f t="shared" si="3"/>
        <v>Thursday</v>
      </c>
      <c r="E971" s="240"/>
      <c r="F971" s="240"/>
      <c r="G971" s="240"/>
      <c r="H971" s="241"/>
      <c r="I971" s="301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ht="14.25" customHeight="1">
      <c r="A972" s="302">
        <f t="shared" si="4"/>
        <v>47144</v>
      </c>
      <c r="B972" s="241">
        <f t="shared" si="1"/>
        <v>2029</v>
      </c>
      <c r="C972" s="241">
        <f t="shared" si="2"/>
        <v>1</v>
      </c>
      <c r="D972" s="301" t="str">
        <f t="shared" si="3"/>
        <v>Friday</v>
      </c>
      <c r="E972" s="240"/>
      <c r="F972" s="240"/>
      <c r="G972" s="240"/>
      <c r="H972" s="241"/>
      <c r="I972" s="301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ht="14.25" customHeight="1">
      <c r="A973" s="302">
        <f t="shared" si="4"/>
        <v>47145</v>
      </c>
      <c r="B973" s="241">
        <f t="shared" si="1"/>
        <v>2029</v>
      </c>
      <c r="C973" s="241">
        <f t="shared" si="2"/>
        <v>1</v>
      </c>
      <c r="D973" s="301" t="str">
        <f t="shared" si="3"/>
        <v>Saturday</v>
      </c>
      <c r="E973" s="240"/>
      <c r="F973" s="240"/>
      <c r="G973" s="240"/>
      <c r="H973" s="241"/>
      <c r="I973" s="301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ht="14.25" customHeight="1">
      <c r="A974" s="302">
        <f t="shared" si="4"/>
        <v>47146</v>
      </c>
      <c r="B974" s="241">
        <f t="shared" si="1"/>
        <v>2029</v>
      </c>
      <c r="C974" s="241">
        <f t="shared" si="2"/>
        <v>1</v>
      </c>
      <c r="D974" s="301" t="str">
        <f t="shared" si="3"/>
        <v>Sunday</v>
      </c>
      <c r="E974" s="240"/>
      <c r="F974" s="240"/>
      <c r="G974" s="240"/>
      <c r="H974" s="241"/>
      <c r="I974" s="301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ht="14.25" customHeight="1">
      <c r="A975" s="302">
        <f t="shared" si="4"/>
        <v>47147</v>
      </c>
      <c r="B975" s="241">
        <f t="shared" si="1"/>
        <v>2029</v>
      </c>
      <c r="C975" s="241">
        <f t="shared" si="2"/>
        <v>1</v>
      </c>
      <c r="D975" s="301" t="str">
        <f t="shared" si="3"/>
        <v>Monday</v>
      </c>
      <c r="E975" s="240"/>
      <c r="F975" s="240"/>
      <c r="G975" s="240"/>
      <c r="H975" s="241"/>
      <c r="I975" s="301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ht="14.25" customHeight="1">
      <c r="A976" s="302">
        <f t="shared" si="4"/>
        <v>47148</v>
      </c>
      <c r="B976" s="241">
        <f t="shared" si="1"/>
        <v>2029</v>
      </c>
      <c r="C976" s="241">
        <f t="shared" si="2"/>
        <v>1</v>
      </c>
      <c r="D976" s="301" t="str">
        <f t="shared" si="3"/>
        <v>Tuesday</v>
      </c>
      <c r="E976" s="240"/>
      <c r="F976" s="240"/>
      <c r="G976" s="240"/>
      <c r="H976" s="241"/>
      <c r="I976" s="301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ht="14.25" customHeight="1">
      <c r="A977" s="302">
        <f t="shared" si="4"/>
        <v>47149</v>
      </c>
      <c r="B977" s="241">
        <f t="shared" si="1"/>
        <v>2029</v>
      </c>
      <c r="C977" s="241">
        <f t="shared" si="2"/>
        <v>1</v>
      </c>
      <c r="D977" s="301" t="str">
        <f t="shared" si="3"/>
        <v>Wednesday</v>
      </c>
      <c r="E977" s="240"/>
      <c r="F977" s="240"/>
      <c r="G977" s="240"/>
      <c r="H977" s="241"/>
      <c r="I977" s="301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ht="14.25" customHeight="1">
      <c r="A978" s="302">
        <f t="shared" si="4"/>
        <v>47150</v>
      </c>
      <c r="B978" s="241">
        <f t="shared" si="1"/>
        <v>2029</v>
      </c>
      <c r="C978" s="241">
        <f t="shared" si="2"/>
        <v>2</v>
      </c>
      <c r="D978" s="301" t="str">
        <f t="shared" si="3"/>
        <v>Thursday</v>
      </c>
      <c r="E978" s="240"/>
      <c r="F978" s="240"/>
      <c r="G978" s="240"/>
      <c r="H978" s="241"/>
      <c r="I978" s="301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ht="14.25" customHeight="1">
      <c r="A979" s="302">
        <f t="shared" si="4"/>
        <v>47151</v>
      </c>
      <c r="B979" s="241">
        <f t="shared" si="1"/>
        <v>2029</v>
      </c>
      <c r="C979" s="241">
        <f t="shared" si="2"/>
        <v>2</v>
      </c>
      <c r="D979" s="301" t="str">
        <f t="shared" si="3"/>
        <v>Friday</v>
      </c>
      <c r="E979" s="240"/>
      <c r="F979" s="240"/>
      <c r="G979" s="240"/>
      <c r="H979" s="241"/>
      <c r="I979" s="301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ht="14.25" customHeight="1">
      <c r="A980" s="302">
        <f t="shared" si="4"/>
        <v>47152</v>
      </c>
      <c r="B980" s="241">
        <f t="shared" si="1"/>
        <v>2029</v>
      </c>
      <c r="C980" s="241">
        <f t="shared" si="2"/>
        <v>2</v>
      </c>
      <c r="D980" s="301" t="str">
        <f t="shared" si="3"/>
        <v>Saturday</v>
      </c>
      <c r="E980" s="240"/>
      <c r="F980" s="240"/>
      <c r="G980" s="240"/>
      <c r="H980" s="241"/>
      <c r="I980" s="301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ht="14.25" customHeight="1">
      <c r="A981" s="302">
        <f t="shared" si="4"/>
        <v>47153</v>
      </c>
      <c r="B981" s="241">
        <f t="shared" si="1"/>
        <v>2029</v>
      </c>
      <c r="C981" s="241">
        <f t="shared" si="2"/>
        <v>2</v>
      </c>
      <c r="D981" s="301" t="str">
        <f t="shared" si="3"/>
        <v>Sunday</v>
      </c>
      <c r="E981" s="240"/>
      <c r="F981" s="240"/>
      <c r="G981" s="240"/>
      <c r="H981" s="241"/>
      <c r="I981" s="301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ht="14.25" customHeight="1">
      <c r="A982" s="302">
        <f t="shared" si="4"/>
        <v>47154</v>
      </c>
      <c r="B982" s="241">
        <f t="shared" si="1"/>
        <v>2029</v>
      </c>
      <c r="C982" s="241">
        <f t="shared" si="2"/>
        <v>2</v>
      </c>
      <c r="D982" s="301" t="str">
        <f t="shared" si="3"/>
        <v>Monday</v>
      </c>
      <c r="E982" s="240"/>
      <c r="F982" s="240"/>
      <c r="G982" s="240"/>
      <c r="H982" s="241"/>
      <c r="I982" s="301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ht="14.25" customHeight="1">
      <c r="A983" s="302">
        <f t="shared" si="4"/>
        <v>47155</v>
      </c>
      <c r="B983" s="241">
        <f t="shared" si="1"/>
        <v>2029</v>
      </c>
      <c r="C983" s="241">
        <f t="shared" si="2"/>
        <v>2</v>
      </c>
      <c r="D983" s="301" t="str">
        <f t="shared" si="3"/>
        <v>Tuesday</v>
      </c>
      <c r="E983" s="240"/>
      <c r="F983" s="240"/>
      <c r="G983" s="240"/>
      <c r="H983" s="241"/>
      <c r="I983" s="301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ht="14.25" customHeight="1">
      <c r="A984" s="302">
        <f t="shared" si="4"/>
        <v>47156</v>
      </c>
      <c r="B984" s="241">
        <f t="shared" si="1"/>
        <v>2029</v>
      </c>
      <c r="C984" s="241">
        <f t="shared" si="2"/>
        <v>2</v>
      </c>
      <c r="D984" s="301" t="str">
        <f t="shared" si="3"/>
        <v>Wednesday</v>
      </c>
      <c r="E984" s="240"/>
      <c r="F984" s="240"/>
      <c r="G984" s="240"/>
      <c r="H984" s="241"/>
      <c r="I984" s="301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ht="14.25" customHeight="1">
      <c r="A985" s="302">
        <f t="shared" si="4"/>
        <v>47157</v>
      </c>
      <c r="B985" s="241">
        <f t="shared" si="1"/>
        <v>2029</v>
      </c>
      <c r="C985" s="241">
        <f t="shared" si="2"/>
        <v>2</v>
      </c>
      <c r="D985" s="301" t="str">
        <f t="shared" si="3"/>
        <v>Thursday</v>
      </c>
      <c r="E985" s="240"/>
      <c r="F985" s="240"/>
      <c r="G985" s="240"/>
      <c r="H985" s="241"/>
      <c r="I985" s="301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ht="14.25" customHeight="1">
      <c r="A986" s="302">
        <f t="shared" si="4"/>
        <v>47158</v>
      </c>
      <c r="B986" s="241">
        <f t="shared" si="1"/>
        <v>2029</v>
      </c>
      <c r="C986" s="241">
        <f t="shared" si="2"/>
        <v>2</v>
      </c>
      <c r="D986" s="301" t="str">
        <f t="shared" si="3"/>
        <v>Friday</v>
      </c>
      <c r="E986" s="240"/>
      <c r="F986" s="240"/>
      <c r="G986" s="240"/>
      <c r="H986" s="241"/>
      <c r="I986" s="301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ht="14.25" customHeight="1">
      <c r="A987" s="302">
        <f t="shared" si="4"/>
        <v>47159</v>
      </c>
      <c r="B987" s="241">
        <f t="shared" si="1"/>
        <v>2029</v>
      </c>
      <c r="C987" s="241">
        <f t="shared" si="2"/>
        <v>2</v>
      </c>
      <c r="D987" s="301" t="str">
        <f t="shared" si="3"/>
        <v>Saturday</v>
      </c>
      <c r="E987" s="240"/>
      <c r="F987" s="240"/>
      <c r="G987" s="240"/>
      <c r="H987" s="241"/>
      <c r="I987" s="301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ht="14.25" customHeight="1">
      <c r="A988" s="302">
        <f t="shared" si="4"/>
        <v>47160</v>
      </c>
      <c r="B988" s="241">
        <f t="shared" si="1"/>
        <v>2029</v>
      </c>
      <c r="C988" s="241">
        <f t="shared" si="2"/>
        <v>2</v>
      </c>
      <c r="D988" s="301" t="str">
        <f t="shared" si="3"/>
        <v>Sunday</v>
      </c>
      <c r="E988" s="240"/>
      <c r="F988" s="240"/>
      <c r="G988" s="240"/>
      <c r="H988" s="241"/>
      <c r="I988" s="301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ht="14.25" customHeight="1">
      <c r="A989" s="302">
        <f t="shared" si="4"/>
        <v>47161</v>
      </c>
      <c r="B989" s="241">
        <f t="shared" si="1"/>
        <v>2029</v>
      </c>
      <c r="C989" s="241">
        <f t="shared" si="2"/>
        <v>2</v>
      </c>
      <c r="D989" s="301" t="str">
        <f t="shared" si="3"/>
        <v>Monday</v>
      </c>
      <c r="E989" s="240"/>
      <c r="F989" s="240"/>
      <c r="G989" s="240"/>
      <c r="H989" s="241"/>
      <c r="I989" s="301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ht="14.25" customHeight="1">
      <c r="A990" s="302">
        <f t="shared" si="4"/>
        <v>47162</v>
      </c>
      <c r="B990" s="241">
        <f t="shared" si="1"/>
        <v>2029</v>
      </c>
      <c r="C990" s="241">
        <f t="shared" si="2"/>
        <v>2</v>
      </c>
      <c r="D990" s="301" t="str">
        <f t="shared" si="3"/>
        <v>Tuesday</v>
      </c>
      <c r="E990" s="240"/>
      <c r="F990" s="240"/>
      <c r="G990" s="240"/>
      <c r="H990" s="241"/>
      <c r="I990" s="301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ht="14.25" customHeight="1">
      <c r="A991" s="302">
        <f t="shared" si="4"/>
        <v>47163</v>
      </c>
      <c r="B991" s="241">
        <f t="shared" si="1"/>
        <v>2029</v>
      </c>
      <c r="C991" s="241">
        <f t="shared" si="2"/>
        <v>2</v>
      </c>
      <c r="D991" s="301" t="str">
        <f t="shared" si="3"/>
        <v>Wednesday</v>
      </c>
      <c r="E991" s="240"/>
      <c r="F991" s="240"/>
      <c r="G991" s="240"/>
      <c r="H991" s="241"/>
      <c r="I991" s="301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ht="14.25" customHeight="1">
      <c r="A992" s="302">
        <f t="shared" si="4"/>
        <v>47164</v>
      </c>
      <c r="B992" s="241">
        <f t="shared" si="1"/>
        <v>2029</v>
      </c>
      <c r="C992" s="241">
        <f t="shared" si="2"/>
        <v>2</v>
      </c>
      <c r="D992" s="301" t="str">
        <f t="shared" si="3"/>
        <v>Thursday</v>
      </c>
      <c r="E992" s="240"/>
      <c r="F992" s="240"/>
      <c r="G992" s="240"/>
      <c r="H992" s="241"/>
      <c r="I992" s="301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ht="14.25" customHeight="1">
      <c r="A993" s="302">
        <f t="shared" si="4"/>
        <v>47165</v>
      </c>
      <c r="B993" s="241">
        <f t="shared" si="1"/>
        <v>2029</v>
      </c>
      <c r="C993" s="241">
        <f t="shared" si="2"/>
        <v>2</v>
      </c>
      <c r="D993" s="301" t="str">
        <f t="shared" si="3"/>
        <v>Friday</v>
      </c>
      <c r="E993" s="240"/>
      <c r="F993" s="240"/>
      <c r="G993" s="240"/>
      <c r="H993" s="241"/>
      <c r="I993" s="301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ht="14.25" customHeight="1">
      <c r="A994" s="302">
        <f t="shared" si="4"/>
        <v>47166</v>
      </c>
      <c r="B994" s="241">
        <f t="shared" si="1"/>
        <v>2029</v>
      </c>
      <c r="C994" s="241">
        <f t="shared" si="2"/>
        <v>2</v>
      </c>
      <c r="D994" s="301" t="str">
        <f t="shared" si="3"/>
        <v>Saturday</v>
      </c>
      <c r="E994" s="240"/>
      <c r="F994" s="240"/>
      <c r="G994" s="240"/>
      <c r="H994" s="241"/>
      <c r="I994" s="301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ht="14.25" customHeight="1">
      <c r="A995" s="302">
        <f t="shared" si="4"/>
        <v>47167</v>
      </c>
      <c r="B995" s="241">
        <f t="shared" si="1"/>
        <v>2029</v>
      </c>
      <c r="C995" s="241">
        <f t="shared" si="2"/>
        <v>2</v>
      </c>
      <c r="D995" s="301" t="str">
        <f t="shared" si="3"/>
        <v>Sunday</v>
      </c>
      <c r="E995" s="240"/>
      <c r="F995" s="240"/>
      <c r="G995" s="240"/>
      <c r="H995" s="241"/>
      <c r="I995" s="301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ht="14.25" customHeight="1">
      <c r="A996" s="302">
        <f t="shared" si="4"/>
        <v>47168</v>
      </c>
      <c r="B996" s="241">
        <f t="shared" si="1"/>
        <v>2029</v>
      </c>
      <c r="C996" s="241">
        <f t="shared" si="2"/>
        <v>2</v>
      </c>
      <c r="D996" s="301" t="str">
        <f t="shared" si="3"/>
        <v>Monday</v>
      </c>
      <c r="E996" s="240"/>
      <c r="F996" s="240"/>
      <c r="G996" s="240"/>
      <c r="H996" s="241"/>
      <c r="I996" s="301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ht="14.25" customHeight="1">
      <c r="A997" s="302">
        <f t="shared" si="4"/>
        <v>47169</v>
      </c>
      <c r="B997" s="241">
        <f t="shared" si="1"/>
        <v>2029</v>
      </c>
      <c r="C997" s="241">
        <f t="shared" si="2"/>
        <v>2</v>
      </c>
      <c r="D997" s="301" t="str">
        <f t="shared" si="3"/>
        <v>Tuesday</v>
      </c>
      <c r="E997" s="240"/>
      <c r="F997" s="240"/>
      <c r="G997" s="240"/>
      <c r="H997" s="241"/>
      <c r="I997" s="301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ht="14.25" customHeight="1">
      <c r="A998" s="302">
        <f t="shared" si="4"/>
        <v>47170</v>
      </c>
      <c r="B998" s="241">
        <f t="shared" si="1"/>
        <v>2029</v>
      </c>
      <c r="C998" s="241">
        <f t="shared" si="2"/>
        <v>2</v>
      </c>
      <c r="D998" s="301" t="str">
        <f t="shared" si="3"/>
        <v>Wednesday</v>
      </c>
      <c r="E998" s="240"/>
      <c r="F998" s="240"/>
      <c r="G998" s="240"/>
      <c r="H998" s="241"/>
      <c r="I998" s="301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ht="14.25" customHeight="1">
      <c r="A999" s="302">
        <f t="shared" si="4"/>
        <v>47171</v>
      </c>
      <c r="B999" s="241">
        <f t="shared" si="1"/>
        <v>2029</v>
      </c>
      <c r="C999" s="241">
        <f t="shared" si="2"/>
        <v>2</v>
      </c>
      <c r="D999" s="301" t="str">
        <f t="shared" si="3"/>
        <v>Thursday</v>
      </c>
      <c r="E999" s="240"/>
      <c r="F999" s="240"/>
      <c r="G999" s="240"/>
      <c r="H999" s="241"/>
      <c r="I999" s="301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ht="14.25" customHeight="1">
      <c r="A1000" s="302">
        <f t="shared" si="4"/>
        <v>47172</v>
      </c>
      <c r="B1000" s="241">
        <f t="shared" si="1"/>
        <v>2029</v>
      </c>
      <c r="C1000" s="241">
        <f t="shared" si="2"/>
        <v>2</v>
      </c>
      <c r="D1000" s="301" t="str">
        <f t="shared" si="3"/>
        <v>Friday</v>
      </c>
      <c r="E1000" s="240"/>
      <c r="F1000" s="240"/>
      <c r="G1000" s="240"/>
      <c r="H1000" s="241"/>
      <c r="I1000" s="301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  <row r="1001" ht="14.25" customHeight="1">
      <c r="A1001" s="302">
        <f t="shared" si="4"/>
        <v>47173</v>
      </c>
      <c r="B1001" s="241">
        <f t="shared" si="1"/>
        <v>2029</v>
      </c>
      <c r="C1001" s="241">
        <f t="shared" si="2"/>
        <v>2</v>
      </c>
      <c r="D1001" s="301" t="str">
        <f t="shared" si="3"/>
        <v>Saturday</v>
      </c>
      <c r="E1001" s="240"/>
      <c r="F1001" s="240"/>
      <c r="G1001" s="240"/>
      <c r="H1001" s="241"/>
      <c r="I1001" s="301"/>
      <c r="J1001" s="240"/>
      <c r="K1001" s="240"/>
      <c r="L1001" s="240"/>
      <c r="M1001" s="240"/>
      <c r="N1001" s="240"/>
      <c r="O1001" s="240"/>
      <c r="P1001" s="240"/>
      <c r="Q1001" s="240"/>
      <c r="R1001" s="240"/>
      <c r="S1001" s="240"/>
      <c r="T1001" s="240"/>
      <c r="U1001" s="240"/>
      <c r="V1001" s="240"/>
      <c r="W1001" s="240"/>
      <c r="X1001" s="240"/>
      <c r="Y1001" s="240"/>
      <c r="Z1001" s="240"/>
    </row>
    <row r="1002" ht="14.25" customHeight="1">
      <c r="A1002" s="302">
        <f t="shared" si="4"/>
        <v>47174</v>
      </c>
      <c r="B1002" s="241">
        <f t="shared" si="1"/>
        <v>2029</v>
      </c>
      <c r="C1002" s="241">
        <f t="shared" si="2"/>
        <v>2</v>
      </c>
      <c r="D1002" s="301" t="str">
        <f t="shared" si="3"/>
        <v>Sunday</v>
      </c>
      <c r="E1002" s="240"/>
      <c r="F1002" s="240"/>
      <c r="G1002" s="240"/>
      <c r="H1002" s="241"/>
      <c r="I1002" s="301"/>
      <c r="J1002" s="240"/>
      <c r="K1002" s="240"/>
      <c r="L1002" s="240"/>
      <c r="M1002" s="240"/>
      <c r="N1002" s="240"/>
      <c r="O1002" s="240"/>
      <c r="P1002" s="240"/>
      <c r="Q1002" s="240"/>
      <c r="R1002" s="240"/>
      <c r="S1002" s="240"/>
      <c r="T1002" s="240"/>
      <c r="U1002" s="240"/>
      <c r="V1002" s="240"/>
      <c r="W1002" s="240"/>
      <c r="X1002" s="240"/>
      <c r="Y1002" s="240"/>
      <c r="Z1002" s="240"/>
    </row>
    <row r="1003" ht="14.25" customHeight="1">
      <c r="A1003" s="302">
        <f t="shared" si="4"/>
        <v>47175</v>
      </c>
      <c r="B1003" s="241">
        <f t="shared" si="1"/>
        <v>2029</v>
      </c>
      <c r="C1003" s="241">
        <f t="shared" si="2"/>
        <v>2</v>
      </c>
      <c r="D1003" s="301" t="str">
        <f t="shared" si="3"/>
        <v>Monday</v>
      </c>
      <c r="E1003" s="240"/>
      <c r="F1003" s="240"/>
      <c r="G1003" s="240"/>
      <c r="H1003" s="241"/>
      <c r="I1003" s="301"/>
      <c r="J1003" s="240"/>
      <c r="K1003" s="240"/>
      <c r="L1003" s="240"/>
      <c r="M1003" s="240"/>
      <c r="N1003" s="240"/>
      <c r="O1003" s="240"/>
      <c r="P1003" s="240"/>
      <c r="Q1003" s="240"/>
      <c r="R1003" s="240"/>
      <c r="S1003" s="240"/>
      <c r="T1003" s="240"/>
      <c r="U1003" s="240"/>
      <c r="V1003" s="240"/>
      <c r="W1003" s="240"/>
      <c r="X1003" s="240"/>
      <c r="Y1003" s="240"/>
      <c r="Z1003" s="240"/>
    </row>
    <row r="1004" ht="14.25" customHeight="1">
      <c r="A1004" s="302">
        <f t="shared" si="4"/>
        <v>47176</v>
      </c>
      <c r="B1004" s="241">
        <f t="shared" si="1"/>
        <v>2029</v>
      </c>
      <c r="C1004" s="241">
        <f t="shared" si="2"/>
        <v>2</v>
      </c>
      <c r="D1004" s="301" t="str">
        <f t="shared" si="3"/>
        <v>Tuesday</v>
      </c>
      <c r="E1004" s="240"/>
      <c r="F1004" s="240"/>
      <c r="G1004" s="240"/>
      <c r="H1004" s="241"/>
      <c r="I1004" s="301"/>
      <c r="J1004" s="240"/>
      <c r="K1004" s="240"/>
      <c r="L1004" s="240"/>
      <c r="M1004" s="240"/>
      <c r="N1004" s="240"/>
      <c r="O1004" s="240"/>
      <c r="P1004" s="240"/>
      <c r="Q1004" s="240"/>
      <c r="R1004" s="240"/>
      <c r="S1004" s="240"/>
      <c r="T1004" s="240"/>
      <c r="U1004" s="240"/>
      <c r="V1004" s="240"/>
      <c r="W1004" s="240"/>
      <c r="X1004" s="240"/>
      <c r="Y1004" s="240"/>
      <c r="Z1004" s="240"/>
    </row>
    <row r="1005" ht="14.25" customHeight="1">
      <c r="A1005" s="302">
        <f t="shared" si="4"/>
        <v>47177</v>
      </c>
      <c r="B1005" s="241">
        <f t="shared" si="1"/>
        <v>2029</v>
      </c>
      <c r="C1005" s="241">
        <f t="shared" si="2"/>
        <v>2</v>
      </c>
      <c r="D1005" s="301" t="str">
        <f t="shared" si="3"/>
        <v>Wednesday</v>
      </c>
      <c r="E1005" s="240"/>
      <c r="F1005" s="240"/>
      <c r="G1005" s="240"/>
      <c r="H1005" s="241"/>
      <c r="I1005" s="301"/>
      <c r="J1005" s="240"/>
      <c r="K1005" s="240"/>
      <c r="L1005" s="240"/>
      <c r="M1005" s="240"/>
      <c r="N1005" s="240"/>
      <c r="O1005" s="240"/>
      <c r="P1005" s="240"/>
      <c r="Q1005" s="240"/>
      <c r="R1005" s="240"/>
      <c r="S1005" s="240"/>
      <c r="T1005" s="240"/>
      <c r="U1005" s="240"/>
      <c r="V1005" s="240"/>
      <c r="W1005" s="240"/>
      <c r="X1005" s="240"/>
      <c r="Y1005" s="240"/>
      <c r="Z1005" s="240"/>
    </row>
    <row r="1006" ht="14.25" customHeight="1">
      <c r="A1006" s="302">
        <f t="shared" si="4"/>
        <v>47178</v>
      </c>
      <c r="B1006" s="241">
        <f t="shared" si="1"/>
        <v>2029</v>
      </c>
      <c r="C1006" s="241">
        <f t="shared" si="2"/>
        <v>3</v>
      </c>
      <c r="D1006" s="301" t="str">
        <f t="shared" si="3"/>
        <v>Thursday</v>
      </c>
      <c r="E1006" s="240"/>
      <c r="F1006" s="240"/>
      <c r="G1006" s="240"/>
      <c r="H1006" s="241"/>
      <c r="I1006" s="301"/>
      <c r="J1006" s="240"/>
      <c r="K1006" s="240"/>
      <c r="L1006" s="240"/>
      <c r="M1006" s="240"/>
      <c r="N1006" s="240"/>
      <c r="O1006" s="240"/>
      <c r="P1006" s="240"/>
      <c r="Q1006" s="240"/>
      <c r="R1006" s="240"/>
      <c r="S1006" s="240"/>
      <c r="T1006" s="240"/>
      <c r="U1006" s="240"/>
      <c r="V1006" s="240"/>
      <c r="W1006" s="240"/>
      <c r="X1006" s="240"/>
      <c r="Y1006" s="240"/>
      <c r="Z1006" s="240"/>
    </row>
    <row r="1007" ht="14.25" customHeight="1">
      <c r="A1007" s="302">
        <f t="shared" si="4"/>
        <v>47179</v>
      </c>
      <c r="B1007" s="241">
        <f t="shared" si="1"/>
        <v>2029</v>
      </c>
      <c r="C1007" s="241">
        <f t="shared" si="2"/>
        <v>3</v>
      </c>
      <c r="D1007" s="301" t="str">
        <f t="shared" si="3"/>
        <v>Friday</v>
      </c>
      <c r="E1007" s="240"/>
      <c r="F1007" s="240"/>
      <c r="G1007" s="240"/>
      <c r="H1007" s="241"/>
      <c r="I1007" s="301"/>
      <c r="J1007" s="240"/>
      <c r="K1007" s="240"/>
      <c r="L1007" s="240"/>
      <c r="M1007" s="240"/>
      <c r="N1007" s="240"/>
      <c r="O1007" s="240"/>
      <c r="P1007" s="240"/>
      <c r="Q1007" s="240"/>
      <c r="R1007" s="240"/>
      <c r="S1007" s="240"/>
      <c r="T1007" s="240"/>
      <c r="U1007" s="240"/>
      <c r="V1007" s="240"/>
      <c r="W1007" s="240"/>
      <c r="X1007" s="240"/>
      <c r="Y1007" s="240"/>
      <c r="Z1007" s="240"/>
    </row>
    <row r="1008" ht="14.25" customHeight="1">
      <c r="A1008" s="302">
        <f t="shared" si="4"/>
        <v>47180</v>
      </c>
      <c r="B1008" s="241">
        <f t="shared" si="1"/>
        <v>2029</v>
      </c>
      <c r="C1008" s="241">
        <f t="shared" si="2"/>
        <v>3</v>
      </c>
      <c r="D1008" s="301" t="str">
        <f t="shared" si="3"/>
        <v>Saturday</v>
      </c>
      <c r="E1008" s="240"/>
      <c r="F1008" s="240"/>
      <c r="G1008" s="240"/>
      <c r="H1008" s="241"/>
      <c r="I1008" s="301"/>
      <c r="J1008" s="240"/>
      <c r="K1008" s="240"/>
      <c r="L1008" s="240"/>
      <c r="M1008" s="240"/>
      <c r="N1008" s="240"/>
      <c r="O1008" s="240"/>
      <c r="P1008" s="240"/>
      <c r="Q1008" s="240"/>
      <c r="R1008" s="240"/>
      <c r="S1008" s="240"/>
      <c r="T1008" s="240"/>
      <c r="U1008" s="240"/>
      <c r="V1008" s="240"/>
      <c r="W1008" s="240"/>
      <c r="X1008" s="240"/>
      <c r="Y1008" s="240"/>
      <c r="Z1008" s="240"/>
    </row>
    <row r="1009" ht="14.25" customHeight="1">
      <c r="A1009" s="302">
        <f t="shared" si="4"/>
        <v>47181</v>
      </c>
      <c r="B1009" s="241">
        <f t="shared" si="1"/>
        <v>2029</v>
      </c>
      <c r="C1009" s="241">
        <f t="shared" si="2"/>
        <v>3</v>
      </c>
      <c r="D1009" s="301" t="str">
        <f t="shared" si="3"/>
        <v>Sunday</v>
      </c>
      <c r="E1009" s="240"/>
      <c r="F1009" s="240"/>
      <c r="G1009" s="240"/>
      <c r="H1009" s="241"/>
      <c r="I1009" s="301"/>
      <c r="J1009" s="240"/>
      <c r="K1009" s="240"/>
      <c r="L1009" s="240"/>
      <c r="M1009" s="240"/>
      <c r="N1009" s="240"/>
      <c r="O1009" s="240"/>
      <c r="P1009" s="240"/>
      <c r="Q1009" s="240"/>
      <c r="R1009" s="240"/>
      <c r="S1009" s="240"/>
      <c r="T1009" s="240"/>
      <c r="U1009" s="240"/>
      <c r="V1009" s="240"/>
      <c r="W1009" s="240"/>
      <c r="X1009" s="240"/>
      <c r="Y1009" s="240"/>
      <c r="Z1009" s="240"/>
    </row>
    <row r="1010" ht="14.25" customHeight="1">
      <c r="A1010" s="302">
        <f t="shared" si="4"/>
        <v>47182</v>
      </c>
      <c r="B1010" s="241">
        <f t="shared" si="1"/>
        <v>2029</v>
      </c>
      <c r="C1010" s="241">
        <f t="shared" si="2"/>
        <v>3</v>
      </c>
      <c r="D1010" s="301" t="str">
        <f t="shared" si="3"/>
        <v>Monday</v>
      </c>
      <c r="E1010" s="240"/>
      <c r="F1010" s="240"/>
      <c r="G1010" s="240"/>
      <c r="H1010" s="241"/>
      <c r="I1010" s="301"/>
      <c r="J1010" s="240"/>
      <c r="K1010" s="240"/>
      <c r="L1010" s="240"/>
      <c r="M1010" s="240"/>
      <c r="N1010" s="240"/>
      <c r="O1010" s="240"/>
      <c r="P1010" s="240"/>
      <c r="Q1010" s="240"/>
      <c r="R1010" s="240"/>
      <c r="S1010" s="240"/>
      <c r="T1010" s="240"/>
      <c r="U1010" s="240"/>
      <c r="V1010" s="240"/>
      <c r="W1010" s="240"/>
      <c r="X1010" s="240"/>
      <c r="Y1010" s="240"/>
      <c r="Z1010" s="240"/>
    </row>
    <row r="1011" ht="14.25" customHeight="1">
      <c r="A1011" s="302">
        <f t="shared" si="4"/>
        <v>47183</v>
      </c>
      <c r="B1011" s="241">
        <f t="shared" si="1"/>
        <v>2029</v>
      </c>
      <c r="C1011" s="241">
        <f t="shared" si="2"/>
        <v>3</v>
      </c>
      <c r="D1011" s="301" t="str">
        <f t="shared" si="3"/>
        <v>Tuesday</v>
      </c>
      <c r="E1011" s="240"/>
      <c r="F1011" s="240"/>
      <c r="G1011" s="240"/>
      <c r="H1011" s="241"/>
      <c r="I1011" s="301"/>
      <c r="J1011" s="240"/>
      <c r="K1011" s="240"/>
      <c r="L1011" s="240"/>
      <c r="M1011" s="240"/>
      <c r="N1011" s="240"/>
      <c r="O1011" s="240"/>
      <c r="P1011" s="240"/>
      <c r="Q1011" s="240"/>
      <c r="R1011" s="240"/>
      <c r="S1011" s="240"/>
      <c r="T1011" s="240"/>
      <c r="U1011" s="240"/>
      <c r="V1011" s="240"/>
      <c r="W1011" s="240"/>
      <c r="X1011" s="240"/>
      <c r="Y1011" s="240"/>
      <c r="Z1011" s="240"/>
    </row>
    <row r="1012" ht="14.25" customHeight="1">
      <c r="A1012" s="302">
        <f t="shared" si="4"/>
        <v>47184</v>
      </c>
      <c r="B1012" s="241">
        <f t="shared" si="1"/>
        <v>2029</v>
      </c>
      <c r="C1012" s="241">
        <f t="shared" si="2"/>
        <v>3</v>
      </c>
      <c r="D1012" s="301" t="str">
        <f t="shared" si="3"/>
        <v>Wednesday</v>
      </c>
      <c r="E1012" s="240"/>
      <c r="F1012" s="240"/>
      <c r="G1012" s="240"/>
      <c r="H1012" s="241"/>
      <c r="I1012" s="301"/>
      <c r="J1012" s="240"/>
      <c r="K1012" s="240"/>
      <c r="L1012" s="240"/>
      <c r="M1012" s="240"/>
      <c r="N1012" s="240"/>
      <c r="O1012" s="240"/>
      <c r="P1012" s="240"/>
      <c r="Q1012" s="240"/>
      <c r="R1012" s="240"/>
      <c r="S1012" s="240"/>
      <c r="T1012" s="240"/>
      <c r="U1012" s="240"/>
      <c r="V1012" s="240"/>
      <c r="W1012" s="240"/>
      <c r="X1012" s="240"/>
      <c r="Y1012" s="240"/>
      <c r="Z1012" s="240"/>
    </row>
    <row r="1013" ht="14.25" customHeight="1">
      <c r="A1013" s="302">
        <f t="shared" si="4"/>
        <v>47185</v>
      </c>
      <c r="B1013" s="241">
        <f t="shared" si="1"/>
        <v>2029</v>
      </c>
      <c r="C1013" s="241">
        <f t="shared" si="2"/>
        <v>3</v>
      </c>
      <c r="D1013" s="301" t="str">
        <f t="shared" si="3"/>
        <v>Thursday</v>
      </c>
      <c r="E1013" s="240"/>
      <c r="F1013" s="240"/>
      <c r="G1013" s="240"/>
      <c r="H1013" s="241"/>
      <c r="I1013" s="301"/>
      <c r="J1013" s="240"/>
      <c r="K1013" s="240"/>
      <c r="L1013" s="240"/>
      <c r="M1013" s="240"/>
      <c r="N1013" s="240"/>
      <c r="O1013" s="240"/>
      <c r="P1013" s="240"/>
      <c r="Q1013" s="240"/>
      <c r="R1013" s="240"/>
      <c r="S1013" s="240"/>
      <c r="T1013" s="240"/>
      <c r="U1013" s="240"/>
      <c r="V1013" s="240"/>
      <c r="W1013" s="240"/>
      <c r="X1013" s="240"/>
      <c r="Y1013" s="240"/>
      <c r="Z1013" s="240"/>
    </row>
    <row r="1014" ht="14.25" customHeight="1">
      <c r="A1014" s="302">
        <f t="shared" si="4"/>
        <v>47186</v>
      </c>
      <c r="B1014" s="241">
        <f t="shared" si="1"/>
        <v>2029</v>
      </c>
      <c r="C1014" s="241">
        <f t="shared" si="2"/>
        <v>3</v>
      </c>
      <c r="D1014" s="301" t="str">
        <f t="shared" si="3"/>
        <v>Friday</v>
      </c>
      <c r="E1014" s="240"/>
      <c r="F1014" s="240"/>
      <c r="G1014" s="240"/>
      <c r="H1014" s="241"/>
      <c r="I1014" s="301"/>
      <c r="J1014" s="240"/>
      <c r="K1014" s="240"/>
      <c r="L1014" s="240"/>
      <c r="M1014" s="240"/>
      <c r="N1014" s="240"/>
      <c r="O1014" s="240"/>
      <c r="P1014" s="240"/>
      <c r="Q1014" s="240"/>
      <c r="R1014" s="240"/>
      <c r="S1014" s="240"/>
      <c r="T1014" s="240"/>
      <c r="U1014" s="240"/>
      <c r="V1014" s="240"/>
      <c r="W1014" s="240"/>
      <c r="X1014" s="240"/>
      <c r="Y1014" s="240"/>
      <c r="Z1014" s="240"/>
    </row>
    <row r="1015" ht="14.25" customHeight="1">
      <c r="A1015" s="302">
        <f t="shared" si="4"/>
        <v>47187</v>
      </c>
      <c r="B1015" s="241">
        <f t="shared" si="1"/>
        <v>2029</v>
      </c>
      <c r="C1015" s="241">
        <f t="shared" si="2"/>
        <v>3</v>
      </c>
      <c r="D1015" s="301" t="str">
        <f t="shared" si="3"/>
        <v>Saturday</v>
      </c>
      <c r="E1015" s="240"/>
      <c r="F1015" s="240"/>
      <c r="G1015" s="240"/>
      <c r="H1015" s="241"/>
      <c r="I1015" s="301"/>
      <c r="J1015" s="240"/>
      <c r="K1015" s="240"/>
      <c r="L1015" s="240"/>
      <c r="M1015" s="240"/>
      <c r="N1015" s="240"/>
      <c r="O1015" s="240"/>
      <c r="P1015" s="240"/>
      <c r="Q1015" s="240"/>
      <c r="R1015" s="240"/>
      <c r="S1015" s="240"/>
      <c r="T1015" s="240"/>
      <c r="U1015" s="240"/>
      <c r="V1015" s="240"/>
      <c r="W1015" s="240"/>
      <c r="X1015" s="240"/>
      <c r="Y1015" s="240"/>
      <c r="Z1015" s="240"/>
    </row>
    <row r="1016" ht="14.25" customHeight="1">
      <c r="A1016" s="302">
        <f t="shared" si="4"/>
        <v>47188</v>
      </c>
      <c r="B1016" s="241">
        <f t="shared" si="1"/>
        <v>2029</v>
      </c>
      <c r="C1016" s="241">
        <f t="shared" si="2"/>
        <v>3</v>
      </c>
      <c r="D1016" s="301" t="str">
        <f t="shared" si="3"/>
        <v>Sunday</v>
      </c>
      <c r="E1016" s="240"/>
      <c r="F1016" s="240"/>
      <c r="G1016" s="240"/>
      <c r="H1016" s="241"/>
      <c r="I1016" s="301"/>
      <c r="J1016" s="240"/>
      <c r="K1016" s="240"/>
      <c r="L1016" s="240"/>
      <c r="M1016" s="240"/>
      <c r="N1016" s="240"/>
      <c r="O1016" s="240"/>
      <c r="P1016" s="240"/>
      <c r="Q1016" s="240"/>
      <c r="R1016" s="240"/>
      <c r="S1016" s="240"/>
      <c r="T1016" s="240"/>
      <c r="U1016" s="240"/>
      <c r="V1016" s="240"/>
      <c r="W1016" s="240"/>
      <c r="X1016" s="240"/>
      <c r="Y1016" s="240"/>
      <c r="Z1016" s="240"/>
    </row>
    <row r="1017" ht="14.25" customHeight="1">
      <c r="A1017" s="302">
        <f t="shared" si="4"/>
        <v>47189</v>
      </c>
      <c r="B1017" s="241">
        <f t="shared" si="1"/>
        <v>2029</v>
      </c>
      <c r="C1017" s="241">
        <f t="shared" si="2"/>
        <v>3</v>
      </c>
      <c r="D1017" s="301" t="str">
        <f t="shared" si="3"/>
        <v>Monday</v>
      </c>
      <c r="E1017" s="240"/>
      <c r="F1017" s="240"/>
      <c r="G1017" s="240"/>
      <c r="H1017" s="241"/>
      <c r="I1017" s="301"/>
      <c r="J1017" s="240"/>
      <c r="K1017" s="240"/>
      <c r="L1017" s="240"/>
      <c r="M1017" s="240"/>
      <c r="N1017" s="240"/>
      <c r="O1017" s="240"/>
      <c r="P1017" s="240"/>
      <c r="Q1017" s="240"/>
      <c r="R1017" s="240"/>
      <c r="S1017" s="240"/>
      <c r="T1017" s="240"/>
      <c r="U1017" s="240"/>
      <c r="V1017" s="240"/>
      <c r="W1017" s="240"/>
      <c r="X1017" s="240"/>
      <c r="Y1017" s="240"/>
      <c r="Z1017" s="240"/>
    </row>
    <row r="1018" ht="14.25" customHeight="1">
      <c r="A1018" s="302">
        <f t="shared" si="4"/>
        <v>47190</v>
      </c>
      <c r="B1018" s="241">
        <f t="shared" si="1"/>
        <v>2029</v>
      </c>
      <c r="C1018" s="241">
        <f t="shared" si="2"/>
        <v>3</v>
      </c>
      <c r="D1018" s="301" t="str">
        <f t="shared" si="3"/>
        <v>Tuesday</v>
      </c>
      <c r="E1018" s="240"/>
      <c r="F1018" s="240"/>
      <c r="G1018" s="240"/>
      <c r="H1018" s="241"/>
      <c r="I1018" s="301"/>
      <c r="J1018" s="240"/>
      <c r="K1018" s="240"/>
      <c r="L1018" s="240"/>
      <c r="M1018" s="240"/>
      <c r="N1018" s="240"/>
      <c r="O1018" s="240"/>
      <c r="P1018" s="240"/>
      <c r="Q1018" s="240"/>
      <c r="R1018" s="240"/>
      <c r="S1018" s="240"/>
      <c r="T1018" s="240"/>
      <c r="U1018" s="240"/>
      <c r="V1018" s="240"/>
      <c r="W1018" s="240"/>
      <c r="X1018" s="240"/>
      <c r="Y1018" s="240"/>
      <c r="Z1018" s="240"/>
    </row>
    <row r="1019" ht="14.25" customHeight="1">
      <c r="A1019" s="302">
        <f t="shared" si="4"/>
        <v>47191</v>
      </c>
      <c r="B1019" s="241">
        <f t="shared" si="1"/>
        <v>2029</v>
      </c>
      <c r="C1019" s="241">
        <f t="shared" si="2"/>
        <v>3</v>
      </c>
      <c r="D1019" s="301" t="str">
        <f t="shared" si="3"/>
        <v>Wednesday</v>
      </c>
      <c r="E1019" s="240"/>
      <c r="F1019" s="240"/>
      <c r="G1019" s="240"/>
      <c r="H1019" s="241"/>
      <c r="I1019" s="301"/>
      <c r="J1019" s="240"/>
      <c r="K1019" s="240"/>
      <c r="L1019" s="240"/>
      <c r="M1019" s="240"/>
      <c r="N1019" s="240"/>
      <c r="O1019" s="240"/>
      <c r="P1019" s="240"/>
      <c r="Q1019" s="240"/>
      <c r="R1019" s="240"/>
      <c r="S1019" s="240"/>
      <c r="T1019" s="240"/>
      <c r="U1019" s="240"/>
      <c r="V1019" s="240"/>
      <c r="W1019" s="240"/>
      <c r="X1019" s="240"/>
      <c r="Y1019" s="240"/>
      <c r="Z1019" s="240"/>
    </row>
    <row r="1020" ht="14.25" customHeight="1">
      <c r="A1020" s="302">
        <f t="shared" si="4"/>
        <v>47192</v>
      </c>
      <c r="B1020" s="241">
        <f t="shared" si="1"/>
        <v>2029</v>
      </c>
      <c r="C1020" s="241">
        <f t="shared" si="2"/>
        <v>3</v>
      </c>
      <c r="D1020" s="301" t="str">
        <f t="shared" si="3"/>
        <v>Thursday</v>
      </c>
      <c r="E1020" s="240"/>
      <c r="F1020" s="240"/>
      <c r="G1020" s="240"/>
      <c r="H1020" s="241"/>
      <c r="I1020" s="301"/>
      <c r="J1020" s="240"/>
      <c r="K1020" s="240"/>
      <c r="L1020" s="240"/>
      <c r="M1020" s="240"/>
      <c r="N1020" s="240"/>
      <c r="O1020" s="240"/>
      <c r="P1020" s="240"/>
      <c r="Q1020" s="240"/>
      <c r="R1020" s="240"/>
      <c r="S1020" s="240"/>
      <c r="T1020" s="240"/>
      <c r="U1020" s="240"/>
      <c r="V1020" s="240"/>
      <c r="W1020" s="240"/>
      <c r="X1020" s="240"/>
      <c r="Y1020" s="240"/>
      <c r="Z1020" s="240"/>
    </row>
    <row r="1021" ht="14.25" customHeight="1">
      <c r="A1021" s="302">
        <f t="shared" si="4"/>
        <v>47193</v>
      </c>
      <c r="B1021" s="241">
        <f t="shared" si="1"/>
        <v>2029</v>
      </c>
      <c r="C1021" s="241">
        <f t="shared" si="2"/>
        <v>3</v>
      </c>
      <c r="D1021" s="301" t="str">
        <f t="shared" si="3"/>
        <v>Friday</v>
      </c>
      <c r="E1021" s="240"/>
      <c r="F1021" s="240"/>
      <c r="G1021" s="240"/>
      <c r="H1021" s="241"/>
      <c r="I1021" s="301"/>
      <c r="J1021" s="240"/>
      <c r="K1021" s="240"/>
      <c r="L1021" s="240"/>
      <c r="M1021" s="240"/>
      <c r="N1021" s="240"/>
      <c r="O1021" s="240"/>
      <c r="P1021" s="240"/>
      <c r="Q1021" s="240"/>
      <c r="R1021" s="240"/>
      <c r="S1021" s="240"/>
      <c r="T1021" s="240"/>
      <c r="U1021" s="240"/>
      <c r="V1021" s="240"/>
      <c r="W1021" s="240"/>
      <c r="X1021" s="240"/>
      <c r="Y1021" s="240"/>
      <c r="Z1021" s="240"/>
    </row>
    <row r="1022" ht="14.25" customHeight="1">
      <c r="A1022" s="302">
        <f t="shared" si="4"/>
        <v>47194</v>
      </c>
      <c r="B1022" s="241">
        <f t="shared" si="1"/>
        <v>2029</v>
      </c>
      <c r="C1022" s="241">
        <f t="shared" si="2"/>
        <v>3</v>
      </c>
      <c r="D1022" s="301" t="str">
        <f t="shared" si="3"/>
        <v>Saturday</v>
      </c>
      <c r="E1022" s="240"/>
      <c r="F1022" s="240"/>
      <c r="G1022" s="240"/>
      <c r="H1022" s="241"/>
      <c r="I1022" s="301"/>
      <c r="J1022" s="240"/>
      <c r="K1022" s="240"/>
      <c r="L1022" s="240"/>
      <c r="M1022" s="240"/>
      <c r="N1022" s="240"/>
      <c r="O1022" s="240"/>
      <c r="P1022" s="240"/>
      <c r="Q1022" s="240"/>
      <c r="R1022" s="240"/>
      <c r="S1022" s="240"/>
      <c r="T1022" s="240"/>
      <c r="U1022" s="240"/>
      <c r="V1022" s="240"/>
      <c r="W1022" s="240"/>
      <c r="X1022" s="240"/>
      <c r="Y1022" s="240"/>
      <c r="Z1022" s="240"/>
    </row>
    <row r="1023" ht="14.25" customHeight="1">
      <c r="A1023" s="302">
        <f t="shared" si="4"/>
        <v>47195</v>
      </c>
      <c r="B1023" s="241">
        <f t="shared" si="1"/>
        <v>2029</v>
      </c>
      <c r="C1023" s="241">
        <f t="shared" si="2"/>
        <v>3</v>
      </c>
      <c r="D1023" s="301" t="str">
        <f t="shared" si="3"/>
        <v>Sunday</v>
      </c>
      <c r="E1023" s="240"/>
      <c r="F1023" s="240"/>
      <c r="G1023" s="240"/>
      <c r="H1023" s="241"/>
      <c r="I1023" s="301"/>
      <c r="J1023" s="240"/>
      <c r="K1023" s="240"/>
      <c r="L1023" s="240"/>
      <c r="M1023" s="240"/>
      <c r="N1023" s="240"/>
      <c r="O1023" s="240"/>
      <c r="P1023" s="240"/>
      <c r="Q1023" s="240"/>
      <c r="R1023" s="240"/>
      <c r="S1023" s="240"/>
      <c r="T1023" s="240"/>
      <c r="U1023" s="240"/>
      <c r="V1023" s="240"/>
      <c r="W1023" s="240"/>
      <c r="X1023" s="240"/>
      <c r="Y1023" s="240"/>
      <c r="Z1023" s="240"/>
    </row>
    <row r="1024" ht="14.25" customHeight="1">
      <c r="A1024" s="302">
        <f t="shared" si="4"/>
        <v>47196</v>
      </c>
      <c r="B1024" s="241">
        <f t="shared" si="1"/>
        <v>2029</v>
      </c>
      <c r="C1024" s="241">
        <f t="shared" si="2"/>
        <v>3</v>
      </c>
      <c r="D1024" s="301" t="str">
        <f t="shared" si="3"/>
        <v>Monday</v>
      </c>
      <c r="E1024" s="240"/>
      <c r="F1024" s="240"/>
      <c r="G1024" s="240"/>
      <c r="H1024" s="241"/>
      <c r="I1024" s="301"/>
      <c r="J1024" s="240"/>
      <c r="K1024" s="240"/>
      <c r="L1024" s="240"/>
      <c r="M1024" s="240"/>
      <c r="N1024" s="240"/>
      <c r="O1024" s="240"/>
      <c r="P1024" s="240"/>
      <c r="Q1024" s="240"/>
      <c r="R1024" s="240"/>
      <c r="S1024" s="240"/>
      <c r="T1024" s="240"/>
      <c r="U1024" s="240"/>
      <c r="V1024" s="240"/>
      <c r="W1024" s="240"/>
      <c r="X1024" s="240"/>
      <c r="Y1024" s="240"/>
      <c r="Z1024" s="240"/>
    </row>
    <row r="1025" ht="14.25" customHeight="1">
      <c r="A1025" s="302">
        <f t="shared" si="4"/>
        <v>47197</v>
      </c>
      <c r="B1025" s="241">
        <f t="shared" si="1"/>
        <v>2029</v>
      </c>
      <c r="C1025" s="241">
        <f t="shared" si="2"/>
        <v>3</v>
      </c>
      <c r="D1025" s="301" t="str">
        <f t="shared" si="3"/>
        <v>Tuesday</v>
      </c>
      <c r="E1025" s="240"/>
      <c r="F1025" s="240"/>
      <c r="G1025" s="240"/>
      <c r="H1025" s="241"/>
      <c r="I1025" s="301"/>
      <c r="J1025" s="240"/>
      <c r="K1025" s="240"/>
      <c r="L1025" s="240"/>
      <c r="M1025" s="240"/>
      <c r="N1025" s="240"/>
      <c r="O1025" s="240"/>
      <c r="P1025" s="240"/>
      <c r="Q1025" s="240"/>
      <c r="R1025" s="240"/>
      <c r="S1025" s="240"/>
      <c r="T1025" s="240"/>
      <c r="U1025" s="240"/>
      <c r="V1025" s="240"/>
      <c r="W1025" s="240"/>
      <c r="X1025" s="240"/>
      <c r="Y1025" s="240"/>
      <c r="Z1025" s="240"/>
    </row>
    <row r="1026" ht="14.25" customHeight="1">
      <c r="A1026" s="302">
        <f t="shared" si="4"/>
        <v>47198</v>
      </c>
      <c r="B1026" s="241">
        <f t="shared" si="1"/>
        <v>2029</v>
      </c>
      <c r="C1026" s="241">
        <f t="shared" si="2"/>
        <v>3</v>
      </c>
      <c r="D1026" s="301" t="str">
        <f t="shared" si="3"/>
        <v>Wednesday</v>
      </c>
      <c r="E1026" s="240"/>
      <c r="F1026" s="240"/>
      <c r="G1026" s="240"/>
      <c r="H1026" s="241"/>
      <c r="I1026" s="301"/>
      <c r="J1026" s="240"/>
      <c r="K1026" s="240"/>
      <c r="L1026" s="240"/>
      <c r="M1026" s="240"/>
      <c r="N1026" s="240"/>
      <c r="O1026" s="240"/>
      <c r="P1026" s="240"/>
      <c r="Q1026" s="240"/>
      <c r="R1026" s="240"/>
      <c r="S1026" s="240"/>
      <c r="T1026" s="240"/>
      <c r="U1026" s="240"/>
      <c r="V1026" s="240"/>
      <c r="W1026" s="240"/>
      <c r="X1026" s="240"/>
      <c r="Y1026" s="240"/>
      <c r="Z1026" s="240"/>
    </row>
    <row r="1027" ht="14.25" customHeight="1">
      <c r="A1027" s="302">
        <f t="shared" si="4"/>
        <v>47199</v>
      </c>
      <c r="B1027" s="241">
        <f t="shared" si="1"/>
        <v>2029</v>
      </c>
      <c r="C1027" s="241">
        <f t="shared" si="2"/>
        <v>3</v>
      </c>
      <c r="D1027" s="301" t="str">
        <f t="shared" si="3"/>
        <v>Thursday</v>
      </c>
      <c r="E1027" s="240"/>
      <c r="F1027" s="240"/>
      <c r="G1027" s="240"/>
      <c r="H1027" s="241"/>
      <c r="I1027" s="301"/>
      <c r="J1027" s="240"/>
      <c r="K1027" s="240"/>
      <c r="L1027" s="240"/>
      <c r="M1027" s="240"/>
      <c r="N1027" s="240"/>
      <c r="O1027" s="240"/>
      <c r="P1027" s="240"/>
      <c r="Q1027" s="240"/>
      <c r="R1027" s="240"/>
      <c r="S1027" s="240"/>
      <c r="T1027" s="240"/>
      <c r="U1027" s="240"/>
      <c r="V1027" s="240"/>
      <c r="W1027" s="240"/>
      <c r="X1027" s="240"/>
      <c r="Y1027" s="240"/>
      <c r="Z1027" s="240"/>
    </row>
    <row r="1028" ht="14.25" customHeight="1">
      <c r="A1028" s="302">
        <f t="shared" si="4"/>
        <v>47200</v>
      </c>
      <c r="B1028" s="241">
        <f t="shared" si="1"/>
        <v>2029</v>
      </c>
      <c r="C1028" s="241">
        <f t="shared" si="2"/>
        <v>3</v>
      </c>
      <c r="D1028" s="301" t="str">
        <f t="shared" si="3"/>
        <v>Friday</v>
      </c>
      <c r="E1028" s="240"/>
      <c r="F1028" s="240"/>
      <c r="G1028" s="240"/>
      <c r="H1028" s="241"/>
      <c r="I1028" s="301"/>
      <c r="J1028" s="240"/>
      <c r="K1028" s="240"/>
      <c r="L1028" s="240"/>
      <c r="M1028" s="240"/>
      <c r="N1028" s="240"/>
      <c r="O1028" s="240"/>
      <c r="P1028" s="240"/>
      <c r="Q1028" s="240"/>
      <c r="R1028" s="240"/>
      <c r="S1028" s="240"/>
      <c r="T1028" s="240"/>
      <c r="U1028" s="240"/>
      <c r="V1028" s="240"/>
      <c r="W1028" s="240"/>
      <c r="X1028" s="240"/>
      <c r="Y1028" s="240"/>
      <c r="Z1028" s="240"/>
    </row>
    <row r="1029" ht="14.25" customHeight="1">
      <c r="A1029" s="302">
        <f t="shared" si="4"/>
        <v>47201</v>
      </c>
      <c r="B1029" s="241">
        <f t="shared" si="1"/>
        <v>2029</v>
      </c>
      <c r="C1029" s="241">
        <f t="shared" si="2"/>
        <v>3</v>
      </c>
      <c r="D1029" s="301" t="str">
        <f t="shared" si="3"/>
        <v>Saturday</v>
      </c>
      <c r="E1029" s="240"/>
      <c r="F1029" s="240"/>
      <c r="G1029" s="240"/>
      <c r="H1029" s="241"/>
      <c r="I1029" s="301"/>
      <c r="J1029" s="240"/>
      <c r="K1029" s="240"/>
      <c r="L1029" s="240"/>
      <c r="M1029" s="240"/>
      <c r="N1029" s="240"/>
      <c r="O1029" s="240"/>
      <c r="P1029" s="240"/>
      <c r="Q1029" s="240"/>
      <c r="R1029" s="240"/>
      <c r="S1029" s="240"/>
      <c r="T1029" s="240"/>
      <c r="U1029" s="240"/>
      <c r="V1029" s="240"/>
      <c r="W1029" s="240"/>
      <c r="X1029" s="240"/>
      <c r="Y1029" s="240"/>
      <c r="Z1029" s="240"/>
    </row>
    <row r="1030" ht="14.25" customHeight="1">
      <c r="A1030" s="302">
        <f t="shared" si="4"/>
        <v>47202</v>
      </c>
      <c r="B1030" s="241">
        <f t="shared" si="1"/>
        <v>2029</v>
      </c>
      <c r="C1030" s="241">
        <f t="shared" si="2"/>
        <v>3</v>
      </c>
      <c r="D1030" s="301" t="str">
        <f t="shared" si="3"/>
        <v>Sunday</v>
      </c>
      <c r="E1030" s="240"/>
      <c r="F1030" s="240"/>
      <c r="G1030" s="240"/>
      <c r="H1030" s="241"/>
      <c r="I1030" s="301"/>
      <c r="J1030" s="240"/>
      <c r="K1030" s="240"/>
      <c r="L1030" s="240"/>
      <c r="M1030" s="240"/>
      <c r="N1030" s="240"/>
      <c r="O1030" s="240"/>
      <c r="P1030" s="240"/>
      <c r="Q1030" s="240"/>
      <c r="R1030" s="240"/>
      <c r="S1030" s="240"/>
      <c r="T1030" s="240"/>
      <c r="U1030" s="240"/>
      <c r="V1030" s="240"/>
      <c r="W1030" s="240"/>
      <c r="X1030" s="240"/>
      <c r="Y1030" s="240"/>
      <c r="Z1030" s="240"/>
    </row>
    <row r="1031" ht="14.25" customHeight="1">
      <c r="A1031" s="302">
        <f t="shared" si="4"/>
        <v>47203</v>
      </c>
      <c r="B1031" s="241">
        <f t="shared" si="1"/>
        <v>2029</v>
      </c>
      <c r="C1031" s="241">
        <f t="shared" si="2"/>
        <v>3</v>
      </c>
      <c r="D1031" s="301" t="str">
        <f t="shared" si="3"/>
        <v>Monday</v>
      </c>
      <c r="E1031" s="240"/>
      <c r="F1031" s="240"/>
      <c r="G1031" s="240"/>
      <c r="H1031" s="241"/>
      <c r="I1031" s="301"/>
      <c r="J1031" s="240"/>
      <c r="K1031" s="240"/>
      <c r="L1031" s="240"/>
      <c r="M1031" s="240"/>
      <c r="N1031" s="240"/>
      <c r="O1031" s="240"/>
      <c r="P1031" s="240"/>
      <c r="Q1031" s="240"/>
      <c r="R1031" s="240"/>
      <c r="S1031" s="240"/>
      <c r="T1031" s="240"/>
      <c r="U1031" s="240"/>
      <c r="V1031" s="240"/>
      <c r="W1031" s="240"/>
      <c r="X1031" s="240"/>
      <c r="Y1031" s="240"/>
      <c r="Z1031" s="240"/>
    </row>
    <row r="1032" ht="14.25" customHeight="1">
      <c r="A1032" s="302">
        <f t="shared" si="4"/>
        <v>47204</v>
      </c>
      <c r="B1032" s="241">
        <f t="shared" si="1"/>
        <v>2029</v>
      </c>
      <c r="C1032" s="241">
        <f t="shared" si="2"/>
        <v>3</v>
      </c>
      <c r="D1032" s="301" t="str">
        <f t="shared" si="3"/>
        <v>Tuesday</v>
      </c>
      <c r="E1032" s="240"/>
      <c r="F1032" s="240"/>
      <c r="G1032" s="240"/>
      <c r="H1032" s="241"/>
      <c r="I1032" s="301"/>
      <c r="J1032" s="240"/>
      <c r="K1032" s="240"/>
      <c r="L1032" s="240"/>
      <c r="M1032" s="240"/>
      <c r="N1032" s="240"/>
      <c r="O1032" s="240"/>
      <c r="P1032" s="240"/>
      <c r="Q1032" s="240"/>
      <c r="R1032" s="240"/>
      <c r="S1032" s="240"/>
      <c r="T1032" s="240"/>
      <c r="U1032" s="240"/>
      <c r="V1032" s="240"/>
      <c r="W1032" s="240"/>
      <c r="X1032" s="240"/>
      <c r="Y1032" s="240"/>
      <c r="Z1032" s="240"/>
    </row>
    <row r="1033" ht="14.25" customHeight="1">
      <c r="A1033" s="302">
        <f t="shared" si="4"/>
        <v>47205</v>
      </c>
      <c r="B1033" s="241">
        <f t="shared" si="1"/>
        <v>2029</v>
      </c>
      <c r="C1033" s="241">
        <f t="shared" si="2"/>
        <v>3</v>
      </c>
      <c r="D1033" s="301" t="str">
        <f t="shared" si="3"/>
        <v>Wednesday</v>
      </c>
      <c r="E1033" s="240"/>
      <c r="F1033" s="240"/>
      <c r="G1033" s="240"/>
      <c r="H1033" s="241"/>
      <c r="I1033" s="301"/>
      <c r="J1033" s="240"/>
      <c r="K1033" s="240"/>
      <c r="L1033" s="240"/>
      <c r="M1033" s="240"/>
      <c r="N1033" s="240"/>
      <c r="O1033" s="240"/>
      <c r="P1033" s="240"/>
      <c r="Q1033" s="240"/>
      <c r="R1033" s="240"/>
      <c r="S1033" s="240"/>
      <c r="T1033" s="240"/>
      <c r="U1033" s="240"/>
      <c r="V1033" s="240"/>
      <c r="W1033" s="240"/>
      <c r="X1033" s="240"/>
      <c r="Y1033" s="240"/>
      <c r="Z1033" s="240"/>
    </row>
    <row r="1034" ht="14.25" customHeight="1">
      <c r="A1034" s="302">
        <f t="shared" si="4"/>
        <v>47206</v>
      </c>
      <c r="B1034" s="241">
        <f t="shared" si="1"/>
        <v>2029</v>
      </c>
      <c r="C1034" s="241">
        <f t="shared" si="2"/>
        <v>3</v>
      </c>
      <c r="D1034" s="301" t="str">
        <f t="shared" si="3"/>
        <v>Thursday</v>
      </c>
      <c r="E1034" s="240"/>
      <c r="F1034" s="240"/>
      <c r="G1034" s="240"/>
      <c r="H1034" s="241"/>
      <c r="I1034" s="301"/>
      <c r="J1034" s="240"/>
      <c r="K1034" s="240"/>
      <c r="L1034" s="240"/>
      <c r="M1034" s="240"/>
      <c r="N1034" s="240"/>
      <c r="O1034" s="240"/>
      <c r="P1034" s="240"/>
      <c r="Q1034" s="240"/>
      <c r="R1034" s="240"/>
      <c r="S1034" s="240"/>
      <c r="T1034" s="240"/>
      <c r="U1034" s="240"/>
      <c r="V1034" s="240"/>
      <c r="W1034" s="240"/>
      <c r="X1034" s="240"/>
      <c r="Y1034" s="240"/>
      <c r="Z1034" s="240"/>
    </row>
    <row r="1035" ht="14.25" customHeight="1">
      <c r="A1035" s="302">
        <f t="shared" si="4"/>
        <v>47207</v>
      </c>
      <c r="B1035" s="241">
        <f t="shared" si="1"/>
        <v>2029</v>
      </c>
      <c r="C1035" s="241">
        <f t="shared" si="2"/>
        <v>3</v>
      </c>
      <c r="D1035" s="301" t="str">
        <f t="shared" si="3"/>
        <v>Friday</v>
      </c>
      <c r="E1035" s="240"/>
      <c r="F1035" s="240"/>
      <c r="G1035" s="240"/>
      <c r="H1035" s="241"/>
      <c r="I1035" s="301"/>
      <c r="J1035" s="240"/>
      <c r="K1035" s="240"/>
      <c r="L1035" s="240"/>
      <c r="M1035" s="240"/>
      <c r="N1035" s="240"/>
      <c r="O1035" s="240"/>
      <c r="P1035" s="240"/>
      <c r="Q1035" s="240"/>
      <c r="R1035" s="240"/>
      <c r="S1035" s="240"/>
      <c r="T1035" s="240"/>
      <c r="U1035" s="240"/>
      <c r="V1035" s="240"/>
      <c r="W1035" s="240"/>
      <c r="X1035" s="240"/>
      <c r="Y1035" s="240"/>
      <c r="Z1035" s="240"/>
    </row>
    <row r="1036" ht="14.25" customHeight="1">
      <c r="A1036" s="302">
        <f t="shared" si="4"/>
        <v>47208</v>
      </c>
      <c r="B1036" s="241">
        <f t="shared" si="1"/>
        <v>2029</v>
      </c>
      <c r="C1036" s="241">
        <f t="shared" si="2"/>
        <v>3</v>
      </c>
      <c r="D1036" s="301" t="str">
        <f t="shared" si="3"/>
        <v>Saturday</v>
      </c>
      <c r="E1036" s="240"/>
      <c r="F1036" s="240"/>
      <c r="G1036" s="240"/>
      <c r="H1036" s="241"/>
      <c r="I1036" s="301"/>
      <c r="J1036" s="240"/>
      <c r="K1036" s="240"/>
      <c r="L1036" s="240"/>
      <c r="M1036" s="240"/>
      <c r="N1036" s="240"/>
      <c r="O1036" s="240"/>
      <c r="P1036" s="240"/>
      <c r="Q1036" s="240"/>
      <c r="R1036" s="240"/>
      <c r="S1036" s="240"/>
      <c r="T1036" s="240"/>
      <c r="U1036" s="240"/>
      <c r="V1036" s="240"/>
      <c r="W1036" s="240"/>
      <c r="X1036" s="240"/>
      <c r="Y1036" s="240"/>
      <c r="Z1036" s="240"/>
    </row>
    <row r="1037" ht="14.25" customHeight="1">
      <c r="A1037" s="302">
        <f t="shared" si="4"/>
        <v>47209</v>
      </c>
      <c r="B1037" s="241">
        <f t="shared" si="1"/>
        <v>2029</v>
      </c>
      <c r="C1037" s="241">
        <f t="shared" si="2"/>
        <v>4</v>
      </c>
      <c r="D1037" s="301" t="str">
        <f t="shared" si="3"/>
        <v>Sunday</v>
      </c>
      <c r="E1037" s="240"/>
      <c r="F1037" s="240"/>
      <c r="G1037" s="240"/>
      <c r="H1037" s="241"/>
      <c r="I1037" s="301"/>
      <c r="J1037" s="240"/>
      <c r="K1037" s="240"/>
      <c r="L1037" s="240"/>
      <c r="M1037" s="240"/>
      <c r="N1037" s="240"/>
      <c r="O1037" s="240"/>
      <c r="P1037" s="240"/>
      <c r="Q1037" s="240"/>
      <c r="R1037" s="240"/>
      <c r="S1037" s="240"/>
      <c r="T1037" s="240"/>
      <c r="U1037" s="240"/>
      <c r="V1037" s="240"/>
      <c r="W1037" s="240"/>
      <c r="X1037" s="240"/>
      <c r="Y1037" s="240"/>
      <c r="Z1037" s="240"/>
    </row>
    <row r="1038" ht="14.25" customHeight="1">
      <c r="A1038" s="302">
        <f t="shared" si="4"/>
        <v>47210</v>
      </c>
      <c r="B1038" s="241">
        <f t="shared" si="1"/>
        <v>2029</v>
      </c>
      <c r="C1038" s="241">
        <f t="shared" si="2"/>
        <v>4</v>
      </c>
      <c r="D1038" s="301" t="str">
        <f t="shared" si="3"/>
        <v>Monday</v>
      </c>
      <c r="E1038" s="240"/>
      <c r="F1038" s="240"/>
      <c r="G1038" s="240"/>
      <c r="H1038" s="241"/>
      <c r="I1038" s="301"/>
      <c r="J1038" s="240"/>
      <c r="K1038" s="240"/>
      <c r="L1038" s="240"/>
      <c r="M1038" s="240"/>
      <c r="N1038" s="240"/>
      <c r="O1038" s="240"/>
      <c r="P1038" s="240"/>
      <c r="Q1038" s="240"/>
      <c r="R1038" s="240"/>
      <c r="S1038" s="240"/>
      <c r="T1038" s="240"/>
      <c r="U1038" s="240"/>
      <c r="V1038" s="240"/>
      <c r="W1038" s="240"/>
      <c r="X1038" s="240"/>
      <c r="Y1038" s="240"/>
      <c r="Z1038" s="240"/>
    </row>
    <row r="1039" ht="14.25" customHeight="1">
      <c r="A1039" s="302">
        <f t="shared" si="4"/>
        <v>47211</v>
      </c>
      <c r="B1039" s="241">
        <f t="shared" si="1"/>
        <v>2029</v>
      </c>
      <c r="C1039" s="241">
        <f t="shared" si="2"/>
        <v>4</v>
      </c>
      <c r="D1039" s="301" t="str">
        <f t="shared" si="3"/>
        <v>Tuesday</v>
      </c>
      <c r="E1039" s="240"/>
      <c r="F1039" s="240"/>
      <c r="G1039" s="240"/>
      <c r="H1039" s="241"/>
      <c r="I1039" s="301"/>
      <c r="J1039" s="240"/>
      <c r="K1039" s="240"/>
      <c r="L1039" s="240"/>
      <c r="M1039" s="240"/>
      <c r="N1039" s="240"/>
      <c r="O1039" s="240"/>
      <c r="P1039" s="240"/>
      <c r="Q1039" s="240"/>
      <c r="R1039" s="240"/>
      <c r="S1039" s="240"/>
      <c r="T1039" s="240"/>
      <c r="U1039" s="240"/>
      <c r="V1039" s="240"/>
      <c r="W1039" s="240"/>
      <c r="X1039" s="240"/>
      <c r="Y1039" s="240"/>
      <c r="Z1039" s="240"/>
    </row>
    <row r="1040" ht="14.25" customHeight="1">
      <c r="A1040" s="302">
        <f t="shared" si="4"/>
        <v>47212</v>
      </c>
      <c r="B1040" s="241">
        <f t="shared" si="1"/>
        <v>2029</v>
      </c>
      <c r="C1040" s="241">
        <f t="shared" si="2"/>
        <v>4</v>
      </c>
      <c r="D1040" s="301" t="str">
        <f t="shared" si="3"/>
        <v>Wednesday</v>
      </c>
      <c r="E1040" s="240"/>
      <c r="F1040" s="240"/>
      <c r="G1040" s="240"/>
      <c r="H1040" s="241"/>
      <c r="I1040" s="301"/>
      <c r="J1040" s="240"/>
      <c r="K1040" s="240"/>
      <c r="L1040" s="240"/>
      <c r="M1040" s="240"/>
      <c r="N1040" s="240"/>
      <c r="O1040" s="240"/>
      <c r="P1040" s="240"/>
      <c r="Q1040" s="240"/>
      <c r="R1040" s="240"/>
      <c r="S1040" s="240"/>
      <c r="T1040" s="240"/>
      <c r="U1040" s="240"/>
      <c r="V1040" s="240"/>
      <c r="W1040" s="240"/>
      <c r="X1040" s="240"/>
      <c r="Y1040" s="240"/>
      <c r="Z1040" s="240"/>
    </row>
    <row r="1041" ht="14.25" customHeight="1">
      <c r="A1041" s="302">
        <f t="shared" si="4"/>
        <v>47213</v>
      </c>
      <c r="B1041" s="241">
        <f t="shared" si="1"/>
        <v>2029</v>
      </c>
      <c r="C1041" s="241">
        <f t="shared" si="2"/>
        <v>4</v>
      </c>
      <c r="D1041" s="301" t="str">
        <f t="shared" si="3"/>
        <v>Thursday</v>
      </c>
      <c r="E1041" s="240"/>
      <c r="F1041" s="240"/>
      <c r="G1041" s="240"/>
      <c r="H1041" s="241"/>
      <c r="I1041" s="301"/>
      <c r="J1041" s="240"/>
      <c r="K1041" s="240"/>
      <c r="L1041" s="240"/>
      <c r="M1041" s="240"/>
      <c r="N1041" s="240"/>
      <c r="O1041" s="240"/>
      <c r="P1041" s="240"/>
      <c r="Q1041" s="240"/>
      <c r="R1041" s="240"/>
      <c r="S1041" s="240"/>
      <c r="T1041" s="240"/>
      <c r="U1041" s="240"/>
      <c r="V1041" s="240"/>
      <c r="W1041" s="240"/>
      <c r="X1041" s="240"/>
      <c r="Y1041" s="240"/>
      <c r="Z1041" s="240"/>
    </row>
    <row r="1042" ht="14.25" customHeight="1">
      <c r="A1042" s="302">
        <f t="shared" si="4"/>
        <v>47214</v>
      </c>
      <c r="B1042" s="241">
        <f t="shared" si="1"/>
        <v>2029</v>
      </c>
      <c r="C1042" s="241">
        <f t="shared" si="2"/>
        <v>4</v>
      </c>
      <c r="D1042" s="301" t="str">
        <f t="shared" si="3"/>
        <v>Friday</v>
      </c>
      <c r="E1042" s="240"/>
      <c r="F1042" s="240"/>
      <c r="G1042" s="240"/>
      <c r="H1042" s="241"/>
      <c r="I1042" s="301"/>
      <c r="J1042" s="240"/>
      <c r="K1042" s="240"/>
      <c r="L1042" s="240"/>
      <c r="M1042" s="240"/>
      <c r="N1042" s="240"/>
      <c r="O1042" s="240"/>
      <c r="P1042" s="240"/>
      <c r="Q1042" s="240"/>
      <c r="R1042" s="240"/>
      <c r="S1042" s="240"/>
      <c r="T1042" s="240"/>
      <c r="U1042" s="240"/>
      <c r="V1042" s="240"/>
      <c r="W1042" s="240"/>
      <c r="X1042" s="240"/>
      <c r="Y1042" s="240"/>
      <c r="Z1042" s="240"/>
    </row>
    <row r="1043" ht="14.25" customHeight="1">
      <c r="A1043" s="302">
        <f t="shared" si="4"/>
        <v>47215</v>
      </c>
      <c r="B1043" s="241">
        <f t="shared" si="1"/>
        <v>2029</v>
      </c>
      <c r="C1043" s="241">
        <f t="shared" si="2"/>
        <v>4</v>
      </c>
      <c r="D1043" s="301" t="str">
        <f t="shared" si="3"/>
        <v>Saturday</v>
      </c>
      <c r="E1043" s="240"/>
      <c r="F1043" s="240"/>
      <c r="G1043" s="240"/>
      <c r="H1043" s="241"/>
      <c r="I1043" s="301"/>
      <c r="J1043" s="240"/>
      <c r="K1043" s="240"/>
      <c r="L1043" s="240"/>
      <c r="M1043" s="240"/>
      <c r="N1043" s="240"/>
      <c r="O1043" s="240"/>
      <c r="P1043" s="240"/>
      <c r="Q1043" s="240"/>
      <c r="R1043" s="240"/>
      <c r="S1043" s="240"/>
      <c r="T1043" s="240"/>
      <c r="U1043" s="240"/>
      <c r="V1043" s="240"/>
      <c r="W1043" s="240"/>
      <c r="X1043" s="240"/>
      <c r="Y1043" s="240"/>
      <c r="Z1043" s="240"/>
    </row>
    <row r="1044" ht="14.25" customHeight="1">
      <c r="A1044" s="302">
        <f t="shared" si="4"/>
        <v>47216</v>
      </c>
      <c r="B1044" s="241">
        <f t="shared" si="1"/>
        <v>2029</v>
      </c>
      <c r="C1044" s="241">
        <f t="shared" si="2"/>
        <v>4</v>
      </c>
      <c r="D1044" s="301" t="str">
        <f t="shared" si="3"/>
        <v>Sunday</v>
      </c>
      <c r="E1044" s="240"/>
      <c r="F1044" s="240"/>
      <c r="G1044" s="240"/>
      <c r="H1044" s="241"/>
      <c r="I1044" s="301"/>
      <c r="J1044" s="240"/>
      <c r="K1044" s="240"/>
      <c r="L1044" s="240"/>
      <c r="M1044" s="240"/>
      <c r="N1044" s="240"/>
      <c r="O1044" s="240"/>
      <c r="P1044" s="240"/>
      <c r="Q1044" s="240"/>
      <c r="R1044" s="240"/>
      <c r="S1044" s="240"/>
      <c r="T1044" s="240"/>
      <c r="U1044" s="240"/>
      <c r="V1044" s="240"/>
      <c r="W1044" s="240"/>
      <c r="X1044" s="240"/>
      <c r="Y1044" s="240"/>
      <c r="Z1044" s="240"/>
    </row>
    <row r="1045" ht="14.25" customHeight="1">
      <c r="A1045" s="302">
        <f t="shared" si="4"/>
        <v>47217</v>
      </c>
      <c r="B1045" s="241">
        <f t="shared" si="1"/>
        <v>2029</v>
      </c>
      <c r="C1045" s="241">
        <f t="shared" si="2"/>
        <v>4</v>
      </c>
      <c r="D1045" s="301" t="str">
        <f t="shared" si="3"/>
        <v>Monday</v>
      </c>
      <c r="E1045" s="240"/>
      <c r="F1045" s="240"/>
      <c r="G1045" s="240"/>
      <c r="H1045" s="241"/>
      <c r="I1045" s="301"/>
      <c r="J1045" s="240"/>
      <c r="K1045" s="240"/>
      <c r="L1045" s="240"/>
      <c r="M1045" s="240"/>
      <c r="N1045" s="240"/>
      <c r="O1045" s="240"/>
      <c r="P1045" s="240"/>
      <c r="Q1045" s="240"/>
      <c r="R1045" s="240"/>
      <c r="S1045" s="240"/>
      <c r="T1045" s="240"/>
      <c r="U1045" s="240"/>
      <c r="V1045" s="240"/>
      <c r="W1045" s="240"/>
      <c r="X1045" s="240"/>
      <c r="Y1045" s="240"/>
      <c r="Z1045" s="240"/>
    </row>
    <row r="1046" ht="14.25" customHeight="1">
      <c r="A1046" s="302">
        <f t="shared" si="4"/>
        <v>47218</v>
      </c>
      <c r="B1046" s="241">
        <f t="shared" si="1"/>
        <v>2029</v>
      </c>
      <c r="C1046" s="241">
        <f t="shared" si="2"/>
        <v>4</v>
      </c>
      <c r="D1046" s="301" t="str">
        <f t="shared" si="3"/>
        <v>Tuesday</v>
      </c>
      <c r="E1046" s="240"/>
      <c r="F1046" s="240"/>
      <c r="G1046" s="240"/>
      <c r="H1046" s="241"/>
      <c r="I1046" s="301"/>
      <c r="J1046" s="240"/>
      <c r="K1046" s="240"/>
      <c r="L1046" s="240"/>
      <c r="M1046" s="240"/>
      <c r="N1046" s="240"/>
      <c r="O1046" s="240"/>
      <c r="P1046" s="240"/>
      <c r="Q1046" s="240"/>
      <c r="R1046" s="240"/>
      <c r="S1046" s="240"/>
      <c r="T1046" s="240"/>
      <c r="U1046" s="240"/>
      <c r="V1046" s="240"/>
      <c r="W1046" s="240"/>
      <c r="X1046" s="240"/>
      <c r="Y1046" s="240"/>
      <c r="Z1046" s="240"/>
    </row>
    <row r="1047" ht="14.25" customHeight="1">
      <c r="A1047" s="302">
        <f t="shared" si="4"/>
        <v>47219</v>
      </c>
      <c r="B1047" s="241">
        <f t="shared" si="1"/>
        <v>2029</v>
      </c>
      <c r="C1047" s="241">
        <f t="shared" si="2"/>
        <v>4</v>
      </c>
      <c r="D1047" s="301" t="str">
        <f t="shared" si="3"/>
        <v>Wednesday</v>
      </c>
      <c r="E1047" s="240"/>
      <c r="F1047" s="240"/>
      <c r="G1047" s="240"/>
      <c r="H1047" s="241"/>
      <c r="I1047" s="301"/>
      <c r="J1047" s="240"/>
      <c r="K1047" s="240"/>
      <c r="L1047" s="240"/>
      <c r="M1047" s="240"/>
      <c r="N1047" s="240"/>
      <c r="O1047" s="240"/>
      <c r="P1047" s="240"/>
      <c r="Q1047" s="240"/>
      <c r="R1047" s="240"/>
      <c r="S1047" s="240"/>
      <c r="T1047" s="240"/>
      <c r="U1047" s="240"/>
      <c r="V1047" s="240"/>
      <c r="W1047" s="240"/>
      <c r="X1047" s="240"/>
      <c r="Y1047" s="240"/>
      <c r="Z1047" s="240"/>
    </row>
    <row r="1048" ht="14.25" customHeight="1">
      <c r="A1048" s="302">
        <f t="shared" si="4"/>
        <v>47220</v>
      </c>
      <c r="B1048" s="241">
        <f t="shared" si="1"/>
        <v>2029</v>
      </c>
      <c r="C1048" s="241">
        <f t="shared" si="2"/>
        <v>4</v>
      </c>
      <c r="D1048" s="301" t="str">
        <f t="shared" si="3"/>
        <v>Thursday</v>
      </c>
      <c r="E1048" s="240"/>
      <c r="F1048" s="240"/>
      <c r="G1048" s="240"/>
      <c r="H1048" s="241"/>
      <c r="I1048" s="301"/>
      <c r="J1048" s="240"/>
      <c r="K1048" s="240"/>
      <c r="L1048" s="240"/>
      <c r="M1048" s="240"/>
      <c r="N1048" s="240"/>
      <c r="O1048" s="240"/>
      <c r="P1048" s="240"/>
      <c r="Q1048" s="240"/>
      <c r="R1048" s="240"/>
      <c r="S1048" s="240"/>
      <c r="T1048" s="240"/>
      <c r="U1048" s="240"/>
      <c r="V1048" s="240"/>
      <c r="W1048" s="240"/>
      <c r="X1048" s="240"/>
      <c r="Y1048" s="240"/>
      <c r="Z1048" s="240"/>
    </row>
    <row r="1049" ht="14.25" customHeight="1">
      <c r="A1049" s="302">
        <f t="shared" si="4"/>
        <v>47221</v>
      </c>
      <c r="B1049" s="241">
        <f t="shared" si="1"/>
        <v>2029</v>
      </c>
      <c r="C1049" s="241">
        <f t="shared" si="2"/>
        <v>4</v>
      </c>
      <c r="D1049" s="301" t="str">
        <f t="shared" si="3"/>
        <v>Friday</v>
      </c>
      <c r="E1049" s="240"/>
      <c r="F1049" s="240"/>
      <c r="G1049" s="240"/>
      <c r="H1049" s="241"/>
      <c r="I1049" s="301"/>
      <c r="J1049" s="240"/>
      <c r="K1049" s="240"/>
      <c r="L1049" s="240"/>
      <c r="M1049" s="240"/>
      <c r="N1049" s="240"/>
      <c r="O1049" s="240"/>
      <c r="P1049" s="240"/>
      <c r="Q1049" s="240"/>
      <c r="R1049" s="240"/>
      <c r="S1049" s="240"/>
      <c r="T1049" s="240"/>
      <c r="U1049" s="240"/>
      <c r="V1049" s="240"/>
      <c r="W1049" s="240"/>
      <c r="X1049" s="240"/>
      <c r="Y1049" s="240"/>
      <c r="Z1049" s="240"/>
    </row>
    <row r="1050" ht="14.25" customHeight="1">
      <c r="A1050" s="302">
        <f t="shared" si="4"/>
        <v>47222</v>
      </c>
      <c r="B1050" s="241">
        <f t="shared" si="1"/>
        <v>2029</v>
      </c>
      <c r="C1050" s="241">
        <f t="shared" si="2"/>
        <v>4</v>
      </c>
      <c r="D1050" s="301" t="str">
        <f t="shared" si="3"/>
        <v>Saturday</v>
      </c>
      <c r="E1050" s="240"/>
      <c r="F1050" s="240"/>
      <c r="G1050" s="240"/>
      <c r="H1050" s="241"/>
      <c r="I1050" s="301"/>
      <c r="J1050" s="240"/>
      <c r="K1050" s="240"/>
      <c r="L1050" s="240"/>
      <c r="M1050" s="240"/>
      <c r="N1050" s="240"/>
      <c r="O1050" s="240"/>
      <c r="P1050" s="240"/>
      <c r="Q1050" s="240"/>
      <c r="R1050" s="240"/>
      <c r="S1050" s="240"/>
      <c r="T1050" s="240"/>
      <c r="U1050" s="240"/>
      <c r="V1050" s="240"/>
      <c r="W1050" s="240"/>
      <c r="X1050" s="240"/>
      <c r="Y1050" s="240"/>
      <c r="Z1050" s="240"/>
    </row>
    <row r="1051" ht="14.25" customHeight="1">
      <c r="A1051" s="302">
        <f t="shared" si="4"/>
        <v>47223</v>
      </c>
      <c r="B1051" s="241">
        <f t="shared" si="1"/>
        <v>2029</v>
      </c>
      <c r="C1051" s="241">
        <f t="shared" si="2"/>
        <v>4</v>
      </c>
      <c r="D1051" s="301" t="str">
        <f t="shared" si="3"/>
        <v>Sunday</v>
      </c>
      <c r="E1051" s="240"/>
      <c r="F1051" s="240"/>
      <c r="G1051" s="240"/>
      <c r="H1051" s="241"/>
      <c r="I1051" s="301"/>
      <c r="J1051" s="240"/>
      <c r="K1051" s="240"/>
      <c r="L1051" s="240"/>
      <c r="M1051" s="240"/>
      <c r="N1051" s="240"/>
      <c r="O1051" s="240"/>
      <c r="P1051" s="240"/>
      <c r="Q1051" s="240"/>
      <c r="R1051" s="240"/>
      <c r="S1051" s="240"/>
      <c r="T1051" s="240"/>
      <c r="U1051" s="240"/>
      <c r="V1051" s="240"/>
      <c r="W1051" s="240"/>
      <c r="X1051" s="240"/>
      <c r="Y1051" s="240"/>
      <c r="Z1051" s="240"/>
    </row>
    <row r="1052" ht="14.25" customHeight="1">
      <c r="A1052" s="302">
        <f t="shared" si="4"/>
        <v>47224</v>
      </c>
      <c r="B1052" s="241">
        <f t="shared" si="1"/>
        <v>2029</v>
      </c>
      <c r="C1052" s="241">
        <f t="shared" si="2"/>
        <v>4</v>
      </c>
      <c r="D1052" s="301" t="str">
        <f t="shared" si="3"/>
        <v>Monday</v>
      </c>
      <c r="E1052" s="240"/>
      <c r="F1052" s="240"/>
      <c r="G1052" s="240"/>
      <c r="H1052" s="241"/>
      <c r="I1052" s="301"/>
      <c r="J1052" s="240"/>
      <c r="K1052" s="240"/>
      <c r="L1052" s="240"/>
      <c r="M1052" s="240"/>
      <c r="N1052" s="240"/>
      <c r="O1052" s="240"/>
      <c r="P1052" s="240"/>
      <c r="Q1052" s="240"/>
      <c r="R1052" s="240"/>
      <c r="S1052" s="240"/>
      <c r="T1052" s="240"/>
      <c r="U1052" s="240"/>
      <c r="V1052" s="240"/>
      <c r="W1052" s="240"/>
      <c r="X1052" s="240"/>
      <c r="Y1052" s="240"/>
      <c r="Z1052" s="240"/>
    </row>
    <row r="1053" ht="14.25" customHeight="1">
      <c r="A1053" s="302">
        <f t="shared" si="4"/>
        <v>47225</v>
      </c>
      <c r="B1053" s="241">
        <f t="shared" si="1"/>
        <v>2029</v>
      </c>
      <c r="C1053" s="241">
        <f t="shared" si="2"/>
        <v>4</v>
      </c>
      <c r="D1053" s="301" t="str">
        <f t="shared" si="3"/>
        <v>Tuesday</v>
      </c>
      <c r="E1053" s="240"/>
      <c r="F1053" s="240"/>
      <c r="G1053" s="240"/>
      <c r="H1053" s="241"/>
      <c r="I1053" s="301"/>
      <c r="J1053" s="240"/>
      <c r="K1053" s="240"/>
      <c r="L1053" s="240"/>
      <c r="M1053" s="240"/>
      <c r="N1053" s="240"/>
      <c r="O1053" s="240"/>
      <c r="P1053" s="240"/>
      <c r="Q1053" s="240"/>
      <c r="R1053" s="240"/>
      <c r="S1053" s="240"/>
      <c r="T1053" s="240"/>
      <c r="U1053" s="240"/>
      <c r="V1053" s="240"/>
      <c r="W1053" s="240"/>
      <c r="X1053" s="240"/>
      <c r="Y1053" s="240"/>
      <c r="Z1053" s="240"/>
    </row>
    <row r="1054" ht="14.25" customHeight="1">
      <c r="A1054" s="302">
        <f t="shared" si="4"/>
        <v>47226</v>
      </c>
      <c r="B1054" s="241">
        <f t="shared" si="1"/>
        <v>2029</v>
      </c>
      <c r="C1054" s="241">
        <f t="shared" si="2"/>
        <v>4</v>
      </c>
      <c r="D1054" s="301" t="str">
        <f t="shared" si="3"/>
        <v>Wednesday</v>
      </c>
      <c r="E1054" s="240"/>
      <c r="F1054" s="240"/>
      <c r="G1054" s="240"/>
      <c r="H1054" s="241"/>
      <c r="I1054" s="301"/>
      <c r="J1054" s="240"/>
      <c r="K1054" s="240"/>
      <c r="L1054" s="240"/>
      <c r="M1054" s="240"/>
      <c r="N1054" s="240"/>
      <c r="O1054" s="240"/>
      <c r="P1054" s="240"/>
      <c r="Q1054" s="240"/>
      <c r="R1054" s="240"/>
      <c r="S1054" s="240"/>
      <c r="T1054" s="240"/>
      <c r="U1054" s="240"/>
      <c r="V1054" s="240"/>
      <c r="W1054" s="240"/>
      <c r="X1054" s="240"/>
      <c r="Y1054" s="240"/>
      <c r="Z1054" s="240"/>
    </row>
    <row r="1055" ht="14.25" customHeight="1">
      <c r="A1055" s="302">
        <f t="shared" si="4"/>
        <v>47227</v>
      </c>
      <c r="B1055" s="241">
        <f t="shared" si="1"/>
        <v>2029</v>
      </c>
      <c r="C1055" s="241">
        <f t="shared" si="2"/>
        <v>4</v>
      </c>
      <c r="D1055" s="301" t="str">
        <f t="shared" si="3"/>
        <v>Thursday</v>
      </c>
      <c r="E1055" s="240"/>
      <c r="F1055" s="240"/>
      <c r="G1055" s="240"/>
      <c r="H1055" s="241"/>
      <c r="I1055" s="301"/>
      <c r="J1055" s="240"/>
      <c r="K1055" s="240"/>
      <c r="L1055" s="240"/>
      <c r="M1055" s="240"/>
      <c r="N1055" s="240"/>
      <c r="O1055" s="240"/>
      <c r="P1055" s="240"/>
      <c r="Q1055" s="240"/>
      <c r="R1055" s="240"/>
      <c r="S1055" s="240"/>
      <c r="T1055" s="240"/>
      <c r="U1055" s="240"/>
      <c r="V1055" s="240"/>
      <c r="W1055" s="240"/>
      <c r="X1055" s="240"/>
      <c r="Y1055" s="240"/>
      <c r="Z1055" s="240"/>
    </row>
    <row r="1056" ht="14.25" customHeight="1">
      <c r="A1056" s="302">
        <f t="shared" si="4"/>
        <v>47228</v>
      </c>
      <c r="B1056" s="241">
        <f t="shared" si="1"/>
        <v>2029</v>
      </c>
      <c r="C1056" s="241">
        <f t="shared" si="2"/>
        <v>4</v>
      </c>
      <c r="D1056" s="301" t="str">
        <f t="shared" si="3"/>
        <v>Friday</v>
      </c>
      <c r="E1056" s="240"/>
      <c r="F1056" s="240"/>
      <c r="G1056" s="240"/>
      <c r="H1056" s="241"/>
      <c r="I1056" s="301"/>
      <c r="J1056" s="240"/>
      <c r="K1056" s="240"/>
      <c r="L1056" s="240"/>
      <c r="M1056" s="240"/>
      <c r="N1056" s="240"/>
      <c r="O1056" s="240"/>
      <c r="P1056" s="240"/>
      <c r="Q1056" s="240"/>
      <c r="R1056" s="240"/>
      <c r="S1056" s="240"/>
      <c r="T1056" s="240"/>
      <c r="U1056" s="240"/>
      <c r="V1056" s="240"/>
      <c r="W1056" s="240"/>
      <c r="X1056" s="240"/>
      <c r="Y1056" s="240"/>
      <c r="Z1056" s="240"/>
    </row>
    <row r="1057" ht="14.25" customHeight="1">
      <c r="A1057" s="302">
        <f t="shared" si="4"/>
        <v>47229</v>
      </c>
      <c r="B1057" s="241">
        <f t="shared" si="1"/>
        <v>2029</v>
      </c>
      <c r="C1057" s="241">
        <f t="shared" si="2"/>
        <v>4</v>
      </c>
      <c r="D1057" s="301" t="str">
        <f t="shared" si="3"/>
        <v>Saturday</v>
      </c>
      <c r="E1057" s="240"/>
      <c r="F1057" s="240"/>
      <c r="G1057" s="240"/>
      <c r="H1057" s="241"/>
      <c r="I1057" s="301"/>
      <c r="J1057" s="240"/>
      <c r="K1057" s="240"/>
      <c r="L1057" s="240"/>
      <c r="M1057" s="240"/>
      <c r="N1057" s="240"/>
      <c r="O1057" s="240"/>
      <c r="P1057" s="240"/>
      <c r="Q1057" s="240"/>
      <c r="R1057" s="240"/>
      <c r="S1057" s="240"/>
      <c r="T1057" s="240"/>
      <c r="U1057" s="240"/>
      <c r="V1057" s="240"/>
      <c r="W1057" s="240"/>
      <c r="X1057" s="240"/>
      <c r="Y1057" s="240"/>
      <c r="Z1057" s="240"/>
    </row>
    <row r="1058" ht="14.25" customHeight="1">
      <c r="A1058" s="302">
        <f t="shared" si="4"/>
        <v>47230</v>
      </c>
      <c r="B1058" s="241">
        <f t="shared" si="1"/>
        <v>2029</v>
      </c>
      <c r="C1058" s="241">
        <f t="shared" si="2"/>
        <v>4</v>
      </c>
      <c r="D1058" s="301" t="str">
        <f t="shared" si="3"/>
        <v>Sunday</v>
      </c>
      <c r="E1058" s="240"/>
      <c r="F1058" s="240"/>
      <c r="G1058" s="240"/>
      <c r="H1058" s="241"/>
      <c r="I1058" s="301"/>
      <c r="J1058" s="240"/>
      <c r="K1058" s="240"/>
      <c r="L1058" s="240"/>
      <c r="M1058" s="240"/>
      <c r="N1058" s="240"/>
      <c r="O1058" s="240"/>
      <c r="P1058" s="240"/>
      <c r="Q1058" s="240"/>
      <c r="R1058" s="240"/>
      <c r="S1058" s="240"/>
      <c r="T1058" s="240"/>
      <c r="U1058" s="240"/>
      <c r="V1058" s="240"/>
      <c r="W1058" s="240"/>
      <c r="X1058" s="240"/>
      <c r="Y1058" s="240"/>
      <c r="Z1058" s="240"/>
    </row>
    <row r="1059" ht="14.25" customHeight="1">
      <c r="A1059" s="302">
        <f t="shared" si="4"/>
        <v>47231</v>
      </c>
      <c r="B1059" s="241">
        <f t="shared" si="1"/>
        <v>2029</v>
      </c>
      <c r="C1059" s="241">
        <f t="shared" si="2"/>
        <v>4</v>
      </c>
      <c r="D1059" s="301" t="str">
        <f t="shared" si="3"/>
        <v>Monday</v>
      </c>
      <c r="E1059" s="240"/>
      <c r="F1059" s="240"/>
      <c r="G1059" s="240"/>
      <c r="H1059" s="241"/>
      <c r="I1059" s="301"/>
      <c r="J1059" s="240"/>
      <c r="K1059" s="240"/>
      <c r="L1059" s="240"/>
      <c r="M1059" s="240"/>
      <c r="N1059" s="240"/>
      <c r="O1059" s="240"/>
      <c r="P1059" s="240"/>
      <c r="Q1059" s="240"/>
      <c r="R1059" s="240"/>
      <c r="S1059" s="240"/>
      <c r="T1059" s="240"/>
      <c r="U1059" s="240"/>
      <c r="V1059" s="240"/>
      <c r="W1059" s="240"/>
      <c r="X1059" s="240"/>
      <c r="Y1059" s="240"/>
      <c r="Z1059" s="240"/>
    </row>
    <row r="1060" ht="14.25" customHeight="1">
      <c r="A1060" s="302">
        <f t="shared" si="4"/>
        <v>47232</v>
      </c>
      <c r="B1060" s="241">
        <f t="shared" si="1"/>
        <v>2029</v>
      </c>
      <c r="C1060" s="241">
        <f t="shared" si="2"/>
        <v>4</v>
      </c>
      <c r="D1060" s="301" t="str">
        <f t="shared" si="3"/>
        <v>Tuesday</v>
      </c>
      <c r="E1060" s="240"/>
      <c r="F1060" s="240"/>
      <c r="G1060" s="240"/>
      <c r="H1060" s="241"/>
      <c r="I1060" s="301"/>
      <c r="J1060" s="240"/>
      <c r="K1060" s="240"/>
      <c r="L1060" s="240"/>
      <c r="M1060" s="240"/>
      <c r="N1060" s="240"/>
      <c r="O1060" s="240"/>
      <c r="P1060" s="240"/>
      <c r="Q1060" s="240"/>
      <c r="R1060" s="240"/>
      <c r="S1060" s="240"/>
      <c r="T1060" s="240"/>
      <c r="U1060" s="240"/>
      <c r="V1060" s="240"/>
      <c r="W1060" s="240"/>
      <c r="X1060" s="240"/>
      <c r="Y1060" s="240"/>
      <c r="Z1060" s="240"/>
    </row>
    <row r="1061" ht="14.25" customHeight="1">
      <c r="A1061" s="302">
        <f t="shared" si="4"/>
        <v>47233</v>
      </c>
      <c r="B1061" s="241">
        <f t="shared" si="1"/>
        <v>2029</v>
      </c>
      <c r="C1061" s="241">
        <f t="shared" si="2"/>
        <v>4</v>
      </c>
      <c r="D1061" s="301" t="str">
        <f t="shared" si="3"/>
        <v>Wednesday</v>
      </c>
      <c r="E1061" s="240"/>
      <c r="F1061" s="240"/>
      <c r="G1061" s="240"/>
      <c r="H1061" s="241"/>
      <c r="I1061" s="301"/>
      <c r="J1061" s="240"/>
      <c r="K1061" s="240"/>
      <c r="L1061" s="240"/>
      <c r="M1061" s="240"/>
      <c r="N1061" s="240"/>
      <c r="O1061" s="240"/>
      <c r="P1061" s="240"/>
      <c r="Q1061" s="240"/>
      <c r="R1061" s="240"/>
      <c r="S1061" s="240"/>
      <c r="T1061" s="240"/>
      <c r="U1061" s="240"/>
      <c r="V1061" s="240"/>
      <c r="W1061" s="240"/>
      <c r="X1061" s="240"/>
      <c r="Y1061" s="240"/>
      <c r="Z1061" s="240"/>
    </row>
    <row r="1062" ht="14.25" customHeight="1">
      <c r="A1062" s="302">
        <f t="shared" si="4"/>
        <v>47234</v>
      </c>
      <c r="B1062" s="241">
        <f t="shared" si="1"/>
        <v>2029</v>
      </c>
      <c r="C1062" s="241">
        <f t="shared" si="2"/>
        <v>4</v>
      </c>
      <c r="D1062" s="301" t="str">
        <f t="shared" si="3"/>
        <v>Thursday</v>
      </c>
      <c r="E1062" s="240"/>
      <c r="F1062" s="240"/>
      <c r="G1062" s="240"/>
      <c r="H1062" s="241"/>
      <c r="I1062" s="301"/>
      <c r="J1062" s="240"/>
      <c r="K1062" s="240"/>
      <c r="L1062" s="240"/>
      <c r="M1062" s="240"/>
      <c r="N1062" s="240"/>
      <c r="O1062" s="240"/>
      <c r="P1062" s="240"/>
      <c r="Q1062" s="240"/>
      <c r="R1062" s="240"/>
      <c r="S1062" s="240"/>
      <c r="T1062" s="240"/>
      <c r="U1062" s="240"/>
      <c r="V1062" s="240"/>
      <c r="W1062" s="240"/>
      <c r="X1062" s="240"/>
      <c r="Y1062" s="240"/>
      <c r="Z1062" s="240"/>
    </row>
    <row r="1063" ht="14.25" customHeight="1">
      <c r="A1063" s="302">
        <f t="shared" si="4"/>
        <v>47235</v>
      </c>
      <c r="B1063" s="241">
        <f t="shared" si="1"/>
        <v>2029</v>
      </c>
      <c r="C1063" s="241">
        <f t="shared" si="2"/>
        <v>4</v>
      </c>
      <c r="D1063" s="301" t="str">
        <f t="shared" si="3"/>
        <v>Friday</v>
      </c>
      <c r="E1063" s="240"/>
      <c r="F1063" s="240"/>
      <c r="G1063" s="240"/>
      <c r="H1063" s="241"/>
      <c r="I1063" s="301"/>
      <c r="J1063" s="240"/>
      <c r="K1063" s="240"/>
      <c r="L1063" s="240"/>
      <c r="M1063" s="240"/>
      <c r="N1063" s="240"/>
      <c r="O1063" s="240"/>
      <c r="P1063" s="240"/>
      <c r="Q1063" s="240"/>
      <c r="R1063" s="240"/>
      <c r="S1063" s="240"/>
      <c r="T1063" s="240"/>
      <c r="U1063" s="240"/>
      <c r="V1063" s="240"/>
      <c r="W1063" s="240"/>
      <c r="X1063" s="240"/>
      <c r="Y1063" s="240"/>
      <c r="Z1063" s="240"/>
    </row>
    <row r="1064" ht="14.25" customHeight="1">
      <c r="A1064" s="302">
        <f t="shared" si="4"/>
        <v>47236</v>
      </c>
      <c r="B1064" s="241">
        <f t="shared" si="1"/>
        <v>2029</v>
      </c>
      <c r="C1064" s="241">
        <f t="shared" si="2"/>
        <v>4</v>
      </c>
      <c r="D1064" s="301" t="str">
        <f t="shared" si="3"/>
        <v>Saturday</v>
      </c>
      <c r="E1064" s="240"/>
      <c r="F1064" s="240"/>
      <c r="G1064" s="240"/>
      <c r="H1064" s="241"/>
      <c r="I1064" s="301"/>
      <c r="J1064" s="240"/>
      <c r="K1064" s="240"/>
      <c r="L1064" s="240"/>
      <c r="M1064" s="240"/>
      <c r="N1064" s="240"/>
      <c r="O1064" s="240"/>
      <c r="P1064" s="240"/>
      <c r="Q1064" s="240"/>
      <c r="R1064" s="240"/>
      <c r="S1064" s="240"/>
      <c r="T1064" s="240"/>
      <c r="U1064" s="240"/>
      <c r="V1064" s="240"/>
      <c r="W1064" s="240"/>
      <c r="X1064" s="240"/>
      <c r="Y1064" s="240"/>
      <c r="Z1064" s="240"/>
    </row>
    <row r="1065" ht="14.25" customHeight="1">
      <c r="A1065" s="302">
        <f t="shared" si="4"/>
        <v>47237</v>
      </c>
      <c r="B1065" s="241">
        <f t="shared" si="1"/>
        <v>2029</v>
      </c>
      <c r="C1065" s="241">
        <f t="shared" si="2"/>
        <v>4</v>
      </c>
      <c r="D1065" s="301" t="str">
        <f t="shared" si="3"/>
        <v>Sunday</v>
      </c>
      <c r="E1065" s="240"/>
      <c r="F1065" s="240"/>
      <c r="G1065" s="240"/>
      <c r="H1065" s="241"/>
      <c r="I1065" s="301"/>
      <c r="J1065" s="240"/>
      <c r="K1065" s="240"/>
      <c r="L1065" s="240"/>
      <c r="M1065" s="240"/>
      <c r="N1065" s="240"/>
      <c r="O1065" s="240"/>
      <c r="P1065" s="240"/>
      <c r="Q1065" s="240"/>
      <c r="R1065" s="240"/>
      <c r="S1065" s="240"/>
      <c r="T1065" s="240"/>
      <c r="U1065" s="240"/>
      <c r="V1065" s="240"/>
      <c r="W1065" s="240"/>
      <c r="X1065" s="240"/>
      <c r="Y1065" s="240"/>
      <c r="Z1065" s="240"/>
    </row>
    <row r="1066" ht="14.25" customHeight="1">
      <c r="A1066" s="302">
        <f t="shared" si="4"/>
        <v>47238</v>
      </c>
      <c r="B1066" s="241">
        <f t="shared" si="1"/>
        <v>2029</v>
      </c>
      <c r="C1066" s="241">
        <f t="shared" si="2"/>
        <v>4</v>
      </c>
      <c r="D1066" s="301" t="str">
        <f t="shared" si="3"/>
        <v>Monday</v>
      </c>
      <c r="E1066" s="240"/>
      <c r="F1066" s="240"/>
      <c r="G1066" s="240"/>
      <c r="H1066" s="241"/>
      <c r="I1066" s="301"/>
      <c r="J1066" s="240"/>
      <c r="K1066" s="240"/>
      <c r="L1066" s="240"/>
      <c r="M1066" s="240"/>
      <c r="N1066" s="240"/>
      <c r="O1066" s="240"/>
      <c r="P1066" s="240"/>
      <c r="Q1066" s="240"/>
      <c r="R1066" s="240"/>
      <c r="S1066" s="240"/>
      <c r="T1066" s="240"/>
      <c r="U1066" s="240"/>
      <c r="V1066" s="240"/>
      <c r="W1066" s="240"/>
      <c r="X1066" s="240"/>
      <c r="Y1066" s="240"/>
      <c r="Z1066" s="240"/>
    </row>
    <row r="1067" ht="14.25" customHeight="1">
      <c r="A1067" s="302">
        <f t="shared" si="4"/>
        <v>47239</v>
      </c>
      <c r="B1067" s="241">
        <f t="shared" si="1"/>
        <v>2029</v>
      </c>
      <c r="C1067" s="241">
        <f t="shared" si="2"/>
        <v>5</v>
      </c>
      <c r="D1067" s="301" t="str">
        <f t="shared" si="3"/>
        <v>Tuesday</v>
      </c>
      <c r="E1067" s="240"/>
      <c r="F1067" s="240"/>
      <c r="G1067" s="240"/>
      <c r="H1067" s="241"/>
      <c r="I1067" s="301"/>
      <c r="J1067" s="240"/>
      <c r="K1067" s="240"/>
      <c r="L1067" s="240"/>
      <c r="M1067" s="240"/>
      <c r="N1067" s="240"/>
      <c r="O1067" s="240"/>
      <c r="P1067" s="240"/>
      <c r="Q1067" s="240"/>
      <c r="R1067" s="240"/>
      <c r="S1067" s="240"/>
      <c r="T1067" s="240"/>
      <c r="U1067" s="240"/>
      <c r="V1067" s="240"/>
      <c r="W1067" s="240"/>
      <c r="X1067" s="240"/>
      <c r="Y1067" s="240"/>
      <c r="Z1067" s="240"/>
    </row>
    <row r="1068" ht="14.25" customHeight="1">
      <c r="A1068" s="302">
        <f t="shared" si="4"/>
        <v>47240</v>
      </c>
      <c r="B1068" s="241">
        <f t="shared" si="1"/>
        <v>2029</v>
      </c>
      <c r="C1068" s="241">
        <f t="shared" si="2"/>
        <v>5</v>
      </c>
      <c r="D1068" s="301" t="str">
        <f t="shared" si="3"/>
        <v>Wednesday</v>
      </c>
      <c r="E1068" s="240"/>
      <c r="F1068" s="240"/>
      <c r="G1068" s="240"/>
      <c r="H1068" s="241"/>
      <c r="I1068" s="301"/>
      <c r="J1068" s="240"/>
      <c r="K1068" s="240"/>
      <c r="L1068" s="240"/>
      <c r="M1068" s="240"/>
      <c r="N1068" s="240"/>
      <c r="O1068" s="240"/>
      <c r="P1068" s="240"/>
      <c r="Q1068" s="240"/>
      <c r="R1068" s="240"/>
      <c r="S1068" s="240"/>
      <c r="T1068" s="240"/>
      <c r="U1068" s="240"/>
      <c r="V1068" s="240"/>
      <c r="W1068" s="240"/>
      <c r="X1068" s="240"/>
      <c r="Y1068" s="240"/>
      <c r="Z1068" s="240"/>
    </row>
    <row r="1069" ht="14.25" customHeight="1">
      <c r="A1069" s="302">
        <f t="shared" si="4"/>
        <v>47241</v>
      </c>
      <c r="B1069" s="241">
        <f t="shared" si="1"/>
        <v>2029</v>
      </c>
      <c r="C1069" s="241">
        <f t="shared" si="2"/>
        <v>5</v>
      </c>
      <c r="D1069" s="301" t="str">
        <f t="shared" si="3"/>
        <v>Thursday</v>
      </c>
      <c r="E1069" s="240"/>
      <c r="F1069" s="240"/>
      <c r="G1069" s="240"/>
      <c r="H1069" s="241"/>
      <c r="I1069" s="301"/>
      <c r="J1069" s="240"/>
      <c r="K1069" s="240"/>
      <c r="L1069" s="240"/>
      <c r="M1069" s="240"/>
      <c r="N1069" s="240"/>
      <c r="O1069" s="240"/>
      <c r="P1069" s="240"/>
      <c r="Q1069" s="240"/>
      <c r="R1069" s="240"/>
      <c r="S1069" s="240"/>
      <c r="T1069" s="240"/>
      <c r="U1069" s="240"/>
      <c r="V1069" s="240"/>
      <c r="W1069" s="240"/>
      <c r="X1069" s="240"/>
      <c r="Y1069" s="240"/>
      <c r="Z1069" s="240"/>
    </row>
    <row r="1070" ht="14.25" customHeight="1">
      <c r="A1070" s="302">
        <f t="shared" si="4"/>
        <v>47242</v>
      </c>
      <c r="B1070" s="241">
        <f t="shared" si="1"/>
        <v>2029</v>
      </c>
      <c r="C1070" s="241">
        <f t="shared" si="2"/>
        <v>5</v>
      </c>
      <c r="D1070" s="301" t="str">
        <f t="shared" si="3"/>
        <v>Friday</v>
      </c>
      <c r="E1070" s="240"/>
      <c r="F1070" s="240"/>
      <c r="G1070" s="240"/>
      <c r="H1070" s="241"/>
      <c r="I1070" s="301"/>
      <c r="J1070" s="240"/>
      <c r="K1070" s="240"/>
      <c r="L1070" s="240"/>
      <c r="M1070" s="240"/>
      <c r="N1070" s="240"/>
      <c r="O1070" s="240"/>
      <c r="P1070" s="240"/>
      <c r="Q1070" s="240"/>
      <c r="R1070" s="240"/>
      <c r="S1070" s="240"/>
      <c r="T1070" s="240"/>
      <c r="U1070" s="240"/>
      <c r="V1070" s="240"/>
      <c r="W1070" s="240"/>
      <c r="X1070" s="240"/>
      <c r="Y1070" s="240"/>
      <c r="Z1070" s="240"/>
    </row>
    <row r="1071" ht="14.25" customHeight="1">
      <c r="A1071" s="302">
        <f t="shared" si="4"/>
        <v>47243</v>
      </c>
      <c r="B1071" s="241">
        <f t="shared" si="1"/>
        <v>2029</v>
      </c>
      <c r="C1071" s="241">
        <f t="shared" si="2"/>
        <v>5</v>
      </c>
      <c r="D1071" s="301" t="str">
        <f t="shared" si="3"/>
        <v>Saturday</v>
      </c>
      <c r="E1071" s="240"/>
      <c r="F1071" s="240"/>
      <c r="G1071" s="240"/>
      <c r="H1071" s="241"/>
      <c r="I1071" s="301"/>
      <c r="J1071" s="240"/>
      <c r="K1071" s="240"/>
      <c r="L1071" s="240"/>
      <c r="M1071" s="240"/>
      <c r="N1071" s="240"/>
      <c r="O1071" s="240"/>
      <c r="P1071" s="240"/>
      <c r="Q1071" s="240"/>
      <c r="R1071" s="240"/>
      <c r="S1071" s="240"/>
      <c r="T1071" s="240"/>
      <c r="U1071" s="240"/>
      <c r="V1071" s="240"/>
      <c r="W1071" s="240"/>
      <c r="X1071" s="240"/>
      <c r="Y1071" s="240"/>
      <c r="Z1071" s="240"/>
    </row>
    <row r="1072" ht="14.25" customHeight="1">
      <c r="A1072" s="302">
        <f t="shared" si="4"/>
        <v>47244</v>
      </c>
      <c r="B1072" s="241">
        <f t="shared" si="1"/>
        <v>2029</v>
      </c>
      <c r="C1072" s="241">
        <f t="shared" si="2"/>
        <v>5</v>
      </c>
      <c r="D1072" s="301" t="str">
        <f t="shared" si="3"/>
        <v>Sunday</v>
      </c>
      <c r="E1072" s="240"/>
      <c r="F1072" s="240"/>
      <c r="G1072" s="240"/>
      <c r="H1072" s="241"/>
      <c r="I1072" s="301"/>
      <c r="J1072" s="240"/>
      <c r="K1072" s="240"/>
      <c r="L1072" s="240"/>
      <c r="M1072" s="240"/>
      <c r="N1072" s="240"/>
      <c r="O1072" s="240"/>
      <c r="P1072" s="240"/>
      <c r="Q1072" s="240"/>
      <c r="R1072" s="240"/>
      <c r="S1072" s="240"/>
      <c r="T1072" s="240"/>
      <c r="U1072" s="240"/>
      <c r="V1072" s="240"/>
      <c r="W1072" s="240"/>
      <c r="X1072" s="240"/>
      <c r="Y1072" s="240"/>
      <c r="Z1072" s="240"/>
    </row>
    <row r="1073" ht="14.25" customHeight="1">
      <c r="A1073" s="302">
        <f t="shared" si="4"/>
        <v>47245</v>
      </c>
      <c r="B1073" s="241">
        <f t="shared" si="1"/>
        <v>2029</v>
      </c>
      <c r="C1073" s="241">
        <f t="shared" si="2"/>
        <v>5</v>
      </c>
      <c r="D1073" s="301" t="str">
        <f t="shared" si="3"/>
        <v>Monday</v>
      </c>
      <c r="E1073" s="240"/>
      <c r="F1073" s="240"/>
      <c r="G1073" s="240"/>
      <c r="H1073" s="241"/>
      <c r="I1073" s="301"/>
      <c r="J1073" s="240"/>
      <c r="K1073" s="240"/>
      <c r="L1073" s="240"/>
      <c r="M1073" s="240"/>
      <c r="N1073" s="240"/>
      <c r="O1073" s="240"/>
      <c r="P1073" s="240"/>
      <c r="Q1073" s="240"/>
      <c r="R1073" s="240"/>
      <c r="S1073" s="240"/>
      <c r="T1073" s="240"/>
      <c r="U1073" s="240"/>
      <c r="V1073" s="240"/>
      <c r="W1073" s="240"/>
      <c r="X1073" s="240"/>
      <c r="Y1073" s="240"/>
      <c r="Z1073" s="240"/>
    </row>
    <row r="1074" ht="14.25" customHeight="1">
      <c r="A1074" s="302">
        <f t="shared" si="4"/>
        <v>47246</v>
      </c>
      <c r="B1074" s="241">
        <f t="shared" si="1"/>
        <v>2029</v>
      </c>
      <c r="C1074" s="241">
        <f t="shared" si="2"/>
        <v>5</v>
      </c>
      <c r="D1074" s="301" t="str">
        <f t="shared" si="3"/>
        <v>Tuesday</v>
      </c>
      <c r="E1074" s="240"/>
      <c r="F1074" s="240"/>
      <c r="G1074" s="240"/>
      <c r="H1074" s="241"/>
      <c r="I1074" s="301"/>
      <c r="J1074" s="240"/>
      <c r="K1074" s="240"/>
      <c r="L1074" s="240"/>
      <c r="M1074" s="240"/>
      <c r="N1074" s="240"/>
      <c r="O1074" s="240"/>
      <c r="P1074" s="240"/>
      <c r="Q1074" s="240"/>
      <c r="R1074" s="240"/>
      <c r="S1074" s="240"/>
      <c r="T1074" s="240"/>
      <c r="U1074" s="240"/>
      <c r="V1074" s="240"/>
      <c r="W1074" s="240"/>
      <c r="X1074" s="240"/>
      <c r="Y1074" s="240"/>
      <c r="Z1074" s="240"/>
    </row>
    <row r="1075" ht="14.25" customHeight="1">
      <c r="A1075" s="302">
        <f t="shared" si="4"/>
        <v>47247</v>
      </c>
      <c r="B1075" s="241">
        <f t="shared" si="1"/>
        <v>2029</v>
      </c>
      <c r="C1075" s="241">
        <f t="shared" si="2"/>
        <v>5</v>
      </c>
      <c r="D1075" s="301" t="str">
        <f t="shared" si="3"/>
        <v>Wednesday</v>
      </c>
      <c r="E1075" s="240"/>
      <c r="F1075" s="240"/>
      <c r="G1075" s="240"/>
      <c r="H1075" s="241"/>
      <c r="I1075" s="301"/>
      <c r="J1075" s="240"/>
      <c r="K1075" s="240"/>
      <c r="L1075" s="240"/>
      <c r="M1075" s="240"/>
      <c r="N1075" s="240"/>
      <c r="O1075" s="240"/>
      <c r="P1075" s="240"/>
      <c r="Q1075" s="240"/>
      <c r="R1075" s="240"/>
      <c r="S1075" s="240"/>
      <c r="T1075" s="240"/>
      <c r="U1075" s="240"/>
      <c r="V1075" s="240"/>
      <c r="W1075" s="240"/>
      <c r="X1075" s="240"/>
      <c r="Y1075" s="240"/>
      <c r="Z1075" s="240"/>
    </row>
    <row r="1076" ht="14.25" customHeight="1">
      <c r="A1076" s="302">
        <f t="shared" si="4"/>
        <v>47248</v>
      </c>
      <c r="B1076" s="241">
        <f t="shared" si="1"/>
        <v>2029</v>
      </c>
      <c r="C1076" s="241">
        <f t="shared" si="2"/>
        <v>5</v>
      </c>
      <c r="D1076" s="301" t="str">
        <f t="shared" si="3"/>
        <v>Thursday</v>
      </c>
      <c r="E1076" s="240"/>
      <c r="F1076" s="240"/>
      <c r="G1076" s="240"/>
      <c r="H1076" s="241"/>
      <c r="I1076" s="301"/>
      <c r="J1076" s="240"/>
      <c r="K1076" s="240"/>
      <c r="L1076" s="240"/>
      <c r="M1076" s="240"/>
      <c r="N1076" s="240"/>
      <c r="O1076" s="240"/>
      <c r="P1076" s="240"/>
      <c r="Q1076" s="240"/>
      <c r="R1076" s="240"/>
      <c r="S1076" s="240"/>
      <c r="T1076" s="240"/>
      <c r="U1076" s="240"/>
      <c r="V1076" s="240"/>
      <c r="W1076" s="240"/>
      <c r="X1076" s="240"/>
      <c r="Y1076" s="240"/>
      <c r="Z1076" s="240"/>
    </row>
    <row r="1077" ht="14.25" customHeight="1">
      <c r="A1077" s="302">
        <f t="shared" si="4"/>
        <v>47249</v>
      </c>
      <c r="B1077" s="241">
        <f t="shared" si="1"/>
        <v>2029</v>
      </c>
      <c r="C1077" s="241">
        <f t="shared" si="2"/>
        <v>5</v>
      </c>
      <c r="D1077" s="301" t="str">
        <f t="shared" si="3"/>
        <v>Friday</v>
      </c>
      <c r="E1077" s="240"/>
      <c r="F1077" s="240"/>
      <c r="G1077" s="240"/>
      <c r="H1077" s="241"/>
      <c r="I1077" s="301"/>
      <c r="J1077" s="240"/>
      <c r="K1077" s="240"/>
      <c r="L1077" s="240"/>
      <c r="M1077" s="240"/>
      <c r="N1077" s="240"/>
      <c r="O1077" s="240"/>
      <c r="P1077" s="240"/>
      <c r="Q1077" s="240"/>
      <c r="R1077" s="240"/>
      <c r="S1077" s="240"/>
      <c r="T1077" s="240"/>
      <c r="U1077" s="240"/>
      <c r="V1077" s="240"/>
      <c r="W1077" s="240"/>
      <c r="X1077" s="240"/>
      <c r="Y1077" s="240"/>
      <c r="Z1077" s="240"/>
    </row>
    <row r="1078" ht="14.25" customHeight="1">
      <c r="A1078" s="302">
        <f t="shared" si="4"/>
        <v>47250</v>
      </c>
      <c r="B1078" s="241">
        <f t="shared" si="1"/>
        <v>2029</v>
      </c>
      <c r="C1078" s="241">
        <f t="shared" si="2"/>
        <v>5</v>
      </c>
      <c r="D1078" s="301" t="str">
        <f t="shared" si="3"/>
        <v>Saturday</v>
      </c>
      <c r="E1078" s="240"/>
      <c r="F1078" s="240"/>
      <c r="G1078" s="240"/>
      <c r="H1078" s="241"/>
      <c r="I1078" s="301"/>
      <c r="J1078" s="240"/>
      <c r="K1078" s="240"/>
      <c r="L1078" s="240"/>
      <c r="M1078" s="240"/>
      <c r="N1078" s="240"/>
      <c r="O1078" s="240"/>
      <c r="P1078" s="240"/>
      <c r="Q1078" s="240"/>
      <c r="R1078" s="240"/>
      <c r="S1078" s="240"/>
      <c r="T1078" s="240"/>
      <c r="U1078" s="240"/>
      <c r="V1078" s="240"/>
      <c r="W1078" s="240"/>
      <c r="X1078" s="240"/>
      <c r="Y1078" s="240"/>
      <c r="Z1078" s="240"/>
    </row>
    <row r="1079" ht="14.25" customHeight="1">
      <c r="A1079" s="302">
        <f t="shared" si="4"/>
        <v>47251</v>
      </c>
      <c r="B1079" s="241">
        <f t="shared" si="1"/>
        <v>2029</v>
      </c>
      <c r="C1079" s="241">
        <f t="shared" si="2"/>
        <v>5</v>
      </c>
      <c r="D1079" s="301" t="str">
        <f t="shared" si="3"/>
        <v>Sunday</v>
      </c>
      <c r="E1079" s="240"/>
      <c r="F1079" s="240"/>
      <c r="G1079" s="240"/>
      <c r="H1079" s="241"/>
      <c r="I1079" s="301"/>
      <c r="J1079" s="240"/>
      <c r="K1079" s="240"/>
      <c r="L1079" s="240"/>
      <c r="M1079" s="240"/>
      <c r="N1079" s="240"/>
      <c r="O1079" s="240"/>
      <c r="P1079" s="240"/>
      <c r="Q1079" s="240"/>
      <c r="R1079" s="240"/>
      <c r="S1079" s="240"/>
      <c r="T1079" s="240"/>
      <c r="U1079" s="240"/>
      <c r="V1079" s="240"/>
      <c r="W1079" s="240"/>
      <c r="X1079" s="240"/>
      <c r="Y1079" s="240"/>
      <c r="Z1079" s="240"/>
    </row>
    <row r="1080" ht="14.25" customHeight="1">
      <c r="A1080" s="302">
        <f t="shared" si="4"/>
        <v>47252</v>
      </c>
      <c r="B1080" s="241">
        <f t="shared" si="1"/>
        <v>2029</v>
      </c>
      <c r="C1080" s="241">
        <f t="shared" si="2"/>
        <v>5</v>
      </c>
      <c r="D1080" s="301" t="str">
        <f t="shared" si="3"/>
        <v>Monday</v>
      </c>
      <c r="E1080" s="240"/>
      <c r="F1080" s="240"/>
      <c r="G1080" s="240"/>
      <c r="H1080" s="241"/>
      <c r="I1080" s="301"/>
      <c r="J1080" s="240"/>
      <c r="K1080" s="240"/>
      <c r="L1080" s="240"/>
      <c r="M1080" s="240"/>
      <c r="N1080" s="240"/>
      <c r="O1080" s="240"/>
      <c r="P1080" s="240"/>
      <c r="Q1080" s="240"/>
      <c r="R1080" s="240"/>
      <c r="S1080" s="240"/>
      <c r="T1080" s="240"/>
      <c r="U1080" s="240"/>
      <c r="V1080" s="240"/>
      <c r="W1080" s="240"/>
      <c r="X1080" s="240"/>
      <c r="Y1080" s="240"/>
      <c r="Z1080" s="240"/>
    </row>
    <row r="1081" ht="14.25" customHeight="1">
      <c r="A1081" s="302">
        <f t="shared" si="4"/>
        <v>47253</v>
      </c>
      <c r="B1081" s="241">
        <f t="shared" si="1"/>
        <v>2029</v>
      </c>
      <c r="C1081" s="241">
        <f t="shared" si="2"/>
        <v>5</v>
      </c>
      <c r="D1081" s="301" t="str">
        <f t="shared" si="3"/>
        <v>Tuesday</v>
      </c>
      <c r="E1081" s="240"/>
      <c r="F1081" s="240"/>
      <c r="G1081" s="240"/>
      <c r="H1081" s="241"/>
      <c r="I1081" s="301"/>
      <c r="J1081" s="240"/>
      <c r="K1081" s="240"/>
      <c r="L1081" s="240"/>
      <c r="M1081" s="240"/>
      <c r="N1081" s="240"/>
      <c r="O1081" s="240"/>
      <c r="P1081" s="240"/>
      <c r="Q1081" s="240"/>
      <c r="R1081" s="240"/>
      <c r="S1081" s="240"/>
      <c r="T1081" s="240"/>
      <c r="U1081" s="240"/>
      <c r="V1081" s="240"/>
      <c r="W1081" s="240"/>
      <c r="X1081" s="240"/>
      <c r="Y1081" s="240"/>
      <c r="Z1081" s="240"/>
    </row>
    <row r="1082" ht="14.25" customHeight="1">
      <c r="A1082" s="302">
        <f t="shared" si="4"/>
        <v>47254</v>
      </c>
      <c r="B1082" s="241">
        <f t="shared" si="1"/>
        <v>2029</v>
      </c>
      <c r="C1082" s="241">
        <f t="shared" si="2"/>
        <v>5</v>
      </c>
      <c r="D1082" s="301" t="str">
        <f t="shared" si="3"/>
        <v>Wednesday</v>
      </c>
      <c r="E1082" s="240"/>
      <c r="F1082" s="240"/>
      <c r="G1082" s="240"/>
      <c r="H1082" s="241"/>
      <c r="I1082" s="301"/>
      <c r="J1082" s="240"/>
      <c r="K1082" s="240"/>
      <c r="L1082" s="240"/>
      <c r="M1082" s="240"/>
      <c r="N1082" s="240"/>
      <c r="O1082" s="240"/>
      <c r="P1082" s="240"/>
      <c r="Q1082" s="240"/>
      <c r="R1082" s="240"/>
      <c r="S1082" s="240"/>
      <c r="T1082" s="240"/>
      <c r="U1082" s="240"/>
      <c r="V1082" s="240"/>
      <c r="W1082" s="240"/>
      <c r="X1082" s="240"/>
      <c r="Y1082" s="240"/>
      <c r="Z1082" s="240"/>
    </row>
    <row r="1083" ht="14.25" customHeight="1">
      <c r="A1083" s="302">
        <f t="shared" si="4"/>
        <v>47255</v>
      </c>
      <c r="B1083" s="241">
        <f t="shared" si="1"/>
        <v>2029</v>
      </c>
      <c r="C1083" s="241">
        <f t="shared" si="2"/>
        <v>5</v>
      </c>
      <c r="D1083" s="301" t="str">
        <f t="shared" si="3"/>
        <v>Thursday</v>
      </c>
      <c r="E1083" s="240"/>
      <c r="F1083" s="240"/>
      <c r="G1083" s="240"/>
      <c r="H1083" s="241"/>
      <c r="I1083" s="301"/>
      <c r="J1083" s="240"/>
      <c r="K1083" s="240"/>
      <c r="L1083" s="240"/>
      <c r="M1083" s="240"/>
      <c r="N1083" s="240"/>
      <c r="O1083" s="240"/>
      <c r="P1083" s="240"/>
      <c r="Q1083" s="240"/>
      <c r="R1083" s="240"/>
      <c r="S1083" s="240"/>
      <c r="T1083" s="240"/>
      <c r="U1083" s="240"/>
      <c r="V1083" s="240"/>
      <c r="W1083" s="240"/>
      <c r="X1083" s="240"/>
      <c r="Y1083" s="240"/>
      <c r="Z1083" s="240"/>
    </row>
    <row r="1084" ht="14.25" customHeight="1">
      <c r="A1084" s="302">
        <f t="shared" si="4"/>
        <v>47256</v>
      </c>
      <c r="B1084" s="241">
        <f t="shared" si="1"/>
        <v>2029</v>
      </c>
      <c r="C1084" s="241">
        <f t="shared" si="2"/>
        <v>5</v>
      </c>
      <c r="D1084" s="301" t="str">
        <f t="shared" si="3"/>
        <v>Friday</v>
      </c>
      <c r="E1084" s="240"/>
      <c r="F1084" s="240"/>
      <c r="G1084" s="240"/>
      <c r="H1084" s="241"/>
      <c r="I1084" s="301"/>
      <c r="J1084" s="240"/>
      <c r="K1084" s="240"/>
      <c r="L1084" s="240"/>
      <c r="M1084" s="240"/>
      <c r="N1084" s="240"/>
      <c r="O1084" s="240"/>
      <c r="P1084" s="240"/>
      <c r="Q1084" s="240"/>
      <c r="R1084" s="240"/>
      <c r="S1084" s="240"/>
      <c r="T1084" s="240"/>
      <c r="U1084" s="240"/>
      <c r="V1084" s="240"/>
      <c r="W1084" s="240"/>
      <c r="X1084" s="240"/>
      <c r="Y1084" s="240"/>
      <c r="Z1084" s="240"/>
    </row>
    <row r="1085" ht="14.25" customHeight="1">
      <c r="A1085" s="302">
        <f t="shared" si="4"/>
        <v>47257</v>
      </c>
      <c r="B1085" s="241">
        <f t="shared" si="1"/>
        <v>2029</v>
      </c>
      <c r="C1085" s="241">
        <f t="shared" si="2"/>
        <v>5</v>
      </c>
      <c r="D1085" s="301" t="str">
        <f t="shared" si="3"/>
        <v>Saturday</v>
      </c>
      <c r="E1085" s="240"/>
      <c r="F1085" s="240"/>
      <c r="G1085" s="240"/>
      <c r="H1085" s="241"/>
      <c r="I1085" s="301"/>
      <c r="J1085" s="240"/>
      <c r="K1085" s="240"/>
      <c r="L1085" s="240"/>
      <c r="M1085" s="240"/>
      <c r="N1085" s="240"/>
      <c r="O1085" s="240"/>
      <c r="P1085" s="240"/>
      <c r="Q1085" s="240"/>
      <c r="R1085" s="240"/>
      <c r="S1085" s="240"/>
      <c r="T1085" s="240"/>
      <c r="U1085" s="240"/>
      <c r="V1085" s="240"/>
      <c r="W1085" s="240"/>
      <c r="X1085" s="240"/>
      <c r="Y1085" s="240"/>
      <c r="Z1085" s="240"/>
    </row>
    <row r="1086" ht="14.25" customHeight="1">
      <c r="A1086" s="302">
        <f t="shared" si="4"/>
        <v>47258</v>
      </c>
      <c r="B1086" s="241">
        <f t="shared" si="1"/>
        <v>2029</v>
      </c>
      <c r="C1086" s="241">
        <f t="shared" si="2"/>
        <v>5</v>
      </c>
      <c r="D1086" s="301" t="str">
        <f t="shared" si="3"/>
        <v>Sunday</v>
      </c>
      <c r="E1086" s="240"/>
      <c r="F1086" s="240"/>
      <c r="G1086" s="240"/>
      <c r="H1086" s="241"/>
      <c r="I1086" s="301"/>
      <c r="J1086" s="240"/>
      <c r="K1086" s="240"/>
      <c r="L1086" s="240"/>
      <c r="M1086" s="240"/>
      <c r="N1086" s="240"/>
      <c r="O1086" s="240"/>
      <c r="P1086" s="240"/>
      <c r="Q1086" s="240"/>
      <c r="R1086" s="240"/>
      <c r="S1086" s="240"/>
      <c r="T1086" s="240"/>
      <c r="U1086" s="240"/>
      <c r="V1086" s="240"/>
      <c r="W1086" s="240"/>
      <c r="X1086" s="240"/>
      <c r="Y1086" s="240"/>
      <c r="Z1086" s="240"/>
    </row>
    <row r="1087" ht="14.25" customHeight="1">
      <c r="A1087" s="302">
        <f t="shared" si="4"/>
        <v>47259</v>
      </c>
      <c r="B1087" s="241">
        <f t="shared" si="1"/>
        <v>2029</v>
      </c>
      <c r="C1087" s="241">
        <f t="shared" si="2"/>
        <v>5</v>
      </c>
      <c r="D1087" s="301" t="str">
        <f t="shared" si="3"/>
        <v>Monday</v>
      </c>
      <c r="E1087" s="240"/>
      <c r="F1087" s="240"/>
      <c r="G1087" s="240"/>
      <c r="H1087" s="241"/>
      <c r="I1087" s="301"/>
      <c r="J1087" s="240"/>
      <c r="K1087" s="240"/>
      <c r="L1087" s="240"/>
      <c r="M1087" s="240"/>
      <c r="N1087" s="240"/>
      <c r="O1087" s="240"/>
      <c r="P1087" s="240"/>
      <c r="Q1087" s="240"/>
      <c r="R1087" s="240"/>
      <c r="S1087" s="240"/>
      <c r="T1087" s="240"/>
      <c r="U1087" s="240"/>
      <c r="V1087" s="240"/>
      <c r="W1087" s="240"/>
      <c r="X1087" s="240"/>
      <c r="Y1087" s="240"/>
      <c r="Z1087" s="240"/>
    </row>
    <row r="1088" ht="14.25" customHeight="1">
      <c r="A1088" s="302">
        <f t="shared" si="4"/>
        <v>47260</v>
      </c>
      <c r="B1088" s="241">
        <f t="shared" si="1"/>
        <v>2029</v>
      </c>
      <c r="C1088" s="241">
        <f t="shared" si="2"/>
        <v>5</v>
      </c>
      <c r="D1088" s="301" t="str">
        <f t="shared" si="3"/>
        <v>Tuesday</v>
      </c>
      <c r="E1088" s="240"/>
      <c r="F1088" s="240"/>
      <c r="G1088" s="240"/>
      <c r="H1088" s="241"/>
      <c r="I1088" s="301"/>
      <c r="J1088" s="240"/>
      <c r="K1088" s="240"/>
      <c r="L1088" s="240"/>
      <c r="M1088" s="240"/>
      <c r="N1088" s="240"/>
      <c r="O1088" s="240"/>
      <c r="P1088" s="240"/>
      <c r="Q1088" s="240"/>
      <c r="R1088" s="240"/>
      <c r="S1088" s="240"/>
      <c r="T1088" s="240"/>
      <c r="U1088" s="240"/>
      <c r="V1088" s="240"/>
      <c r="W1088" s="240"/>
      <c r="X1088" s="240"/>
      <c r="Y1088" s="240"/>
      <c r="Z1088" s="240"/>
    </row>
    <row r="1089" ht="14.25" customHeight="1">
      <c r="A1089" s="302">
        <f t="shared" si="4"/>
        <v>47261</v>
      </c>
      <c r="B1089" s="241">
        <f t="shared" si="1"/>
        <v>2029</v>
      </c>
      <c r="C1089" s="241">
        <f t="shared" si="2"/>
        <v>5</v>
      </c>
      <c r="D1089" s="301" t="str">
        <f t="shared" si="3"/>
        <v>Wednesday</v>
      </c>
      <c r="E1089" s="240"/>
      <c r="F1089" s="240"/>
      <c r="G1089" s="240"/>
      <c r="H1089" s="241"/>
      <c r="I1089" s="301"/>
      <c r="J1089" s="240"/>
      <c r="K1089" s="240"/>
      <c r="L1089" s="240"/>
      <c r="M1089" s="240"/>
      <c r="N1089" s="240"/>
      <c r="O1089" s="240"/>
      <c r="P1089" s="240"/>
      <c r="Q1089" s="240"/>
      <c r="R1089" s="240"/>
      <c r="S1089" s="240"/>
      <c r="T1089" s="240"/>
      <c r="U1089" s="240"/>
      <c r="V1089" s="240"/>
      <c r="W1089" s="240"/>
      <c r="X1089" s="240"/>
      <c r="Y1089" s="240"/>
      <c r="Z1089" s="240"/>
    </row>
    <row r="1090" ht="14.25" customHeight="1">
      <c r="A1090" s="302">
        <f t="shared" si="4"/>
        <v>47262</v>
      </c>
      <c r="B1090" s="241">
        <f t="shared" si="1"/>
        <v>2029</v>
      </c>
      <c r="C1090" s="241">
        <f t="shared" si="2"/>
        <v>5</v>
      </c>
      <c r="D1090" s="301" t="str">
        <f t="shared" si="3"/>
        <v>Thursday</v>
      </c>
      <c r="E1090" s="240"/>
      <c r="F1090" s="240"/>
      <c r="G1090" s="240"/>
      <c r="H1090" s="241"/>
      <c r="I1090" s="301"/>
      <c r="J1090" s="240"/>
      <c r="K1090" s="240"/>
      <c r="L1090" s="240"/>
      <c r="M1090" s="240"/>
      <c r="N1090" s="240"/>
      <c r="O1090" s="240"/>
      <c r="P1090" s="240"/>
      <c r="Q1090" s="240"/>
      <c r="R1090" s="240"/>
      <c r="S1090" s="240"/>
      <c r="T1090" s="240"/>
      <c r="U1090" s="240"/>
      <c r="V1090" s="240"/>
      <c r="W1090" s="240"/>
      <c r="X1090" s="240"/>
      <c r="Y1090" s="240"/>
      <c r="Z1090" s="240"/>
    </row>
    <row r="1091" ht="14.25" customHeight="1">
      <c r="A1091" s="302">
        <f t="shared" si="4"/>
        <v>47263</v>
      </c>
      <c r="B1091" s="241">
        <f t="shared" si="1"/>
        <v>2029</v>
      </c>
      <c r="C1091" s="241">
        <f t="shared" si="2"/>
        <v>5</v>
      </c>
      <c r="D1091" s="301" t="str">
        <f t="shared" si="3"/>
        <v>Friday</v>
      </c>
      <c r="E1091" s="240"/>
      <c r="F1091" s="240"/>
      <c r="G1091" s="240"/>
      <c r="H1091" s="241"/>
      <c r="I1091" s="301"/>
      <c r="J1091" s="240"/>
      <c r="K1091" s="240"/>
      <c r="L1091" s="240"/>
      <c r="M1091" s="240"/>
      <c r="N1091" s="240"/>
      <c r="O1091" s="240"/>
      <c r="P1091" s="240"/>
      <c r="Q1091" s="240"/>
      <c r="R1091" s="240"/>
      <c r="S1091" s="240"/>
      <c r="T1091" s="240"/>
      <c r="U1091" s="240"/>
      <c r="V1091" s="240"/>
      <c r="W1091" s="240"/>
      <c r="X1091" s="240"/>
      <c r="Y1091" s="240"/>
      <c r="Z1091" s="240"/>
    </row>
    <row r="1092" ht="14.25" customHeight="1">
      <c r="A1092" s="302">
        <f t="shared" si="4"/>
        <v>47264</v>
      </c>
      <c r="B1092" s="241">
        <f t="shared" si="1"/>
        <v>2029</v>
      </c>
      <c r="C1092" s="241">
        <f t="shared" si="2"/>
        <v>5</v>
      </c>
      <c r="D1092" s="301" t="str">
        <f t="shared" si="3"/>
        <v>Saturday</v>
      </c>
      <c r="E1092" s="240"/>
      <c r="F1092" s="240"/>
      <c r="G1092" s="240"/>
      <c r="H1092" s="241"/>
      <c r="I1092" s="301"/>
      <c r="J1092" s="240"/>
      <c r="K1092" s="240"/>
      <c r="L1092" s="240"/>
      <c r="M1092" s="240"/>
      <c r="N1092" s="240"/>
      <c r="O1092" s="240"/>
      <c r="P1092" s="240"/>
      <c r="Q1092" s="240"/>
      <c r="R1092" s="240"/>
      <c r="S1092" s="240"/>
      <c r="T1092" s="240"/>
      <c r="U1092" s="240"/>
      <c r="V1092" s="240"/>
      <c r="W1092" s="240"/>
      <c r="X1092" s="240"/>
      <c r="Y1092" s="240"/>
      <c r="Z1092" s="240"/>
    </row>
    <row r="1093" ht="14.25" customHeight="1">
      <c r="A1093" s="302">
        <f t="shared" si="4"/>
        <v>47265</v>
      </c>
      <c r="B1093" s="241">
        <f t="shared" si="1"/>
        <v>2029</v>
      </c>
      <c r="C1093" s="241">
        <f t="shared" si="2"/>
        <v>5</v>
      </c>
      <c r="D1093" s="301" t="str">
        <f t="shared" si="3"/>
        <v>Sunday</v>
      </c>
      <c r="E1093" s="240"/>
      <c r="F1093" s="240"/>
      <c r="G1093" s="240"/>
      <c r="H1093" s="241"/>
      <c r="I1093" s="301"/>
      <c r="J1093" s="240"/>
      <c r="K1093" s="240"/>
      <c r="L1093" s="240"/>
      <c r="M1093" s="240"/>
      <c r="N1093" s="240"/>
      <c r="O1093" s="240"/>
      <c r="P1093" s="240"/>
      <c r="Q1093" s="240"/>
      <c r="R1093" s="240"/>
      <c r="S1093" s="240"/>
      <c r="T1093" s="240"/>
      <c r="U1093" s="240"/>
      <c r="V1093" s="240"/>
      <c r="W1093" s="240"/>
      <c r="X1093" s="240"/>
      <c r="Y1093" s="240"/>
      <c r="Z1093" s="240"/>
    </row>
    <row r="1094" ht="14.25" customHeight="1">
      <c r="A1094" s="302">
        <f t="shared" si="4"/>
        <v>47266</v>
      </c>
      <c r="B1094" s="241">
        <f t="shared" si="1"/>
        <v>2029</v>
      </c>
      <c r="C1094" s="241">
        <f t="shared" si="2"/>
        <v>5</v>
      </c>
      <c r="D1094" s="301" t="str">
        <f t="shared" si="3"/>
        <v>Monday</v>
      </c>
      <c r="E1094" s="240"/>
      <c r="F1094" s="240"/>
      <c r="G1094" s="240"/>
      <c r="H1094" s="241"/>
      <c r="I1094" s="301"/>
      <c r="J1094" s="240"/>
      <c r="K1094" s="240"/>
      <c r="L1094" s="240"/>
      <c r="M1094" s="240"/>
      <c r="N1094" s="240"/>
      <c r="O1094" s="240"/>
      <c r="P1094" s="240"/>
      <c r="Q1094" s="240"/>
      <c r="R1094" s="240"/>
      <c r="S1094" s="240"/>
      <c r="T1094" s="240"/>
      <c r="U1094" s="240"/>
      <c r="V1094" s="240"/>
      <c r="W1094" s="240"/>
      <c r="X1094" s="240"/>
      <c r="Y1094" s="240"/>
      <c r="Z1094" s="240"/>
    </row>
    <row r="1095" ht="14.25" customHeight="1">
      <c r="A1095" s="302">
        <f t="shared" si="4"/>
        <v>47267</v>
      </c>
      <c r="B1095" s="241">
        <f t="shared" si="1"/>
        <v>2029</v>
      </c>
      <c r="C1095" s="241">
        <f t="shared" si="2"/>
        <v>5</v>
      </c>
      <c r="D1095" s="301" t="str">
        <f t="shared" si="3"/>
        <v>Tuesday</v>
      </c>
      <c r="E1095" s="240"/>
      <c r="F1095" s="240"/>
      <c r="G1095" s="240"/>
      <c r="H1095" s="241"/>
      <c r="I1095" s="301"/>
      <c r="J1095" s="240"/>
      <c r="K1095" s="240"/>
      <c r="L1095" s="240"/>
      <c r="M1095" s="240"/>
      <c r="N1095" s="240"/>
      <c r="O1095" s="240"/>
      <c r="P1095" s="240"/>
      <c r="Q1095" s="240"/>
      <c r="R1095" s="240"/>
      <c r="S1095" s="240"/>
      <c r="T1095" s="240"/>
      <c r="U1095" s="240"/>
      <c r="V1095" s="240"/>
      <c r="W1095" s="240"/>
      <c r="X1095" s="240"/>
      <c r="Y1095" s="240"/>
      <c r="Z1095" s="240"/>
    </row>
    <row r="1096" ht="14.25" customHeight="1">
      <c r="A1096" s="302">
        <f t="shared" si="4"/>
        <v>47268</v>
      </c>
      <c r="B1096" s="241">
        <f t="shared" si="1"/>
        <v>2029</v>
      </c>
      <c r="C1096" s="241">
        <f t="shared" si="2"/>
        <v>5</v>
      </c>
      <c r="D1096" s="301" t="str">
        <f t="shared" si="3"/>
        <v>Wednesday</v>
      </c>
      <c r="E1096" s="240"/>
      <c r="F1096" s="240"/>
      <c r="G1096" s="240"/>
      <c r="H1096" s="241"/>
      <c r="I1096" s="301"/>
      <c r="J1096" s="240"/>
      <c r="K1096" s="240"/>
      <c r="L1096" s="240"/>
      <c r="M1096" s="240"/>
      <c r="N1096" s="240"/>
      <c r="O1096" s="240"/>
      <c r="P1096" s="240"/>
      <c r="Q1096" s="240"/>
      <c r="R1096" s="240"/>
      <c r="S1096" s="240"/>
      <c r="T1096" s="240"/>
      <c r="U1096" s="240"/>
      <c r="V1096" s="240"/>
      <c r="W1096" s="240"/>
      <c r="X1096" s="240"/>
      <c r="Y1096" s="240"/>
      <c r="Z1096" s="240"/>
    </row>
    <row r="1097" ht="14.25" customHeight="1">
      <c r="A1097" s="302">
        <f t="shared" si="4"/>
        <v>47269</v>
      </c>
      <c r="B1097" s="241">
        <f t="shared" si="1"/>
        <v>2029</v>
      </c>
      <c r="C1097" s="241">
        <f t="shared" si="2"/>
        <v>5</v>
      </c>
      <c r="D1097" s="301" t="str">
        <f t="shared" si="3"/>
        <v>Thursday</v>
      </c>
      <c r="E1097" s="240"/>
      <c r="F1097" s="240"/>
      <c r="G1097" s="240"/>
      <c r="H1097" s="241"/>
      <c r="I1097" s="301"/>
      <c r="J1097" s="240"/>
      <c r="K1097" s="240"/>
      <c r="L1097" s="240"/>
      <c r="M1097" s="240"/>
      <c r="N1097" s="240"/>
      <c r="O1097" s="240"/>
      <c r="P1097" s="240"/>
      <c r="Q1097" s="240"/>
      <c r="R1097" s="240"/>
      <c r="S1097" s="240"/>
      <c r="T1097" s="240"/>
      <c r="U1097" s="240"/>
      <c r="V1097" s="240"/>
      <c r="W1097" s="240"/>
      <c r="X1097" s="240"/>
      <c r="Y1097" s="240"/>
      <c r="Z1097" s="240"/>
    </row>
    <row r="1098" ht="14.25" customHeight="1">
      <c r="A1098" s="302">
        <f t="shared" si="4"/>
        <v>47270</v>
      </c>
      <c r="B1098" s="241">
        <f t="shared" si="1"/>
        <v>2029</v>
      </c>
      <c r="C1098" s="241">
        <f t="shared" si="2"/>
        <v>6</v>
      </c>
      <c r="D1098" s="301" t="str">
        <f t="shared" si="3"/>
        <v>Friday</v>
      </c>
      <c r="E1098" s="240"/>
      <c r="F1098" s="240"/>
      <c r="G1098" s="240"/>
      <c r="H1098" s="241"/>
      <c r="I1098" s="301"/>
      <c r="J1098" s="240"/>
      <c r="K1098" s="240"/>
      <c r="L1098" s="240"/>
      <c r="M1098" s="240"/>
      <c r="N1098" s="240"/>
      <c r="O1098" s="240"/>
      <c r="P1098" s="240"/>
      <c r="Q1098" s="240"/>
      <c r="R1098" s="240"/>
      <c r="S1098" s="240"/>
      <c r="T1098" s="240"/>
      <c r="U1098" s="240"/>
      <c r="V1098" s="240"/>
      <c r="W1098" s="240"/>
      <c r="X1098" s="240"/>
      <c r="Y1098" s="240"/>
      <c r="Z1098" s="240"/>
    </row>
    <row r="1099" ht="14.25" customHeight="1">
      <c r="A1099" s="302">
        <f t="shared" si="4"/>
        <v>47271</v>
      </c>
      <c r="B1099" s="241">
        <f t="shared" si="1"/>
        <v>2029</v>
      </c>
      <c r="C1099" s="241">
        <f t="shared" si="2"/>
        <v>6</v>
      </c>
      <c r="D1099" s="301" t="str">
        <f t="shared" si="3"/>
        <v>Saturday</v>
      </c>
      <c r="E1099" s="240"/>
      <c r="F1099" s="240"/>
      <c r="G1099" s="240"/>
      <c r="H1099" s="241"/>
      <c r="I1099" s="301"/>
      <c r="J1099" s="240"/>
      <c r="K1099" s="240"/>
      <c r="L1099" s="240"/>
      <c r="M1099" s="240"/>
      <c r="N1099" s="240"/>
      <c r="O1099" s="240"/>
      <c r="P1099" s="240"/>
      <c r="Q1099" s="240"/>
      <c r="R1099" s="240"/>
      <c r="S1099" s="240"/>
      <c r="T1099" s="240"/>
      <c r="U1099" s="240"/>
      <c r="V1099" s="240"/>
      <c r="W1099" s="240"/>
      <c r="X1099" s="240"/>
      <c r="Y1099" s="240"/>
      <c r="Z1099" s="240"/>
    </row>
    <row r="1100" ht="14.25" customHeight="1">
      <c r="A1100" s="302">
        <f t="shared" si="4"/>
        <v>47272</v>
      </c>
      <c r="B1100" s="241">
        <f t="shared" si="1"/>
        <v>2029</v>
      </c>
      <c r="C1100" s="241">
        <f t="shared" si="2"/>
        <v>6</v>
      </c>
      <c r="D1100" s="301" t="str">
        <f t="shared" si="3"/>
        <v>Sunday</v>
      </c>
      <c r="E1100" s="240"/>
      <c r="F1100" s="240"/>
      <c r="G1100" s="240"/>
      <c r="H1100" s="241"/>
      <c r="I1100" s="301"/>
      <c r="J1100" s="240"/>
      <c r="K1100" s="240"/>
      <c r="L1100" s="240"/>
      <c r="M1100" s="240"/>
      <c r="N1100" s="240"/>
      <c r="O1100" s="240"/>
      <c r="P1100" s="240"/>
      <c r="Q1100" s="240"/>
      <c r="R1100" s="240"/>
      <c r="S1100" s="240"/>
      <c r="T1100" s="240"/>
      <c r="U1100" s="240"/>
      <c r="V1100" s="240"/>
      <c r="W1100" s="240"/>
      <c r="X1100" s="240"/>
      <c r="Y1100" s="240"/>
      <c r="Z1100" s="240"/>
    </row>
    <row r="1101" ht="14.25" customHeight="1">
      <c r="A1101" s="302">
        <f t="shared" si="4"/>
        <v>47273</v>
      </c>
      <c r="B1101" s="241">
        <f t="shared" si="1"/>
        <v>2029</v>
      </c>
      <c r="C1101" s="241">
        <f t="shared" si="2"/>
        <v>6</v>
      </c>
      <c r="D1101" s="301" t="str">
        <f t="shared" si="3"/>
        <v>Monday</v>
      </c>
      <c r="E1101" s="240"/>
      <c r="F1101" s="240"/>
      <c r="G1101" s="240"/>
      <c r="H1101" s="241"/>
      <c r="I1101" s="301"/>
      <c r="J1101" s="240"/>
      <c r="K1101" s="240"/>
      <c r="L1101" s="240"/>
      <c r="M1101" s="240"/>
      <c r="N1101" s="240"/>
      <c r="O1101" s="240"/>
      <c r="P1101" s="240"/>
      <c r="Q1101" s="240"/>
      <c r="R1101" s="240"/>
      <c r="S1101" s="240"/>
      <c r="T1101" s="240"/>
      <c r="U1101" s="240"/>
      <c r="V1101" s="240"/>
      <c r="W1101" s="240"/>
      <c r="X1101" s="240"/>
      <c r="Y1101" s="240"/>
      <c r="Z1101" s="240"/>
    </row>
    <row r="1102" ht="14.25" customHeight="1">
      <c r="A1102" s="302">
        <f t="shared" si="4"/>
        <v>47274</v>
      </c>
      <c r="B1102" s="241">
        <f t="shared" si="1"/>
        <v>2029</v>
      </c>
      <c r="C1102" s="241">
        <f t="shared" si="2"/>
        <v>6</v>
      </c>
      <c r="D1102" s="301" t="str">
        <f t="shared" si="3"/>
        <v>Tuesday</v>
      </c>
      <c r="E1102" s="240"/>
      <c r="F1102" s="240"/>
      <c r="G1102" s="240"/>
      <c r="H1102" s="241"/>
      <c r="I1102" s="301"/>
      <c r="J1102" s="240"/>
      <c r="K1102" s="240"/>
      <c r="L1102" s="240"/>
      <c r="M1102" s="240"/>
      <c r="N1102" s="240"/>
      <c r="O1102" s="240"/>
      <c r="P1102" s="240"/>
      <c r="Q1102" s="240"/>
      <c r="R1102" s="240"/>
      <c r="S1102" s="240"/>
      <c r="T1102" s="240"/>
      <c r="U1102" s="240"/>
      <c r="V1102" s="240"/>
      <c r="W1102" s="240"/>
      <c r="X1102" s="240"/>
      <c r="Y1102" s="240"/>
      <c r="Z1102" s="240"/>
    </row>
    <row r="1103" ht="14.25" customHeight="1">
      <c r="A1103" s="302">
        <f t="shared" si="4"/>
        <v>47275</v>
      </c>
      <c r="B1103" s="241">
        <f t="shared" si="1"/>
        <v>2029</v>
      </c>
      <c r="C1103" s="241">
        <f t="shared" si="2"/>
        <v>6</v>
      </c>
      <c r="D1103" s="301" t="str">
        <f t="shared" si="3"/>
        <v>Wednesday</v>
      </c>
      <c r="E1103" s="240"/>
      <c r="F1103" s="240"/>
      <c r="G1103" s="240"/>
      <c r="H1103" s="241"/>
      <c r="I1103" s="301"/>
      <c r="J1103" s="240"/>
      <c r="K1103" s="240"/>
      <c r="L1103" s="240"/>
      <c r="M1103" s="240"/>
      <c r="N1103" s="240"/>
      <c r="O1103" s="240"/>
      <c r="P1103" s="240"/>
      <c r="Q1103" s="240"/>
      <c r="R1103" s="240"/>
      <c r="S1103" s="240"/>
      <c r="T1103" s="240"/>
      <c r="U1103" s="240"/>
      <c r="V1103" s="240"/>
      <c r="W1103" s="240"/>
      <c r="X1103" s="240"/>
      <c r="Y1103" s="240"/>
      <c r="Z1103" s="240"/>
    </row>
    <row r="1104" ht="14.25" customHeight="1">
      <c r="A1104" s="302">
        <f t="shared" si="4"/>
        <v>47276</v>
      </c>
      <c r="B1104" s="241">
        <f t="shared" si="1"/>
        <v>2029</v>
      </c>
      <c r="C1104" s="241">
        <f t="shared" si="2"/>
        <v>6</v>
      </c>
      <c r="D1104" s="301" t="str">
        <f t="shared" si="3"/>
        <v>Thursday</v>
      </c>
      <c r="E1104" s="240"/>
      <c r="F1104" s="240"/>
      <c r="G1104" s="240"/>
      <c r="H1104" s="241"/>
      <c r="I1104" s="301"/>
      <c r="J1104" s="240"/>
      <c r="K1104" s="240"/>
      <c r="L1104" s="240"/>
      <c r="M1104" s="240"/>
      <c r="N1104" s="240"/>
      <c r="O1104" s="240"/>
      <c r="P1104" s="240"/>
      <c r="Q1104" s="240"/>
      <c r="R1104" s="240"/>
      <c r="S1104" s="240"/>
      <c r="T1104" s="240"/>
      <c r="U1104" s="240"/>
      <c r="V1104" s="240"/>
      <c r="W1104" s="240"/>
      <c r="X1104" s="240"/>
      <c r="Y1104" s="240"/>
      <c r="Z1104" s="240"/>
    </row>
    <row r="1105" ht="14.25" customHeight="1">
      <c r="A1105" s="302">
        <f t="shared" si="4"/>
        <v>47277</v>
      </c>
      <c r="B1105" s="241">
        <f t="shared" si="1"/>
        <v>2029</v>
      </c>
      <c r="C1105" s="241">
        <f t="shared" si="2"/>
        <v>6</v>
      </c>
      <c r="D1105" s="301" t="str">
        <f t="shared" si="3"/>
        <v>Friday</v>
      </c>
      <c r="E1105" s="240"/>
      <c r="F1105" s="240"/>
      <c r="G1105" s="240"/>
      <c r="H1105" s="241"/>
      <c r="I1105" s="301"/>
      <c r="J1105" s="240"/>
      <c r="K1105" s="240"/>
      <c r="L1105" s="240"/>
      <c r="M1105" s="240"/>
      <c r="N1105" s="240"/>
      <c r="O1105" s="240"/>
      <c r="P1105" s="240"/>
      <c r="Q1105" s="240"/>
      <c r="R1105" s="240"/>
      <c r="S1105" s="240"/>
      <c r="T1105" s="240"/>
      <c r="U1105" s="240"/>
      <c r="V1105" s="240"/>
      <c r="W1105" s="240"/>
      <c r="X1105" s="240"/>
      <c r="Y1105" s="240"/>
      <c r="Z1105" s="240"/>
    </row>
    <row r="1106" ht="14.25" customHeight="1">
      <c r="A1106" s="302">
        <f t="shared" si="4"/>
        <v>47278</v>
      </c>
      <c r="B1106" s="241">
        <f t="shared" si="1"/>
        <v>2029</v>
      </c>
      <c r="C1106" s="241">
        <f t="shared" si="2"/>
        <v>6</v>
      </c>
      <c r="D1106" s="301" t="str">
        <f t="shared" si="3"/>
        <v>Saturday</v>
      </c>
      <c r="E1106" s="240"/>
      <c r="F1106" s="240"/>
      <c r="G1106" s="240"/>
      <c r="H1106" s="241"/>
      <c r="I1106" s="301"/>
      <c r="J1106" s="240"/>
      <c r="K1106" s="240"/>
      <c r="L1106" s="240"/>
      <c r="M1106" s="240"/>
      <c r="N1106" s="240"/>
      <c r="O1106" s="240"/>
      <c r="P1106" s="240"/>
      <c r="Q1106" s="240"/>
      <c r="R1106" s="240"/>
      <c r="S1106" s="240"/>
      <c r="T1106" s="240"/>
      <c r="U1106" s="240"/>
      <c r="V1106" s="240"/>
      <c r="W1106" s="240"/>
      <c r="X1106" s="240"/>
      <c r="Y1106" s="240"/>
      <c r="Z1106" s="240"/>
    </row>
    <row r="1107" ht="14.25" customHeight="1">
      <c r="A1107" s="302">
        <f t="shared" si="4"/>
        <v>47279</v>
      </c>
      <c r="B1107" s="241">
        <f t="shared" si="1"/>
        <v>2029</v>
      </c>
      <c r="C1107" s="241">
        <f t="shared" si="2"/>
        <v>6</v>
      </c>
      <c r="D1107" s="301" t="str">
        <f t="shared" si="3"/>
        <v>Sunday</v>
      </c>
      <c r="E1107" s="240"/>
      <c r="F1107" s="240"/>
      <c r="G1107" s="240"/>
      <c r="H1107" s="241"/>
      <c r="I1107" s="301"/>
      <c r="J1107" s="240"/>
      <c r="K1107" s="240"/>
      <c r="L1107" s="240"/>
      <c r="M1107" s="240"/>
      <c r="N1107" s="240"/>
      <c r="O1107" s="240"/>
      <c r="P1107" s="240"/>
      <c r="Q1107" s="240"/>
      <c r="R1107" s="240"/>
      <c r="S1107" s="240"/>
      <c r="T1107" s="240"/>
      <c r="U1107" s="240"/>
      <c r="V1107" s="240"/>
      <c r="W1107" s="240"/>
      <c r="X1107" s="240"/>
      <c r="Y1107" s="240"/>
      <c r="Z1107" s="240"/>
    </row>
    <row r="1108" ht="14.25" customHeight="1">
      <c r="A1108" s="302">
        <f t="shared" si="4"/>
        <v>47280</v>
      </c>
      <c r="B1108" s="241">
        <f t="shared" si="1"/>
        <v>2029</v>
      </c>
      <c r="C1108" s="241">
        <f t="shared" si="2"/>
        <v>6</v>
      </c>
      <c r="D1108" s="301" t="str">
        <f t="shared" si="3"/>
        <v>Monday</v>
      </c>
      <c r="E1108" s="240"/>
      <c r="F1108" s="240"/>
      <c r="G1108" s="240"/>
      <c r="H1108" s="241"/>
      <c r="I1108" s="301"/>
      <c r="J1108" s="240"/>
      <c r="K1108" s="240"/>
      <c r="L1108" s="240"/>
      <c r="M1108" s="240"/>
      <c r="N1108" s="240"/>
      <c r="O1108" s="240"/>
      <c r="P1108" s="240"/>
      <c r="Q1108" s="240"/>
      <c r="R1108" s="240"/>
      <c r="S1108" s="240"/>
      <c r="T1108" s="240"/>
      <c r="U1108" s="240"/>
      <c r="V1108" s="240"/>
      <c r="W1108" s="240"/>
      <c r="X1108" s="240"/>
      <c r="Y1108" s="240"/>
      <c r="Z1108" s="240"/>
    </row>
    <row r="1109" ht="14.25" customHeight="1">
      <c r="A1109" s="302">
        <f t="shared" si="4"/>
        <v>47281</v>
      </c>
      <c r="B1109" s="241">
        <f t="shared" si="1"/>
        <v>2029</v>
      </c>
      <c r="C1109" s="241">
        <f t="shared" si="2"/>
        <v>6</v>
      </c>
      <c r="D1109" s="301" t="str">
        <f t="shared" si="3"/>
        <v>Tuesday</v>
      </c>
      <c r="E1109" s="240"/>
      <c r="F1109" s="240"/>
      <c r="G1109" s="240"/>
      <c r="H1109" s="241"/>
      <c r="I1109" s="301"/>
      <c r="J1109" s="240"/>
      <c r="K1109" s="240"/>
      <c r="L1109" s="240"/>
      <c r="M1109" s="240"/>
      <c r="N1109" s="240"/>
      <c r="O1109" s="240"/>
      <c r="P1109" s="240"/>
      <c r="Q1109" s="240"/>
      <c r="R1109" s="240"/>
      <c r="S1109" s="240"/>
      <c r="T1109" s="240"/>
      <c r="U1109" s="240"/>
      <c r="V1109" s="240"/>
      <c r="W1109" s="240"/>
      <c r="X1109" s="240"/>
      <c r="Y1109" s="240"/>
      <c r="Z1109" s="240"/>
    </row>
    <row r="1110" ht="14.25" customHeight="1">
      <c r="A1110" s="302">
        <f t="shared" si="4"/>
        <v>47282</v>
      </c>
      <c r="B1110" s="241">
        <f t="shared" si="1"/>
        <v>2029</v>
      </c>
      <c r="C1110" s="241">
        <f t="shared" si="2"/>
        <v>6</v>
      </c>
      <c r="D1110" s="301" t="str">
        <f t="shared" si="3"/>
        <v>Wednesday</v>
      </c>
      <c r="E1110" s="240"/>
      <c r="F1110" s="240"/>
      <c r="G1110" s="240"/>
      <c r="H1110" s="241"/>
      <c r="I1110" s="301"/>
      <c r="J1110" s="240"/>
      <c r="K1110" s="240"/>
      <c r="L1110" s="240"/>
      <c r="M1110" s="240"/>
      <c r="N1110" s="240"/>
      <c r="O1110" s="240"/>
      <c r="P1110" s="240"/>
      <c r="Q1110" s="240"/>
      <c r="R1110" s="240"/>
      <c r="S1110" s="240"/>
      <c r="T1110" s="240"/>
      <c r="U1110" s="240"/>
      <c r="V1110" s="240"/>
      <c r="W1110" s="240"/>
      <c r="X1110" s="240"/>
      <c r="Y1110" s="240"/>
      <c r="Z1110" s="240"/>
    </row>
    <row r="1111" ht="14.25" customHeight="1">
      <c r="A1111" s="302">
        <f t="shared" si="4"/>
        <v>47283</v>
      </c>
      <c r="B1111" s="241">
        <f t="shared" si="1"/>
        <v>2029</v>
      </c>
      <c r="C1111" s="241">
        <f t="shared" si="2"/>
        <v>6</v>
      </c>
      <c r="D1111" s="301" t="str">
        <f t="shared" si="3"/>
        <v>Thursday</v>
      </c>
      <c r="E1111" s="240"/>
      <c r="F1111" s="240"/>
      <c r="G1111" s="240"/>
      <c r="H1111" s="241"/>
      <c r="I1111" s="301"/>
      <c r="J1111" s="240"/>
      <c r="K1111" s="240"/>
      <c r="L1111" s="240"/>
      <c r="M1111" s="240"/>
      <c r="N1111" s="240"/>
      <c r="O1111" s="240"/>
      <c r="P1111" s="240"/>
      <c r="Q1111" s="240"/>
      <c r="R1111" s="240"/>
      <c r="S1111" s="240"/>
      <c r="T1111" s="240"/>
      <c r="U1111" s="240"/>
      <c r="V1111" s="240"/>
      <c r="W1111" s="240"/>
      <c r="X1111" s="240"/>
      <c r="Y1111" s="240"/>
      <c r="Z1111" s="240"/>
    </row>
    <row r="1112" ht="14.25" customHeight="1">
      <c r="A1112" s="302">
        <f t="shared" si="4"/>
        <v>47284</v>
      </c>
      <c r="B1112" s="241">
        <f t="shared" si="1"/>
        <v>2029</v>
      </c>
      <c r="C1112" s="241">
        <f t="shared" si="2"/>
        <v>6</v>
      </c>
      <c r="D1112" s="301" t="str">
        <f t="shared" si="3"/>
        <v>Friday</v>
      </c>
      <c r="E1112" s="240"/>
      <c r="F1112" s="240"/>
      <c r="G1112" s="240"/>
      <c r="H1112" s="241"/>
      <c r="I1112" s="301"/>
      <c r="J1112" s="240"/>
      <c r="K1112" s="240"/>
      <c r="L1112" s="240"/>
      <c r="M1112" s="240"/>
      <c r="N1112" s="240"/>
      <c r="O1112" s="240"/>
      <c r="P1112" s="240"/>
      <c r="Q1112" s="240"/>
      <c r="R1112" s="240"/>
      <c r="S1112" s="240"/>
      <c r="T1112" s="240"/>
      <c r="U1112" s="240"/>
      <c r="V1112" s="240"/>
      <c r="W1112" s="240"/>
      <c r="X1112" s="240"/>
      <c r="Y1112" s="240"/>
      <c r="Z1112" s="240"/>
    </row>
    <row r="1113" ht="14.25" customHeight="1">
      <c r="A1113" s="302">
        <f t="shared" si="4"/>
        <v>47285</v>
      </c>
      <c r="B1113" s="241">
        <f t="shared" si="1"/>
        <v>2029</v>
      </c>
      <c r="C1113" s="241">
        <f t="shared" si="2"/>
        <v>6</v>
      </c>
      <c r="D1113" s="301" t="str">
        <f t="shared" si="3"/>
        <v>Saturday</v>
      </c>
      <c r="E1113" s="240"/>
      <c r="F1113" s="240"/>
      <c r="G1113" s="240"/>
      <c r="H1113" s="241"/>
      <c r="I1113" s="301"/>
      <c r="J1113" s="240"/>
      <c r="K1113" s="240"/>
      <c r="L1113" s="240"/>
      <c r="M1113" s="240"/>
      <c r="N1113" s="240"/>
      <c r="O1113" s="240"/>
      <c r="P1113" s="240"/>
      <c r="Q1113" s="240"/>
      <c r="R1113" s="240"/>
      <c r="S1113" s="240"/>
      <c r="T1113" s="240"/>
      <c r="U1113" s="240"/>
      <c r="V1113" s="240"/>
      <c r="W1113" s="240"/>
      <c r="X1113" s="240"/>
      <c r="Y1113" s="240"/>
      <c r="Z1113" s="240"/>
    </row>
    <row r="1114" ht="14.25" customHeight="1">
      <c r="A1114" s="302">
        <f t="shared" si="4"/>
        <v>47286</v>
      </c>
      <c r="B1114" s="241">
        <f t="shared" si="1"/>
        <v>2029</v>
      </c>
      <c r="C1114" s="241">
        <f t="shared" si="2"/>
        <v>6</v>
      </c>
      <c r="D1114" s="301" t="str">
        <f t="shared" si="3"/>
        <v>Sunday</v>
      </c>
      <c r="E1114" s="240"/>
      <c r="F1114" s="240"/>
      <c r="G1114" s="240"/>
      <c r="H1114" s="241"/>
      <c r="I1114" s="301"/>
      <c r="J1114" s="240"/>
      <c r="K1114" s="240"/>
      <c r="L1114" s="240"/>
      <c r="M1114" s="240"/>
      <c r="N1114" s="240"/>
      <c r="O1114" s="240"/>
      <c r="P1114" s="240"/>
      <c r="Q1114" s="240"/>
      <c r="R1114" s="240"/>
      <c r="S1114" s="240"/>
      <c r="T1114" s="240"/>
      <c r="U1114" s="240"/>
      <c r="V1114" s="240"/>
      <c r="W1114" s="240"/>
      <c r="X1114" s="240"/>
      <c r="Y1114" s="240"/>
      <c r="Z1114" s="240"/>
    </row>
    <row r="1115" ht="14.25" customHeight="1">
      <c r="A1115" s="302">
        <f t="shared" si="4"/>
        <v>47287</v>
      </c>
      <c r="B1115" s="241">
        <f t="shared" si="1"/>
        <v>2029</v>
      </c>
      <c r="C1115" s="241">
        <f t="shared" si="2"/>
        <v>6</v>
      </c>
      <c r="D1115" s="301" t="str">
        <f t="shared" si="3"/>
        <v>Monday</v>
      </c>
      <c r="E1115" s="240"/>
      <c r="F1115" s="240"/>
      <c r="G1115" s="240"/>
      <c r="H1115" s="241"/>
      <c r="I1115" s="301"/>
      <c r="J1115" s="240"/>
      <c r="K1115" s="240"/>
      <c r="L1115" s="240"/>
      <c r="M1115" s="240"/>
      <c r="N1115" s="240"/>
      <c r="O1115" s="240"/>
      <c r="P1115" s="240"/>
      <c r="Q1115" s="240"/>
      <c r="R1115" s="240"/>
      <c r="S1115" s="240"/>
      <c r="T1115" s="240"/>
      <c r="U1115" s="240"/>
      <c r="V1115" s="240"/>
      <c r="W1115" s="240"/>
      <c r="X1115" s="240"/>
      <c r="Y1115" s="240"/>
      <c r="Z1115" s="240"/>
    </row>
    <row r="1116" ht="14.25" customHeight="1">
      <c r="A1116" s="302">
        <f t="shared" si="4"/>
        <v>47288</v>
      </c>
      <c r="B1116" s="241">
        <f t="shared" si="1"/>
        <v>2029</v>
      </c>
      <c r="C1116" s="241">
        <f t="shared" si="2"/>
        <v>6</v>
      </c>
      <c r="D1116" s="301" t="str">
        <f t="shared" si="3"/>
        <v>Tuesday</v>
      </c>
      <c r="E1116" s="240"/>
      <c r="F1116" s="240"/>
      <c r="G1116" s="240"/>
      <c r="H1116" s="241"/>
      <c r="I1116" s="301"/>
      <c r="J1116" s="240"/>
      <c r="K1116" s="240"/>
      <c r="L1116" s="240"/>
      <c r="M1116" s="240"/>
      <c r="N1116" s="240"/>
      <c r="O1116" s="240"/>
      <c r="P1116" s="240"/>
      <c r="Q1116" s="240"/>
      <c r="R1116" s="240"/>
      <c r="S1116" s="240"/>
      <c r="T1116" s="240"/>
      <c r="U1116" s="240"/>
      <c r="V1116" s="240"/>
      <c r="W1116" s="240"/>
      <c r="X1116" s="240"/>
      <c r="Y1116" s="240"/>
      <c r="Z1116" s="240"/>
    </row>
    <row r="1117" ht="14.25" customHeight="1">
      <c r="A1117" s="302">
        <f t="shared" si="4"/>
        <v>47289</v>
      </c>
      <c r="B1117" s="241">
        <f t="shared" si="1"/>
        <v>2029</v>
      </c>
      <c r="C1117" s="241">
        <f t="shared" si="2"/>
        <v>6</v>
      </c>
      <c r="D1117" s="301" t="str">
        <f t="shared" si="3"/>
        <v>Wednesday</v>
      </c>
      <c r="E1117" s="240"/>
      <c r="F1117" s="240"/>
      <c r="G1117" s="240"/>
      <c r="H1117" s="241"/>
      <c r="I1117" s="301"/>
      <c r="J1117" s="240"/>
      <c r="K1117" s="240"/>
      <c r="L1117" s="240"/>
      <c r="M1117" s="240"/>
      <c r="N1117" s="240"/>
      <c r="O1117" s="240"/>
      <c r="P1117" s="240"/>
      <c r="Q1117" s="240"/>
      <c r="R1117" s="240"/>
      <c r="S1117" s="240"/>
      <c r="T1117" s="240"/>
      <c r="U1117" s="240"/>
      <c r="V1117" s="240"/>
      <c r="W1117" s="240"/>
      <c r="X1117" s="240"/>
      <c r="Y1117" s="240"/>
      <c r="Z1117" s="240"/>
    </row>
    <row r="1118" ht="14.25" customHeight="1">
      <c r="A1118" s="302">
        <f t="shared" si="4"/>
        <v>47290</v>
      </c>
      <c r="B1118" s="241">
        <f t="shared" si="1"/>
        <v>2029</v>
      </c>
      <c r="C1118" s="241">
        <f t="shared" si="2"/>
        <v>6</v>
      </c>
      <c r="D1118" s="301" t="str">
        <f t="shared" si="3"/>
        <v>Thursday</v>
      </c>
      <c r="E1118" s="240"/>
      <c r="F1118" s="240"/>
      <c r="G1118" s="240"/>
      <c r="H1118" s="241"/>
      <c r="I1118" s="301"/>
      <c r="J1118" s="240"/>
      <c r="K1118" s="240"/>
      <c r="L1118" s="240"/>
      <c r="M1118" s="240"/>
      <c r="N1118" s="240"/>
      <c r="O1118" s="240"/>
      <c r="P1118" s="240"/>
      <c r="Q1118" s="240"/>
      <c r="R1118" s="240"/>
      <c r="S1118" s="240"/>
      <c r="T1118" s="240"/>
      <c r="U1118" s="240"/>
      <c r="V1118" s="240"/>
      <c r="W1118" s="240"/>
      <c r="X1118" s="240"/>
      <c r="Y1118" s="240"/>
      <c r="Z1118" s="240"/>
    </row>
    <row r="1119" ht="14.25" customHeight="1">
      <c r="A1119" s="302">
        <f t="shared" si="4"/>
        <v>47291</v>
      </c>
      <c r="B1119" s="241">
        <f t="shared" si="1"/>
        <v>2029</v>
      </c>
      <c r="C1119" s="241">
        <f t="shared" si="2"/>
        <v>6</v>
      </c>
      <c r="D1119" s="301" t="str">
        <f t="shared" si="3"/>
        <v>Friday</v>
      </c>
      <c r="E1119" s="240"/>
      <c r="F1119" s="240"/>
      <c r="G1119" s="240"/>
      <c r="H1119" s="241"/>
      <c r="I1119" s="301"/>
      <c r="J1119" s="240"/>
      <c r="K1119" s="240"/>
      <c r="L1119" s="240"/>
      <c r="M1119" s="240"/>
      <c r="N1119" s="240"/>
      <c r="O1119" s="240"/>
      <c r="P1119" s="240"/>
      <c r="Q1119" s="240"/>
      <c r="R1119" s="240"/>
      <c r="S1119" s="240"/>
      <c r="T1119" s="240"/>
      <c r="U1119" s="240"/>
      <c r="V1119" s="240"/>
      <c r="W1119" s="240"/>
      <c r="X1119" s="240"/>
      <c r="Y1119" s="240"/>
      <c r="Z1119" s="240"/>
    </row>
    <row r="1120" ht="14.25" customHeight="1">
      <c r="A1120" s="302">
        <f t="shared" si="4"/>
        <v>47292</v>
      </c>
      <c r="B1120" s="241">
        <f t="shared" si="1"/>
        <v>2029</v>
      </c>
      <c r="C1120" s="241">
        <f t="shared" si="2"/>
        <v>6</v>
      </c>
      <c r="D1120" s="301" t="str">
        <f t="shared" si="3"/>
        <v>Saturday</v>
      </c>
      <c r="E1120" s="240"/>
      <c r="F1120" s="240"/>
      <c r="G1120" s="240"/>
      <c r="H1120" s="241"/>
      <c r="I1120" s="301"/>
      <c r="J1120" s="240"/>
      <c r="K1120" s="240"/>
      <c r="L1120" s="240"/>
      <c r="M1120" s="240"/>
      <c r="N1120" s="240"/>
      <c r="O1120" s="240"/>
      <c r="P1120" s="240"/>
      <c r="Q1120" s="240"/>
      <c r="R1120" s="240"/>
      <c r="S1120" s="240"/>
      <c r="T1120" s="240"/>
      <c r="U1120" s="240"/>
      <c r="V1120" s="240"/>
      <c r="W1120" s="240"/>
      <c r="X1120" s="240"/>
      <c r="Y1120" s="240"/>
      <c r="Z1120" s="240"/>
    </row>
    <row r="1121" ht="14.25" customHeight="1">
      <c r="A1121" s="302">
        <f t="shared" si="4"/>
        <v>47293</v>
      </c>
      <c r="B1121" s="241">
        <f t="shared" si="1"/>
        <v>2029</v>
      </c>
      <c r="C1121" s="241">
        <f t="shared" si="2"/>
        <v>6</v>
      </c>
      <c r="D1121" s="301" t="str">
        <f t="shared" si="3"/>
        <v>Sunday</v>
      </c>
      <c r="E1121" s="240"/>
      <c r="F1121" s="240"/>
      <c r="G1121" s="240"/>
      <c r="H1121" s="241"/>
      <c r="I1121" s="301"/>
      <c r="J1121" s="240"/>
      <c r="K1121" s="240"/>
      <c r="L1121" s="240"/>
      <c r="M1121" s="240"/>
      <c r="N1121" s="240"/>
      <c r="O1121" s="240"/>
      <c r="P1121" s="240"/>
      <c r="Q1121" s="240"/>
      <c r="R1121" s="240"/>
      <c r="S1121" s="240"/>
      <c r="T1121" s="240"/>
      <c r="U1121" s="240"/>
      <c r="V1121" s="240"/>
      <c r="W1121" s="240"/>
      <c r="X1121" s="240"/>
      <c r="Y1121" s="240"/>
      <c r="Z1121" s="240"/>
    </row>
    <row r="1122" ht="14.25" customHeight="1">
      <c r="A1122" s="302">
        <f t="shared" si="4"/>
        <v>47294</v>
      </c>
      <c r="B1122" s="241">
        <f t="shared" si="1"/>
        <v>2029</v>
      </c>
      <c r="C1122" s="241">
        <f t="shared" si="2"/>
        <v>6</v>
      </c>
      <c r="D1122" s="301" t="str">
        <f t="shared" si="3"/>
        <v>Monday</v>
      </c>
      <c r="E1122" s="240"/>
      <c r="F1122" s="240"/>
      <c r="G1122" s="240"/>
      <c r="H1122" s="241"/>
      <c r="I1122" s="301"/>
      <c r="J1122" s="240"/>
      <c r="K1122" s="240"/>
      <c r="L1122" s="240"/>
      <c r="M1122" s="240"/>
      <c r="N1122" s="240"/>
      <c r="O1122" s="240"/>
      <c r="P1122" s="240"/>
      <c r="Q1122" s="240"/>
      <c r="R1122" s="240"/>
      <c r="S1122" s="240"/>
      <c r="T1122" s="240"/>
      <c r="U1122" s="240"/>
      <c r="V1122" s="240"/>
      <c r="W1122" s="240"/>
      <c r="X1122" s="240"/>
      <c r="Y1122" s="240"/>
      <c r="Z1122" s="240"/>
    </row>
    <row r="1123" ht="14.25" customHeight="1">
      <c r="A1123" s="302">
        <f t="shared" si="4"/>
        <v>47295</v>
      </c>
      <c r="B1123" s="241">
        <f t="shared" si="1"/>
        <v>2029</v>
      </c>
      <c r="C1123" s="241">
        <f t="shared" si="2"/>
        <v>6</v>
      </c>
      <c r="D1123" s="301" t="str">
        <f t="shared" si="3"/>
        <v>Tuesday</v>
      </c>
      <c r="E1123" s="240"/>
      <c r="F1123" s="240"/>
      <c r="G1123" s="240"/>
      <c r="H1123" s="241"/>
      <c r="I1123" s="301"/>
      <c r="J1123" s="240"/>
      <c r="K1123" s="240"/>
      <c r="L1123" s="240"/>
      <c r="M1123" s="240"/>
      <c r="N1123" s="240"/>
      <c r="O1123" s="240"/>
      <c r="P1123" s="240"/>
      <c r="Q1123" s="240"/>
      <c r="R1123" s="240"/>
      <c r="S1123" s="240"/>
      <c r="T1123" s="240"/>
      <c r="U1123" s="240"/>
      <c r="V1123" s="240"/>
      <c r="W1123" s="240"/>
      <c r="X1123" s="240"/>
      <c r="Y1123" s="240"/>
      <c r="Z1123" s="240"/>
    </row>
    <row r="1124" ht="14.25" customHeight="1">
      <c r="A1124" s="302">
        <f t="shared" si="4"/>
        <v>47296</v>
      </c>
      <c r="B1124" s="241">
        <f t="shared" si="1"/>
        <v>2029</v>
      </c>
      <c r="C1124" s="241">
        <f t="shared" si="2"/>
        <v>6</v>
      </c>
      <c r="D1124" s="301" t="str">
        <f t="shared" si="3"/>
        <v>Wednesday</v>
      </c>
      <c r="E1124" s="240"/>
      <c r="F1124" s="240"/>
      <c r="G1124" s="240"/>
      <c r="H1124" s="241"/>
      <c r="I1124" s="301"/>
      <c r="J1124" s="240"/>
      <c r="K1124" s="240"/>
      <c r="L1124" s="240"/>
      <c r="M1124" s="240"/>
      <c r="N1124" s="240"/>
      <c r="O1124" s="240"/>
      <c r="P1124" s="240"/>
      <c r="Q1124" s="240"/>
      <c r="R1124" s="240"/>
      <c r="S1124" s="240"/>
      <c r="T1124" s="240"/>
      <c r="U1124" s="240"/>
      <c r="V1124" s="240"/>
      <c r="W1124" s="240"/>
      <c r="X1124" s="240"/>
      <c r="Y1124" s="240"/>
      <c r="Z1124" s="240"/>
    </row>
    <row r="1125" ht="14.25" customHeight="1">
      <c r="A1125" s="302">
        <f t="shared" si="4"/>
        <v>47297</v>
      </c>
      <c r="B1125" s="241">
        <f t="shared" si="1"/>
        <v>2029</v>
      </c>
      <c r="C1125" s="241">
        <f t="shared" si="2"/>
        <v>6</v>
      </c>
      <c r="D1125" s="301" t="str">
        <f t="shared" si="3"/>
        <v>Thursday</v>
      </c>
      <c r="E1125" s="240"/>
      <c r="F1125" s="240"/>
      <c r="G1125" s="240"/>
      <c r="H1125" s="241"/>
      <c r="I1125" s="301"/>
      <c r="J1125" s="240"/>
      <c r="K1125" s="240"/>
      <c r="L1125" s="240"/>
      <c r="M1125" s="240"/>
      <c r="N1125" s="240"/>
      <c r="O1125" s="240"/>
      <c r="P1125" s="240"/>
      <c r="Q1125" s="240"/>
      <c r="R1125" s="240"/>
      <c r="S1125" s="240"/>
      <c r="T1125" s="240"/>
      <c r="U1125" s="240"/>
      <c r="V1125" s="240"/>
      <c r="W1125" s="240"/>
      <c r="X1125" s="240"/>
      <c r="Y1125" s="240"/>
      <c r="Z1125" s="240"/>
    </row>
    <row r="1126" ht="14.25" customHeight="1">
      <c r="A1126" s="302">
        <f t="shared" si="4"/>
        <v>47298</v>
      </c>
      <c r="B1126" s="241">
        <f t="shared" si="1"/>
        <v>2029</v>
      </c>
      <c r="C1126" s="241">
        <f t="shared" si="2"/>
        <v>6</v>
      </c>
      <c r="D1126" s="301" t="str">
        <f t="shared" si="3"/>
        <v>Friday</v>
      </c>
      <c r="E1126" s="240"/>
      <c r="F1126" s="240"/>
      <c r="G1126" s="240"/>
      <c r="H1126" s="241"/>
      <c r="I1126" s="301"/>
      <c r="J1126" s="240"/>
      <c r="K1126" s="240"/>
      <c r="L1126" s="240"/>
      <c r="M1126" s="240"/>
      <c r="N1126" s="240"/>
      <c r="O1126" s="240"/>
      <c r="P1126" s="240"/>
      <c r="Q1126" s="240"/>
      <c r="R1126" s="240"/>
      <c r="S1126" s="240"/>
      <c r="T1126" s="240"/>
      <c r="U1126" s="240"/>
      <c r="V1126" s="240"/>
      <c r="W1126" s="240"/>
      <c r="X1126" s="240"/>
      <c r="Y1126" s="240"/>
      <c r="Z1126" s="240"/>
    </row>
    <row r="1127" ht="14.25" customHeight="1">
      <c r="A1127" s="302">
        <f t="shared" si="4"/>
        <v>47299</v>
      </c>
      <c r="B1127" s="241">
        <f t="shared" si="1"/>
        <v>2029</v>
      </c>
      <c r="C1127" s="241">
        <f t="shared" si="2"/>
        <v>6</v>
      </c>
      <c r="D1127" s="301" t="str">
        <f t="shared" si="3"/>
        <v>Saturday</v>
      </c>
      <c r="E1127" s="240"/>
      <c r="F1127" s="240"/>
      <c r="G1127" s="240"/>
      <c r="H1127" s="241"/>
      <c r="I1127" s="301"/>
      <c r="J1127" s="240"/>
      <c r="K1127" s="240"/>
      <c r="L1127" s="240"/>
      <c r="M1127" s="240"/>
      <c r="N1127" s="240"/>
      <c r="O1127" s="240"/>
      <c r="P1127" s="240"/>
      <c r="Q1127" s="240"/>
      <c r="R1127" s="240"/>
      <c r="S1127" s="240"/>
      <c r="T1127" s="240"/>
      <c r="U1127" s="240"/>
      <c r="V1127" s="240"/>
      <c r="W1127" s="240"/>
      <c r="X1127" s="240"/>
      <c r="Y1127" s="240"/>
      <c r="Z1127" s="240"/>
    </row>
    <row r="1128" ht="14.25" customHeight="1">
      <c r="A1128" s="302">
        <f t="shared" si="4"/>
        <v>47300</v>
      </c>
      <c r="B1128" s="241">
        <f t="shared" si="1"/>
        <v>2029</v>
      </c>
      <c r="C1128" s="241">
        <f t="shared" si="2"/>
        <v>7</v>
      </c>
      <c r="D1128" s="301" t="str">
        <f t="shared" si="3"/>
        <v>Sunday</v>
      </c>
      <c r="E1128" s="240"/>
      <c r="F1128" s="240"/>
      <c r="G1128" s="240"/>
      <c r="H1128" s="241"/>
      <c r="I1128" s="301"/>
      <c r="J1128" s="240"/>
      <c r="K1128" s="240"/>
      <c r="L1128" s="240"/>
      <c r="M1128" s="240"/>
      <c r="N1128" s="240"/>
      <c r="O1128" s="240"/>
      <c r="P1128" s="240"/>
      <c r="Q1128" s="240"/>
      <c r="R1128" s="240"/>
      <c r="S1128" s="240"/>
      <c r="T1128" s="240"/>
      <c r="U1128" s="240"/>
      <c r="V1128" s="240"/>
      <c r="W1128" s="240"/>
      <c r="X1128" s="240"/>
      <c r="Y1128" s="240"/>
      <c r="Z1128" s="240"/>
    </row>
    <row r="1129" ht="14.25" customHeight="1">
      <c r="A1129" s="302">
        <f t="shared" si="4"/>
        <v>47301</v>
      </c>
      <c r="B1129" s="241">
        <f t="shared" si="1"/>
        <v>2029</v>
      </c>
      <c r="C1129" s="241">
        <f t="shared" si="2"/>
        <v>7</v>
      </c>
      <c r="D1129" s="301" t="str">
        <f t="shared" si="3"/>
        <v>Monday</v>
      </c>
      <c r="E1129" s="240"/>
      <c r="F1129" s="240"/>
      <c r="G1129" s="240"/>
      <c r="H1129" s="241"/>
      <c r="I1129" s="301"/>
      <c r="J1129" s="240"/>
      <c r="K1129" s="240"/>
      <c r="L1129" s="240"/>
      <c r="M1129" s="240"/>
      <c r="N1129" s="240"/>
      <c r="O1129" s="240"/>
      <c r="P1129" s="240"/>
      <c r="Q1129" s="240"/>
      <c r="R1129" s="240"/>
      <c r="S1129" s="240"/>
      <c r="T1129" s="240"/>
      <c r="U1129" s="240"/>
      <c r="V1129" s="240"/>
      <c r="W1129" s="240"/>
      <c r="X1129" s="240"/>
      <c r="Y1129" s="240"/>
      <c r="Z1129" s="240"/>
    </row>
    <row r="1130" ht="14.25" customHeight="1">
      <c r="A1130" s="302">
        <f t="shared" si="4"/>
        <v>47302</v>
      </c>
      <c r="B1130" s="241">
        <f t="shared" si="1"/>
        <v>2029</v>
      </c>
      <c r="C1130" s="241">
        <f t="shared" si="2"/>
        <v>7</v>
      </c>
      <c r="D1130" s="301" t="str">
        <f t="shared" si="3"/>
        <v>Tuesday</v>
      </c>
      <c r="E1130" s="240"/>
      <c r="F1130" s="240"/>
      <c r="G1130" s="240"/>
      <c r="H1130" s="241"/>
      <c r="I1130" s="301"/>
      <c r="J1130" s="240"/>
      <c r="K1130" s="240"/>
      <c r="L1130" s="240"/>
      <c r="M1130" s="240"/>
      <c r="N1130" s="240"/>
      <c r="O1130" s="240"/>
      <c r="P1130" s="240"/>
      <c r="Q1130" s="240"/>
      <c r="R1130" s="240"/>
      <c r="S1130" s="240"/>
      <c r="T1130" s="240"/>
      <c r="U1130" s="240"/>
      <c r="V1130" s="240"/>
      <c r="W1130" s="240"/>
      <c r="X1130" s="240"/>
      <c r="Y1130" s="240"/>
      <c r="Z1130" s="240"/>
    </row>
    <row r="1131" ht="14.25" customHeight="1">
      <c r="A1131" s="302">
        <f t="shared" si="4"/>
        <v>47303</v>
      </c>
      <c r="B1131" s="241">
        <f t="shared" si="1"/>
        <v>2029</v>
      </c>
      <c r="C1131" s="241">
        <f t="shared" si="2"/>
        <v>7</v>
      </c>
      <c r="D1131" s="301" t="str">
        <f t="shared" si="3"/>
        <v>Wednesday</v>
      </c>
      <c r="E1131" s="240"/>
      <c r="F1131" s="240"/>
      <c r="G1131" s="240"/>
      <c r="H1131" s="241"/>
      <c r="I1131" s="301"/>
      <c r="J1131" s="240"/>
      <c r="K1131" s="240"/>
      <c r="L1131" s="240"/>
      <c r="M1131" s="240"/>
      <c r="N1131" s="240"/>
      <c r="O1131" s="240"/>
      <c r="P1131" s="240"/>
      <c r="Q1131" s="240"/>
      <c r="R1131" s="240"/>
      <c r="S1131" s="240"/>
      <c r="T1131" s="240"/>
      <c r="U1131" s="240"/>
      <c r="V1131" s="240"/>
      <c r="W1131" s="240"/>
      <c r="X1131" s="240"/>
      <c r="Y1131" s="240"/>
      <c r="Z1131" s="240"/>
    </row>
    <row r="1132" ht="14.25" customHeight="1">
      <c r="A1132" s="302">
        <f t="shared" si="4"/>
        <v>47304</v>
      </c>
      <c r="B1132" s="241">
        <f t="shared" si="1"/>
        <v>2029</v>
      </c>
      <c r="C1132" s="241">
        <f t="shared" si="2"/>
        <v>7</v>
      </c>
      <c r="D1132" s="301" t="str">
        <f t="shared" si="3"/>
        <v>Thursday</v>
      </c>
      <c r="E1132" s="240"/>
      <c r="F1132" s="240"/>
      <c r="G1132" s="240"/>
      <c r="H1132" s="241"/>
      <c r="I1132" s="301"/>
      <c r="J1132" s="240"/>
      <c r="K1132" s="240"/>
      <c r="L1132" s="240"/>
      <c r="M1132" s="240"/>
      <c r="N1132" s="240"/>
      <c r="O1132" s="240"/>
      <c r="P1132" s="240"/>
      <c r="Q1132" s="240"/>
      <c r="R1132" s="240"/>
      <c r="S1132" s="240"/>
      <c r="T1132" s="240"/>
      <c r="U1132" s="240"/>
      <c r="V1132" s="240"/>
      <c r="W1132" s="240"/>
      <c r="X1132" s="240"/>
      <c r="Y1132" s="240"/>
      <c r="Z1132" s="240"/>
    </row>
    <row r="1133" ht="14.25" customHeight="1">
      <c r="A1133" s="302">
        <f t="shared" si="4"/>
        <v>47305</v>
      </c>
      <c r="B1133" s="241">
        <f t="shared" si="1"/>
        <v>2029</v>
      </c>
      <c r="C1133" s="241">
        <f t="shared" si="2"/>
        <v>7</v>
      </c>
      <c r="D1133" s="301" t="str">
        <f t="shared" si="3"/>
        <v>Friday</v>
      </c>
      <c r="E1133" s="240"/>
      <c r="F1133" s="240"/>
      <c r="G1133" s="240"/>
      <c r="H1133" s="241"/>
      <c r="I1133" s="301"/>
      <c r="J1133" s="240"/>
      <c r="K1133" s="240"/>
      <c r="L1133" s="240"/>
      <c r="M1133" s="240"/>
      <c r="N1133" s="240"/>
      <c r="O1133" s="240"/>
      <c r="P1133" s="240"/>
      <c r="Q1133" s="240"/>
      <c r="R1133" s="240"/>
      <c r="S1133" s="240"/>
      <c r="T1133" s="240"/>
      <c r="U1133" s="240"/>
      <c r="V1133" s="240"/>
      <c r="W1133" s="240"/>
      <c r="X1133" s="240"/>
      <c r="Y1133" s="240"/>
      <c r="Z1133" s="240"/>
    </row>
    <row r="1134" ht="14.25" customHeight="1">
      <c r="A1134" s="302">
        <f t="shared" si="4"/>
        <v>47306</v>
      </c>
      <c r="B1134" s="241">
        <f t="shared" si="1"/>
        <v>2029</v>
      </c>
      <c r="C1134" s="241">
        <f t="shared" si="2"/>
        <v>7</v>
      </c>
      <c r="D1134" s="301" t="str">
        <f t="shared" si="3"/>
        <v>Saturday</v>
      </c>
      <c r="E1134" s="240"/>
      <c r="F1134" s="240"/>
      <c r="G1134" s="240"/>
      <c r="H1134" s="241"/>
      <c r="I1134" s="301"/>
      <c r="J1134" s="240"/>
      <c r="K1134" s="240"/>
      <c r="L1134" s="240"/>
      <c r="M1134" s="240"/>
      <c r="N1134" s="240"/>
      <c r="O1134" s="240"/>
      <c r="P1134" s="240"/>
      <c r="Q1134" s="240"/>
      <c r="R1134" s="240"/>
      <c r="S1134" s="240"/>
      <c r="T1134" s="240"/>
      <c r="U1134" s="240"/>
      <c r="V1134" s="240"/>
      <c r="W1134" s="240"/>
      <c r="X1134" s="240"/>
      <c r="Y1134" s="240"/>
      <c r="Z1134" s="240"/>
    </row>
    <row r="1135" ht="14.25" customHeight="1">
      <c r="A1135" s="302">
        <f t="shared" si="4"/>
        <v>47307</v>
      </c>
      <c r="B1135" s="241">
        <f t="shared" si="1"/>
        <v>2029</v>
      </c>
      <c r="C1135" s="241">
        <f t="shared" si="2"/>
        <v>7</v>
      </c>
      <c r="D1135" s="301" t="str">
        <f t="shared" si="3"/>
        <v>Sunday</v>
      </c>
      <c r="E1135" s="240"/>
      <c r="F1135" s="240"/>
      <c r="G1135" s="240"/>
      <c r="H1135" s="241"/>
      <c r="I1135" s="301"/>
      <c r="J1135" s="240"/>
      <c r="K1135" s="240"/>
      <c r="L1135" s="240"/>
      <c r="M1135" s="240"/>
      <c r="N1135" s="240"/>
      <c r="O1135" s="240"/>
      <c r="P1135" s="240"/>
      <c r="Q1135" s="240"/>
      <c r="R1135" s="240"/>
      <c r="S1135" s="240"/>
      <c r="T1135" s="240"/>
      <c r="U1135" s="240"/>
      <c r="V1135" s="240"/>
      <c r="W1135" s="240"/>
      <c r="X1135" s="240"/>
      <c r="Y1135" s="240"/>
      <c r="Z1135" s="240"/>
    </row>
    <row r="1136" ht="14.25" customHeight="1">
      <c r="A1136" s="302">
        <f t="shared" si="4"/>
        <v>47308</v>
      </c>
      <c r="B1136" s="241">
        <f t="shared" si="1"/>
        <v>2029</v>
      </c>
      <c r="C1136" s="241">
        <f t="shared" si="2"/>
        <v>7</v>
      </c>
      <c r="D1136" s="301" t="str">
        <f t="shared" si="3"/>
        <v>Monday</v>
      </c>
      <c r="E1136" s="240"/>
      <c r="F1136" s="240"/>
      <c r="G1136" s="240"/>
      <c r="H1136" s="241"/>
      <c r="I1136" s="301"/>
      <c r="J1136" s="240"/>
      <c r="K1136" s="240"/>
      <c r="L1136" s="240"/>
      <c r="M1136" s="240"/>
      <c r="N1136" s="240"/>
      <c r="O1136" s="240"/>
      <c r="P1136" s="240"/>
      <c r="Q1136" s="240"/>
      <c r="R1136" s="240"/>
      <c r="S1136" s="240"/>
      <c r="T1136" s="240"/>
      <c r="U1136" s="240"/>
      <c r="V1136" s="240"/>
      <c r="W1136" s="240"/>
      <c r="X1136" s="240"/>
      <c r="Y1136" s="240"/>
      <c r="Z1136" s="240"/>
    </row>
    <row r="1137" ht="14.25" customHeight="1">
      <c r="A1137" s="302">
        <f t="shared" si="4"/>
        <v>47309</v>
      </c>
      <c r="B1137" s="241">
        <f t="shared" si="1"/>
        <v>2029</v>
      </c>
      <c r="C1137" s="241">
        <f t="shared" si="2"/>
        <v>7</v>
      </c>
      <c r="D1137" s="301" t="str">
        <f t="shared" si="3"/>
        <v>Tuesday</v>
      </c>
      <c r="E1137" s="240"/>
      <c r="F1137" s="240"/>
      <c r="G1137" s="240"/>
      <c r="H1137" s="241"/>
      <c r="I1137" s="301"/>
      <c r="J1137" s="240"/>
      <c r="K1137" s="240"/>
      <c r="L1137" s="240"/>
      <c r="M1137" s="240"/>
      <c r="N1137" s="240"/>
      <c r="O1137" s="240"/>
      <c r="P1137" s="240"/>
      <c r="Q1137" s="240"/>
      <c r="R1137" s="240"/>
      <c r="S1137" s="240"/>
      <c r="T1137" s="240"/>
      <c r="U1137" s="240"/>
      <c r="V1137" s="240"/>
      <c r="W1137" s="240"/>
      <c r="X1137" s="240"/>
      <c r="Y1137" s="240"/>
      <c r="Z1137" s="240"/>
    </row>
    <row r="1138" ht="14.25" customHeight="1">
      <c r="A1138" s="302">
        <f t="shared" si="4"/>
        <v>47310</v>
      </c>
      <c r="B1138" s="241">
        <f t="shared" si="1"/>
        <v>2029</v>
      </c>
      <c r="C1138" s="241">
        <f t="shared" si="2"/>
        <v>7</v>
      </c>
      <c r="D1138" s="301" t="str">
        <f t="shared" si="3"/>
        <v>Wednesday</v>
      </c>
      <c r="E1138" s="240"/>
      <c r="F1138" s="240"/>
      <c r="G1138" s="240"/>
      <c r="H1138" s="241"/>
      <c r="I1138" s="301"/>
      <c r="J1138" s="240"/>
      <c r="K1138" s="240"/>
      <c r="L1138" s="240"/>
      <c r="M1138" s="240"/>
      <c r="N1138" s="240"/>
      <c r="O1138" s="240"/>
      <c r="P1138" s="240"/>
      <c r="Q1138" s="240"/>
      <c r="R1138" s="240"/>
      <c r="S1138" s="240"/>
      <c r="T1138" s="240"/>
      <c r="U1138" s="240"/>
      <c r="V1138" s="240"/>
      <c r="W1138" s="240"/>
      <c r="X1138" s="240"/>
      <c r="Y1138" s="240"/>
      <c r="Z1138" s="240"/>
    </row>
    <row r="1139" ht="14.25" customHeight="1">
      <c r="A1139" s="302">
        <f t="shared" si="4"/>
        <v>47311</v>
      </c>
      <c r="B1139" s="241">
        <f t="shared" si="1"/>
        <v>2029</v>
      </c>
      <c r="C1139" s="241">
        <f t="shared" si="2"/>
        <v>7</v>
      </c>
      <c r="D1139" s="301" t="str">
        <f t="shared" si="3"/>
        <v>Thursday</v>
      </c>
      <c r="E1139" s="240"/>
      <c r="F1139" s="240"/>
      <c r="G1139" s="240"/>
      <c r="H1139" s="241"/>
      <c r="I1139" s="301"/>
      <c r="J1139" s="240"/>
      <c r="K1139" s="240"/>
      <c r="L1139" s="240"/>
      <c r="M1139" s="240"/>
      <c r="N1139" s="240"/>
      <c r="O1139" s="240"/>
      <c r="P1139" s="240"/>
      <c r="Q1139" s="240"/>
      <c r="R1139" s="240"/>
      <c r="S1139" s="240"/>
      <c r="T1139" s="240"/>
      <c r="U1139" s="240"/>
      <c r="V1139" s="240"/>
      <c r="W1139" s="240"/>
      <c r="X1139" s="240"/>
      <c r="Y1139" s="240"/>
      <c r="Z1139" s="240"/>
    </row>
    <row r="1140" ht="14.25" customHeight="1">
      <c r="A1140" s="302">
        <f t="shared" si="4"/>
        <v>47312</v>
      </c>
      <c r="B1140" s="241">
        <f t="shared" si="1"/>
        <v>2029</v>
      </c>
      <c r="C1140" s="241">
        <f t="shared" si="2"/>
        <v>7</v>
      </c>
      <c r="D1140" s="301" t="str">
        <f t="shared" si="3"/>
        <v>Friday</v>
      </c>
      <c r="E1140" s="240"/>
      <c r="F1140" s="240"/>
      <c r="G1140" s="240"/>
      <c r="H1140" s="241"/>
      <c r="I1140" s="301"/>
      <c r="J1140" s="240"/>
      <c r="K1140" s="240"/>
      <c r="L1140" s="240"/>
      <c r="M1140" s="240"/>
      <c r="N1140" s="240"/>
      <c r="O1140" s="240"/>
      <c r="P1140" s="240"/>
      <c r="Q1140" s="240"/>
      <c r="R1140" s="240"/>
      <c r="S1140" s="240"/>
      <c r="T1140" s="240"/>
      <c r="U1140" s="240"/>
      <c r="V1140" s="240"/>
      <c r="W1140" s="240"/>
      <c r="X1140" s="240"/>
      <c r="Y1140" s="240"/>
      <c r="Z1140" s="240"/>
    </row>
    <row r="1141" ht="14.25" customHeight="1">
      <c r="A1141" s="302">
        <f t="shared" si="4"/>
        <v>47313</v>
      </c>
      <c r="B1141" s="241">
        <f t="shared" si="1"/>
        <v>2029</v>
      </c>
      <c r="C1141" s="241">
        <f t="shared" si="2"/>
        <v>7</v>
      </c>
      <c r="D1141" s="301" t="str">
        <f t="shared" si="3"/>
        <v>Saturday</v>
      </c>
      <c r="E1141" s="240"/>
      <c r="F1141" s="240"/>
      <c r="G1141" s="240"/>
      <c r="H1141" s="241"/>
      <c r="I1141" s="301"/>
      <c r="J1141" s="240"/>
      <c r="K1141" s="240"/>
      <c r="L1141" s="240"/>
      <c r="M1141" s="240"/>
      <c r="N1141" s="240"/>
      <c r="O1141" s="240"/>
      <c r="P1141" s="240"/>
      <c r="Q1141" s="240"/>
      <c r="R1141" s="240"/>
      <c r="S1141" s="240"/>
      <c r="T1141" s="240"/>
      <c r="U1141" s="240"/>
      <c r="V1141" s="240"/>
      <c r="W1141" s="240"/>
      <c r="X1141" s="240"/>
      <c r="Y1141" s="240"/>
      <c r="Z1141" s="240"/>
    </row>
    <row r="1142" ht="14.25" customHeight="1">
      <c r="A1142" s="302">
        <f t="shared" si="4"/>
        <v>47314</v>
      </c>
      <c r="B1142" s="241">
        <f t="shared" si="1"/>
        <v>2029</v>
      </c>
      <c r="C1142" s="241">
        <f t="shared" si="2"/>
        <v>7</v>
      </c>
      <c r="D1142" s="301" t="str">
        <f t="shared" si="3"/>
        <v>Sunday</v>
      </c>
      <c r="E1142" s="240"/>
      <c r="F1142" s="240"/>
      <c r="G1142" s="240"/>
      <c r="H1142" s="241"/>
      <c r="I1142" s="301"/>
      <c r="J1142" s="240"/>
      <c r="K1142" s="240"/>
      <c r="L1142" s="240"/>
      <c r="M1142" s="240"/>
      <c r="N1142" s="240"/>
      <c r="O1142" s="240"/>
      <c r="P1142" s="240"/>
      <c r="Q1142" s="240"/>
      <c r="R1142" s="240"/>
      <c r="S1142" s="240"/>
      <c r="T1142" s="240"/>
      <c r="U1142" s="240"/>
      <c r="V1142" s="240"/>
      <c r="W1142" s="240"/>
      <c r="X1142" s="240"/>
      <c r="Y1142" s="240"/>
      <c r="Z1142" s="240"/>
    </row>
    <row r="1143" ht="14.25" customHeight="1">
      <c r="A1143" s="302">
        <f t="shared" si="4"/>
        <v>47315</v>
      </c>
      <c r="B1143" s="241">
        <f t="shared" si="1"/>
        <v>2029</v>
      </c>
      <c r="C1143" s="241">
        <f t="shared" si="2"/>
        <v>7</v>
      </c>
      <c r="D1143" s="301" t="str">
        <f t="shared" si="3"/>
        <v>Monday</v>
      </c>
      <c r="E1143" s="240"/>
      <c r="F1143" s="240"/>
      <c r="G1143" s="240"/>
      <c r="H1143" s="241"/>
      <c r="I1143" s="301"/>
      <c r="J1143" s="240"/>
      <c r="K1143" s="240"/>
      <c r="L1143" s="240"/>
      <c r="M1143" s="240"/>
      <c r="N1143" s="240"/>
      <c r="O1143" s="240"/>
      <c r="P1143" s="240"/>
      <c r="Q1143" s="240"/>
      <c r="R1143" s="240"/>
      <c r="S1143" s="240"/>
      <c r="T1143" s="240"/>
      <c r="U1143" s="240"/>
      <c r="V1143" s="240"/>
      <c r="W1143" s="240"/>
      <c r="X1143" s="240"/>
      <c r="Y1143" s="240"/>
      <c r="Z1143" s="240"/>
    </row>
    <row r="1144" ht="14.25" customHeight="1">
      <c r="A1144" s="302">
        <f t="shared" si="4"/>
        <v>47316</v>
      </c>
      <c r="B1144" s="241">
        <f t="shared" si="1"/>
        <v>2029</v>
      </c>
      <c r="C1144" s="241">
        <f t="shared" si="2"/>
        <v>7</v>
      </c>
      <c r="D1144" s="301" t="str">
        <f t="shared" si="3"/>
        <v>Tuesday</v>
      </c>
      <c r="E1144" s="240"/>
      <c r="F1144" s="240"/>
      <c r="G1144" s="240"/>
      <c r="H1144" s="241"/>
      <c r="I1144" s="301"/>
      <c r="J1144" s="240"/>
      <c r="K1144" s="240"/>
      <c r="L1144" s="240"/>
      <c r="M1144" s="240"/>
      <c r="N1144" s="240"/>
      <c r="O1144" s="240"/>
      <c r="P1144" s="240"/>
      <c r="Q1144" s="240"/>
      <c r="R1144" s="240"/>
      <c r="S1144" s="240"/>
      <c r="T1144" s="240"/>
      <c r="U1144" s="240"/>
      <c r="V1144" s="240"/>
      <c r="W1144" s="240"/>
      <c r="X1144" s="240"/>
      <c r="Y1144" s="240"/>
      <c r="Z1144" s="240"/>
    </row>
    <row r="1145" ht="14.25" customHeight="1">
      <c r="A1145" s="302">
        <f t="shared" si="4"/>
        <v>47317</v>
      </c>
      <c r="B1145" s="241">
        <f t="shared" si="1"/>
        <v>2029</v>
      </c>
      <c r="C1145" s="241">
        <f t="shared" si="2"/>
        <v>7</v>
      </c>
      <c r="D1145" s="301" t="str">
        <f t="shared" si="3"/>
        <v>Wednesday</v>
      </c>
      <c r="E1145" s="240"/>
      <c r="F1145" s="240"/>
      <c r="G1145" s="240"/>
      <c r="H1145" s="241"/>
      <c r="I1145" s="301"/>
      <c r="J1145" s="240"/>
      <c r="K1145" s="240"/>
      <c r="L1145" s="240"/>
      <c r="M1145" s="240"/>
      <c r="N1145" s="240"/>
      <c r="O1145" s="240"/>
      <c r="P1145" s="240"/>
      <c r="Q1145" s="240"/>
      <c r="R1145" s="240"/>
      <c r="S1145" s="240"/>
      <c r="T1145" s="240"/>
      <c r="U1145" s="240"/>
      <c r="V1145" s="240"/>
      <c r="W1145" s="240"/>
      <c r="X1145" s="240"/>
      <c r="Y1145" s="240"/>
      <c r="Z1145" s="240"/>
    </row>
    <row r="1146" ht="14.25" customHeight="1">
      <c r="A1146" s="302">
        <f t="shared" si="4"/>
        <v>47318</v>
      </c>
      <c r="B1146" s="241">
        <f t="shared" si="1"/>
        <v>2029</v>
      </c>
      <c r="C1146" s="241">
        <f t="shared" si="2"/>
        <v>7</v>
      </c>
      <c r="D1146" s="301" t="str">
        <f t="shared" si="3"/>
        <v>Thursday</v>
      </c>
      <c r="E1146" s="240"/>
      <c r="F1146" s="240"/>
      <c r="G1146" s="240"/>
      <c r="H1146" s="241"/>
      <c r="I1146" s="301"/>
      <c r="J1146" s="240"/>
      <c r="K1146" s="240"/>
      <c r="L1146" s="240"/>
      <c r="M1146" s="240"/>
      <c r="N1146" s="240"/>
      <c r="O1146" s="240"/>
      <c r="P1146" s="240"/>
      <c r="Q1146" s="240"/>
      <c r="R1146" s="240"/>
      <c r="S1146" s="240"/>
      <c r="T1146" s="240"/>
      <c r="U1146" s="240"/>
      <c r="V1146" s="240"/>
      <c r="W1146" s="240"/>
      <c r="X1146" s="240"/>
      <c r="Y1146" s="240"/>
      <c r="Z1146" s="240"/>
    </row>
    <row r="1147" ht="14.25" customHeight="1">
      <c r="A1147" s="302">
        <f t="shared" si="4"/>
        <v>47319</v>
      </c>
      <c r="B1147" s="241">
        <f t="shared" si="1"/>
        <v>2029</v>
      </c>
      <c r="C1147" s="241">
        <f t="shared" si="2"/>
        <v>7</v>
      </c>
      <c r="D1147" s="301" t="str">
        <f t="shared" si="3"/>
        <v>Friday</v>
      </c>
      <c r="E1147" s="240"/>
      <c r="F1147" s="240"/>
      <c r="G1147" s="240"/>
      <c r="H1147" s="241"/>
      <c r="I1147" s="301"/>
      <c r="J1147" s="240"/>
      <c r="K1147" s="240"/>
      <c r="L1147" s="240"/>
      <c r="M1147" s="240"/>
      <c r="N1147" s="240"/>
      <c r="O1147" s="240"/>
      <c r="P1147" s="240"/>
      <c r="Q1147" s="240"/>
      <c r="R1147" s="240"/>
      <c r="S1147" s="240"/>
      <c r="T1147" s="240"/>
      <c r="U1147" s="240"/>
      <c r="V1147" s="240"/>
      <c r="W1147" s="240"/>
      <c r="X1147" s="240"/>
      <c r="Y1147" s="240"/>
      <c r="Z1147" s="240"/>
    </row>
    <row r="1148" ht="14.25" customHeight="1">
      <c r="A1148" s="302">
        <f t="shared" si="4"/>
        <v>47320</v>
      </c>
      <c r="B1148" s="241">
        <f t="shared" si="1"/>
        <v>2029</v>
      </c>
      <c r="C1148" s="241">
        <f t="shared" si="2"/>
        <v>7</v>
      </c>
      <c r="D1148" s="301" t="str">
        <f t="shared" si="3"/>
        <v>Saturday</v>
      </c>
      <c r="E1148" s="240"/>
      <c r="F1148" s="240"/>
      <c r="G1148" s="240"/>
      <c r="H1148" s="241"/>
      <c r="I1148" s="301"/>
      <c r="J1148" s="240"/>
      <c r="K1148" s="240"/>
      <c r="L1148" s="240"/>
      <c r="M1148" s="240"/>
      <c r="N1148" s="240"/>
      <c r="O1148" s="240"/>
      <c r="P1148" s="240"/>
      <c r="Q1148" s="240"/>
      <c r="R1148" s="240"/>
      <c r="S1148" s="240"/>
      <c r="T1148" s="240"/>
      <c r="U1148" s="240"/>
      <c r="V1148" s="240"/>
      <c r="W1148" s="240"/>
      <c r="X1148" s="240"/>
      <c r="Y1148" s="240"/>
      <c r="Z1148" s="240"/>
    </row>
    <row r="1149" ht="14.25" customHeight="1">
      <c r="A1149" s="302">
        <f t="shared" si="4"/>
        <v>47321</v>
      </c>
      <c r="B1149" s="241">
        <f t="shared" si="1"/>
        <v>2029</v>
      </c>
      <c r="C1149" s="241">
        <f t="shared" si="2"/>
        <v>7</v>
      </c>
      <c r="D1149" s="301" t="str">
        <f t="shared" si="3"/>
        <v>Sunday</v>
      </c>
      <c r="E1149" s="240"/>
      <c r="F1149" s="240"/>
      <c r="G1149" s="240"/>
      <c r="H1149" s="241"/>
      <c r="I1149" s="301"/>
      <c r="J1149" s="240"/>
      <c r="K1149" s="240"/>
      <c r="L1149" s="240"/>
      <c r="M1149" s="240"/>
      <c r="N1149" s="240"/>
      <c r="O1149" s="240"/>
      <c r="P1149" s="240"/>
      <c r="Q1149" s="240"/>
      <c r="R1149" s="240"/>
      <c r="S1149" s="240"/>
      <c r="T1149" s="240"/>
      <c r="U1149" s="240"/>
      <c r="V1149" s="240"/>
      <c r="W1149" s="240"/>
      <c r="X1149" s="240"/>
      <c r="Y1149" s="240"/>
      <c r="Z1149" s="240"/>
    </row>
    <row r="1150" ht="14.25" customHeight="1">
      <c r="A1150" s="302">
        <f t="shared" si="4"/>
        <v>47322</v>
      </c>
      <c r="B1150" s="241">
        <f t="shared" si="1"/>
        <v>2029</v>
      </c>
      <c r="C1150" s="241">
        <f t="shared" si="2"/>
        <v>7</v>
      </c>
      <c r="D1150" s="301" t="str">
        <f t="shared" si="3"/>
        <v>Monday</v>
      </c>
      <c r="E1150" s="240"/>
      <c r="F1150" s="240"/>
      <c r="G1150" s="240"/>
      <c r="H1150" s="241"/>
      <c r="I1150" s="301"/>
      <c r="J1150" s="240"/>
      <c r="K1150" s="240"/>
      <c r="L1150" s="240"/>
      <c r="M1150" s="240"/>
      <c r="N1150" s="240"/>
      <c r="O1150" s="240"/>
      <c r="P1150" s="240"/>
      <c r="Q1150" s="240"/>
      <c r="R1150" s="240"/>
      <c r="S1150" s="240"/>
      <c r="T1150" s="240"/>
      <c r="U1150" s="240"/>
      <c r="V1150" s="240"/>
      <c r="W1150" s="240"/>
      <c r="X1150" s="240"/>
      <c r="Y1150" s="240"/>
      <c r="Z1150" s="240"/>
    </row>
    <row r="1151" ht="14.25" customHeight="1">
      <c r="A1151" s="302">
        <f t="shared" si="4"/>
        <v>47323</v>
      </c>
      <c r="B1151" s="241">
        <f t="shared" si="1"/>
        <v>2029</v>
      </c>
      <c r="C1151" s="241">
        <f t="shared" si="2"/>
        <v>7</v>
      </c>
      <c r="D1151" s="301" t="str">
        <f t="shared" si="3"/>
        <v>Tuesday</v>
      </c>
      <c r="E1151" s="240"/>
      <c r="F1151" s="240"/>
      <c r="G1151" s="240"/>
      <c r="H1151" s="241"/>
      <c r="I1151" s="301"/>
      <c r="J1151" s="240"/>
      <c r="K1151" s="240"/>
      <c r="L1151" s="240"/>
      <c r="M1151" s="240"/>
      <c r="N1151" s="240"/>
      <c r="O1151" s="240"/>
      <c r="P1151" s="240"/>
      <c r="Q1151" s="240"/>
      <c r="R1151" s="240"/>
      <c r="S1151" s="240"/>
      <c r="T1151" s="240"/>
      <c r="U1151" s="240"/>
      <c r="V1151" s="240"/>
      <c r="W1151" s="240"/>
      <c r="X1151" s="240"/>
      <c r="Y1151" s="240"/>
      <c r="Z1151" s="240"/>
    </row>
    <row r="1152" ht="14.25" customHeight="1">
      <c r="A1152" s="302">
        <f t="shared" si="4"/>
        <v>47324</v>
      </c>
      <c r="B1152" s="241">
        <f t="shared" si="1"/>
        <v>2029</v>
      </c>
      <c r="C1152" s="241">
        <f t="shared" si="2"/>
        <v>7</v>
      </c>
      <c r="D1152" s="301" t="str">
        <f t="shared" si="3"/>
        <v>Wednesday</v>
      </c>
      <c r="E1152" s="240"/>
      <c r="F1152" s="240"/>
      <c r="G1152" s="240"/>
      <c r="H1152" s="241"/>
      <c r="I1152" s="301"/>
      <c r="J1152" s="240"/>
      <c r="K1152" s="240"/>
      <c r="L1152" s="240"/>
      <c r="M1152" s="240"/>
      <c r="N1152" s="240"/>
      <c r="O1152" s="240"/>
      <c r="P1152" s="240"/>
      <c r="Q1152" s="240"/>
      <c r="R1152" s="240"/>
      <c r="S1152" s="240"/>
      <c r="T1152" s="240"/>
      <c r="U1152" s="240"/>
      <c r="V1152" s="240"/>
      <c r="W1152" s="240"/>
      <c r="X1152" s="240"/>
      <c r="Y1152" s="240"/>
      <c r="Z1152" s="240"/>
    </row>
    <row r="1153" ht="14.25" customHeight="1">
      <c r="A1153" s="302">
        <f t="shared" si="4"/>
        <v>47325</v>
      </c>
      <c r="B1153" s="241">
        <f t="shared" si="1"/>
        <v>2029</v>
      </c>
      <c r="C1153" s="241">
        <f t="shared" si="2"/>
        <v>7</v>
      </c>
      <c r="D1153" s="301" t="str">
        <f t="shared" si="3"/>
        <v>Thursday</v>
      </c>
      <c r="E1153" s="240"/>
      <c r="F1153" s="240"/>
      <c r="G1153" s="240"/>
      <c r="H1153" s="241"/>
      <c r="I1153" s="301"/>
      <c r="J1153" s="240"/>
      <c r="K1153" s="240"/>
      <c r="L1153" s="240"/>
      <c r="M1153" s="240"/>
      <c r="N1153" s="240"/>
      <c r="O1153" s="240"/>
      <c r="P1153" s="240"/>
      <c r="Q1153" s="240"/>
      <c r="R1153" s="240"/>
      <c r="S1153" s="240"/>
      <c r="T1153" s="240"/>
      <c r="U1153" s="240"/>
      <c r="V1153" s="240"/>
      <c r="W1153" s="240"/>
      <c r="X1153" s="240"/>
      <c r="Y1153" s="240"/>
      <c r="Z1153" s="240"/>
    </row>
    <row r="1154" ht="14.25" customHeight="1">
      <c r="A1154" s="302">
        <f t="shared" si="4"/>
        <v>47326</v>
      </c>
      <c r="B1154" s="241">
        <f t="shared" si="1"/>
        <v>2029</v>
      </c>
      <c r="C1154" s="241">
        <f t="shared" si="2"/>
        <v>7</v>
      </c>
      <c r="D1154" s="301" t="str">
        <f t="shared" si="3"/>
        <v>Friday</v>
      </c>
      <c r="E1154" s="240"/>
      <c r="F1154" s="240"/>
      <c r="G1154" s="240"/>
      <c r="H1154" s="241"/>
      <c r="I1154" s="301"/>
      <c r="J1154" s="240"/>
      <c r="K1154" s="240"/>
      <c r="L1154" s="240"/>
      <c r="M1154" s="240"/>
      <c r="N1154" s="240"/>
      <c r="O1154" s="240"/>
      <c r="P1154" s="240"/>
      <c r="Q1154" s="240"/>
      <c r="R1154" s="240"/>
      <c r="S1154" s="240"/>
      <c r="T1154" s="240"/>
      <c r="U1154" s="240"/>
      <c r="V1154" s="240"/>
      <c r="W1154" s="240"/>
      <c r="X1154" s="240"/>
      <c r="Y1154" s="240"/>
      <c r="Z1154" s="240"/>
    </row>
    <row r="1155" ht="14.25" customHeight="1">
      <c r="A1155" s="302">
        <f t="shared" si="4"/>
        <v>47327</v>
      </c>
      <c r="B1155" s="241">
        <f t="shared" si="1"/>
        <v>2029</v>
      </c>
      <c r="C1155" s="241">
        <f t="shared" si="2"/>
        <v>7</v>
      </c>
      <c r="D1155" s="301" t="str">
        <f t="shared" si="3"/>
        <v>Saturday</v>
      </c>
      <c r="E1155" s="240"/>
      <c r="F1155" s="240"/>
      <c r="G1155" s="240"/>
      <c r="H1155" s="241"/>
      <c r="I1155" s="301"/>
      <c r="J1155" s="240"/>
      <c r="K1155" s="240"/>
      <c r="L1155" s="240"/>
      <c r="M1155" s="240"/>
      <c r="N1155" s="240"/>
      <c r="O1155" s="240"/>
      <c r="P1155" s="240"/>
      <c r="Q1155" s="240"/>
      <c r="R1155" s="240"/>
      <c r="S1155" s="240"/>
      <c r="T1155" s="240"/>
      <c r="U1155" s="240"/>
      <c r="V1155" s="240"/>
      <c r="W1155" s="240"/>
      <c r="X1155" s="240"/>
      <c r="Y1155" s="240"/>
      <c r="Z1155" s="240"/>
    </row>
    <row r="1156" ht="14.25" customHeight="1">
      <c r="A1156" s="302">
        <f t="shared" si="4"/>
        <v>47328</v>
      </c>
      <c r="B1156" s="241">
        <f t="shared" si="1"/>
        <v>2029</v>
      </c>
      <c r="C1156" s="241">
        <f t="shared" si="2"/>
        <v>7</v>
      </c>
      <c r="D1156" s="301" t="str">
        <f t="shared" si="3"/>
        <v>Sunday</v>
      </c>
      <c r="E1156" s="240"/>
      <c r="F1156" s="240"/>
      <c r="G1156" s="240"/>
      <c r="H1156" s="241"/>
      <c r="I1156" s="301"/>
      <c r="J1156" s="240"/>
      <c r="K1156" s="240"/>
      <c r="L1156" s="240"/>
      <c r="M1156" s="240"/>
      <c r="N1156" s="240"/>
      <c r="O1156" s="240"/>
      <c r="P1156" s="240"/>
      <c r="Q1156" s="240"/>
      <c r="R1156" s="240"/>
      <c r="S1156" s="240"/>
      <c r="T1156" s="240"/>
      <c r="U1156" s="240"/>
      <c r="V1156" s="240"/>
      <c r="W1156" s="240"/>
      <c r="X1156" s="240"/>
      <c r="Y1156" s="240"/>
      <c r="Z1156" s="240"/>
    </row>
    <row r="1157" ht="14.25" customHeight="1">
      <c r="A1157" s="302">
        <f t="shared" si="4"/>
        <v>47329</v>
      </c>
      <c r="B1157" s="241">
        <f t="shared" si="1"/>
        <v>2029</v>
      </c>
      <c r="C1157" s="241">
        <f t="shared" si="2"/>
        <v>7</v>
      </c>
      <c r="D1157" s="301" t="str">
        <f t="shared" si="3"/>
        <v>Monday</v>
      </c>
      <c r="E1157" s="240"/>
      <c r="F1157" s="240"/>
      <c r="G1157" s="240"/>
      <c r="H1157" s="241"/>
      <c r="I1157" s="301"/>
      <c r="J1157" s="240"/>
      <c r="K1157" s="240"/>
      <c r="L1157" s="240"/>
      <c r="M1157" s="240"/>
      <c r="N1157" s="240"/>
      <c r="O1157" s="240"/>
      <c r="P1157" s="240"/>
      <c r="Q1157" s="240"/>
      <c r="R1157" s="240"/>
      <c r="S1157" s="240"/>
      <c r="T1157" s="240"/>
      <c r="U1157" s="240"/>
      <c r="V1157" s="240"/>
      <c r="W1157" s="240"/>
      <c r="X1157" s="240"/>
      <c r="Y1157" s="240"/>
      <c r="Z1157" s="240"/>
    </row>
    <row r="1158" ht="14.25" customHeight="1">
      <c r="A1158" s="302">
        <f t="shared" si="4"/>
        <v>47330</v>
      </c>
      <c r="B1158" s="241">
        <f t="shared" si="1"/>
        <v>2029</v>
      </c>
      <c r="C1158" s="241">
        <f t="shared" si="2"/>
        <v>7</v>
      </c>
      <c r="D1158" s="301" t="str">
        <f t="shared" si="3"/>
        <v>Tuesday</v>
      </c>
      <c r="E1158" s="240"/>
      <c r="F1158" s="240"/>
      <c r="G1158" s="240"/>
      <c r="H1158" s="241"/>
      <c r="I1158" s="301"/>
      <c r="J1158" s="240"/>
      <c r="K1158" s="240"/>
      <c r="L1158" s="240"/>
      <c r="M1158" s="240"/>
      <c r="N1158" s="240"/>
      <c r="O1158" s="240"/>
      <c r="P1158" s="240"/>
      <c r="Q1158" s="240"/>
      <c r="R1158" s="240"/>
      <c r="S1158" s="240"/>
      <c r="T1158" s="240"/>
      <c r="U1158" s="240"/>
      <c r="V1158" s="240"/>
      <c r="W1158" s="240"/>
      <c r="X1158" s="240"/>
      <c r="Y1158" s="240"/>
      <c r="Z1158" s="240"/>
    </row>
    <row r="1159" ht="14.25" customHeight="1">
      <c r="A1159" s="302">
        <f t="shared" si="4"/>
        <v>47331</v>
      </c>
      <c r="B1159" s="241">
        <f t="shared" si="1"/>
        <v>2029</v>
      </c>
      <c r="C1159" s="241">
        <f t="shared" si="2"/>
        <v>8</v>
      </c>
      <c r="D1159" s="301" t="str">
        <f t="shared" si="3"/>
        <v>Wednesday</v>
      </c>
      <c r="E1159" s="240"/>
      <c r="F1159" s="240"/>
      <c r="G1159" s="240"/>
      <c r="H1159" s="241"/>
      <c r="I1159" s="301"/>
      <c r="J1159" s="240"/>
      <c r="K1159" s="240"/>
      <c r="L1159" s="240"/>
      <c r="M1159" s="240"/>
      <c r="N1159" s="240"/>
      <c r="O1159" s="240"/>
      <c r="P1159" s="240"/>
      <c r="Q1159" s="240"/>
      <c r="R1159" s="240"/>
      <c r="S1159" s="240"/>
      <c r="T1159" s="240"/>
      <c r="U1159" s="240"/>
      <c r="V1159" s="240"/>
      <c r="W1159" s="240"/>
      <c r="X1159" s="240"/>
      <c r="Y1159" s="240"/>
      <c r="Z1159" s="240"/>
    </row>
    <row r="1160" ht="14.25" customHeight="1">
      <c r="A1160" s="302">
        <f t="shared" si="4"/>
        <v>47332</v>
      </c>
      <c r="B1160" s="241">
        <f t="shared" si="1"/>
        <v>2029</v>
      </c>
      <c r="C1160" s="241">
        <f t="shared" si="2"/>
        <v>8</v>
      </c>
      <c r="D1160" s="301" t="str">
        <f t="shared" si="3"/>
        <v>Thursday</v>
      </c>
      <c r="E1160" s="240"/>
      <c r="F1160" s="240"/>
      <c r="G1160" s="240"/>
      <c r="H1160" s="241"/>
      <c r="I1160" s="301"/>
      <c r="J1160" s="240"/>
      <c r="K1160" s="240"/>
      <c r="L1160" s="240"/>
      <c r="M1160" s="240"/>
      <c r="N1160" s="240"/>
      <c r="O1160" s="240"/>
      <c r="P1160" s="240"/>
      <c r="Q1160" s="240"/>
      <c r="R1160" s="240"/>
      <c r="S1160" s="240"/>
      <c r="T1160" s="240"/>
      <c r="U1160" s="240"/>
      <c r="V1160" s="240"/>
      <c r="W1160" s="240"/>
      <c r="X1160" s="240"/>
      <c r="Y1160" s="240"/>
      <c r="Z1160" s="240"/>
    </row>
    <row r="1161" ht="14.25" customHeight="1">
      <c r="A1161" s="302">
        <f t="shared" si="4"/>
        <v>47333</v>
      </c>
      <c r="B1161" s="241">
        <f t="shared" si="1"/>
        <v>2029</v>
      </c>
      <c r="C1161" s="241">
        <f t="shared" si="2"/>
        <v>8</v>
      </c>
      <c r="D1161" s="301" t="str">
        <f t="shared" si="3"/>
        <v>Friday</v>
      </c>
      <c r="E1161" s="240"/>
      <c r="F1161" s="240"/>
      <c r="G1161" s="240"/>
      <c r="H1161" s="241"/>
      <c r="I1161" s="301"/>
      <c r="J1161" s="240"/>
      <c r="K1161" s="240"/>
      <c r="L1161" s="240"/>
      <c r="M1161" s="240"/>
      <c r="N1161" s="240"/>
      <c r="O1161" s="240"/>
      <c r="P1161" s="240"/>
      <c r="Q1161" s="240"/>
      <c r="R1161" s="240"/>
      <c r="S1161" s="240"/>
      <c r="T1161" s="240"/>
      <c r="U1161" s="240"/>
      <c r="V1161" s="240"/>
      <c r="W1161" s="240"/>
      <c r="X1161" s="240"/>
      <c r="Y1161" s="240"/>
      <c r="Z1161" s="240"/>
    </row>
    <row r="1162" ht="14.25" customHeight="1">
      <c r="A1162" s="302">
        <f t="shared" si="4"/>
        <v>47334</v>
      </c>
      <c r="B1162" s="241">
        <f t="shared" si="1"/>
        <v>2029</v>
      </c>
      <c r="C1162" s="241">
        <f t="shared" si="2"/>
        <v>8</v>
      </c>
      <c r="D1162" s="301" t="str">
        <f t="shared" si="3"/>
        <v>Saturday</v>
      </c>
      <c r="E1162" s="240"/>
      <c r="F1162" s="240"/>
      <c r="G1162" s="240"/>
      <c r="H1162" s="241"/>
      <c r="I1162" s="301"/>
      <c r="J1162" s="240"/>
      <c r="K1162" s="240"/>
      <c r="L1162" s="240"/>
      <c r="M1162" s="240"/>
      <c r="N1162" s="240"/>
      <c r="O1162" s="240"/>
      <c r="P1162" s="240"/>
      <c r="Q1162" s="240"/>
      <c r="R1162" s="240"/>
      <c r="S1162" s="240"/>
      <c r="T1162" s="240"/>
      <c r="U1162" s="240"/>
      <c r="V1162" s="240"/>
      <c r="W1162" s="240"/>
      <c r="X1162" s="240"/>
      <c r="Y1162" s="240"/>
      <c r="Z1162" s="240"/>
    </row>
    <row r="1163" ht="14.25" customHeight="1">
      <c r="A1163" s="302">
        <f t="shared" si="4"/>
        <v>47335</v>
      </c>
      <c r="B1163" s="241">
        <f t="shared" si="1"/>
        <v>2029</v>
      </c>
      <c r="C1163" s="241">
        <f t="shared" si="2"/>
        <v>8</v>
      </c>
      <c r="D1163" s="301" t="str">
        <f t="shared" si="3"/>
        <v>Sunday</v>
      </c>
      <c r="E1163" s="240"/>
      <c r="F1163" s="240"/>
      <c r="G1163" s="240"/>
      <c r="H1163" s="241"/>
      <c r="I1163" s="301"/>
      <c r="J1163" s="240"/>
      <c r="K1163" s="240"/>
      <c r="L1163" s="240"/>
      <c r="M1163" s="240"/>
      <c r="N1163" s="240"/>
      <c r="O1163" s="240"/>
      <c r="P1163" s="240"/>
      <c r="Q1163" s="240"/>
      <c r="R1163" s="240"/>
      <c r="S1163" s="240"/>
      <c r="T1163" s="240"/>
      <c r="U1163" s="240"/>
      <c r="V1163" s="240"/>
      <c r="W1163" s="240"/>
      <c r="X1163" s="240"/>
      <c r="Y1163" s="240"/>
      <c r="Z1163" s="240"/>
    </row>
    <row r="1164" ht="14.25" customHeight="1">
      <c r="A1164" s="302">
        <f t="shared" si="4"/>
        <v>47336</v>
      </c>
      <c r="B1164" s="241">
        <f t="shared" si="1"/>
        <v>2029</v>
      </c>
      <c r="C1164" s="241">
        <f t="shared" si="2"/>
        <v>8</v>
      </c>
      <c r="D1164" s="301" t="str">
        <f t="shared" si="3"/>
        <v>Monday</v>
      </c>
      <c r="E1164" s="240"/>
      <c r="F1164" s="240"/>
      <c r="G1164" s="240"/>
      <c r="H1164" s="241"/>
      <c r="I1164" s="301"/>
      <c r="J1164" s="240"/>
      <c r="K1164" s="240"/>
      <c r="L1164" s="240"/>
      <c r="M1164" s="240"/>
      <c r="N1164" s="240"/>
      <c r="O1164" s="240"/>
      <c r="P1164" s="240"/>
      <c r="Q1164" s="240"/>
      <c r="R1164" s="240"/>
      <c r="S1164" s="240"/>
      <c r="T1164" s="240"/>
      <c r="U1164" s="240"/>
      <c r="V1164" s="240"/>
      <c r="W1164" s="240"/>
      <c r="X1164" s="240"/>
      <c r="Y1164" s="240"/>
      <c r="Z1164" s="240"/>
    </row>
    <row r="1165" ht="14.25" customHeight="1">
      <c r="A1165" s="302">
        <f t="shared" si="4"/>
        <v>47337</v>
      </c>
      <c r="B1165" s="241">
        <f t="shared" si="1"/>
        <v>2029</v>
      </c>
      <c r="C1165" s="241">
        <f t="shared" si="2"/>
        <v>8</v>
      </c>
      <c r="D1165" s="301" t="str">
        <f t="shared" si="3"/>
        <v>Tuesday</v>
      </c>
      <c r="E1165" s="240"/>
      <c r="F1165" s="240"/>
      <c r="G1165" s="240"/>
      <c r="H1165" s="241"/>
      <c r="I1165" s="301"/>
      <c r="J1165" s="240"/>
      <c r="K1165" s="240"/>
      <c r="L1165" s="240"/>
      <c r="M1165" s="240"/>
      <c r="N1165" s="240"/>
      <c r="O1165" s="240"/>
      <c r="P1165" s="240"/>
      <c r="Q1165" s="240"/>
      <c r="R1165" s="240"/>
      <c r="S1165" s="240"/>
      <c r="T1165" s="240"/>
      <c r="U1165" s="240"/>
      <c r="V1165" s="240"/>
      <c r="W1165" s="240"/>
      <c r="X1165" s="240"/>
      <c r="Y1165" s="240"/>
      <c r="Z1165" s="240"/>
    </row>
    <row r="1166" ht="14.25" customHeight="1">
      <c r="A1166" s="302">
        <f t="shared" si="4"/>
        <v>47338</v>
      </c>
      <c r="B1166" s="241">
        <f t="shared" si="1"/>
        <v>2029</v>
      </c>
      <c r="C1166" s="241">
        <f t="shared" si="2"/>
        <v>8</v>
      </c>
      <c r="D1166" s="301" t="str">
        <f t="shared" si="3"/>
        <v>Wednesday</v>
      </c>
      <c r="E1166" s="240"/>
      <c r="F1166" s="240"/>
      <c r="G1166" s="240"/>
      <c r="H1166" s="241"/>
      <c r="I1166" s="301"/>
      <c r="J1166" s="240"/>
      <c r="K1166" s="240"/>
      <c r="L1166" s="240"/>
      <c r="M1166" s="240"/>
      <c r="N1166" s="240"/>
      <c r="O1166" s="240"/>
      <c r="P1166" s="240"/>
      <c r="Q1166" s="240"/>
      <c r="R1166" s="240"/>
      <c r="S1166" s="240"/>
      <c r="T1166" s="240"/>
      <c r="U1166" s="240"/>
      <c r="V1166" s="240"/>
      <c r="W1166" s="240"/>
      <c r="X1166" s="240"/>
      <c r="Y1166" s="240"/>
      <c r="Z1166" s="240"/>
    </row>
    <row r="1167" ht="14.25" customHeight="1">
      <c r="A1167" s="302">
        <f t="shared" si="4"/>
        <v>47339</v>
      </c>
      <c r="B1167" s="241">
        <f t="shared" si="1"/>
        <v>2029</v>
      </c>
      <c r="C1167" s="241">
        <f t="shared" si="2"/>
        <v>8</v>
      </c>
      <c r="D1167" s="301" t="str">
        <f t="shared" si="3"/>
        <v>Thursday</v>
      </c>
      <c r="E1167" s="240"/>
      <c r="F1167" s="240"/>
      <c r="G1167" s="240"/>
      <c r="H1167" s="241"/>
      <c r="I1167" s="301"/>
      <c r="J1167" s="240"/>
      <c r="K1167" s="240"/>
      <c r="L1167" s="240"/>
      <c r="M1167" s="240"/>
      <c r="N1167" s="240"/>
      <c r="O1167" s="240"/>
      <c r="P1167" s="240"/>
      <c r="Q1167" s="240"/>
      <c r="R1167" s="240"/>
      <c r="S1167" s="240"/>
      <c r="T1167" s="240"/>
      <c r="U1167" s="240"/>
      <c r="V1167" s="240"/>
      <c r="W1167" s="240"/>
      <c r="X1167" s="240"/>
      <c r="Y1167" s="240"/>
      <c r="Z1167" s="240"/>
    </row>
    <row r="1168" ht="14.25" customHeight="1">
      <c r="A1168" s="302">
        <f t="shared" si="4"/>
        <v>47340</v>
      </c>
      <c r="B1168" s="241">
        <f t="shared" si="1"/>
        <v>2029</v>
      </c>
      <c r="C1168" s="241">
        <f t="shared" si="2"/>
        <v>8</v>
      </c>
      <c r="D1168" s="301" t="str">
        <f t="shared" si="3"/>
        <v>Friday</v>
      </c>
      <c r="E1168" s="240"/>
      <c r="F1168" s="240"/>
      <c r="G1168" s="240"/>
      <c r="H1168" s="241"/>
      <c r="I1168" s="301"/>
      <c r="J1168" s="240"/>
      <c r="K1168" s="240"/>
      <c r="L1168" s="240"/>
      <c r="M1168" s="240"/>
      <c r="N1168" s="240"/>
      <c r="O1168" s="240"/>
      <c r="P1168" s="240"/>
      <c r="Q1168" s="240"/>
      <c r="R1168" s="240"/>
      <c r="S1168" s="240"/>
      <c r="T1168" s="240"/>
      <c r="U1168" s="240"/>
      <c r="V1168" s="240"/>
      <c r="W1168" s="240"/>
      <c r="X1168" s="240"/>
      <c r="Y1168" s="240"/>
      <c r="Z1168" s="240"/>
    </row>
    <row r="1169" ht="14.25" customHeight="1">
      <c r="A1169" s="302">
        <f t="shared" si="4"/>
        <v>47341</v>
      </c>
      <c r="B1169" s="241">
        <f t="shared" si="1"/>
        <v>2029</v>
      </c>
      <c r="C1169" s="241">
        <f t="shared" si="2"/>
        <v>8</v>
      </c>
      <c r="D1169" s="301" t="str">
        <f t="shared" si="3"/>
        <v>Saturday</v>
      </c>
      <c r="E1169" s="240"/>
      <c r="F1169" s="240"/>
      <c r="G1169" s="240"/>
      <c r="H1169" s="241"/>
      <c r="I1169" s="301"/>
      <c r="J1169" s="240"/>
      <c r="K1169" s="240"/>
      <c r="L1169" s="240"/>
      <c r="M1169" s="240"/>
      <c r="N1169" s="240"/>
      <c r="O1169" s="240"/>
      <c r="P1169" s="240"/>
      <c r="Q1169" s="240"/>
      <c r="R1169" s="240"/>
      <c r="S1169" s="240"/>
      <c r="T1169" s="240"/>
      <c r="U1169" s="240"/>
      <c r="V1169" s="240"/>
      <c r="W1169" s="240"/>
      <c r="X1169" s="240"/>
      <c r="Y1169" s="240"/>
      <c r="Z1169" s="240"/>
    </row>
    <row r="1170" ht="14.25" customHeight="1">
      <c r="A1170" s="302">
        <f t="shared" si="4"/>
        <v>47342</v>
      </c>
      <c r="B1170" s="241">
        <f t="shared" si="1"/>
        <v>2029</v>
      </c>
      <c r="C1170" s="241">
        <f t="shared" si="2"/>
        <v>8</v>
      </c>
      <c r="D1170" s="301" t="str">
        <f t="shared" si="3"/>
        <v>Sunday</v>
      </c>
      <c r="E1170" s="240"/>
      <c r="F1170" s="240"/>
      <c r="G1170" s="240"/>
      <c r="H1170" s="241"/>
      <c r="I1170" s="301"/>
      <c r="J1170" s="240"/>
      <c r="K1170" s="240"/>
      <c r="L1170" s="240"/>
      <c r="M1170" s="240"/>
      <c r="N1170" s="240"/>
      <c r="O1170" s="240"/>
      <c r="P1170" s="240"/>
      <c r="Q1170" s="240"/>
      <c r="R1170" s="240"/>
      <c r="S1170" s="240"/>
      <c r="T1170" s="240"/>
      <c r="U1170" s="240"/>
      <c r="V1170" s="240"/>
      <c r="W1170" s="240"/>
      <c r="X1170" s="240"/>
      <c r="Y1170" s="240"/>
      <c r="Z1170" s="240"/>
    </row>
    <row r="1171" ht="14.25" customHeight="1">
      <c r="A1171" s="302">
        <f t="shared" si="4"/>
        <v>47343</v>
      </c>
      <c r="B1171" s="241">
        <f t="shared" si="1"/>
        <v>2029</v>
      </c>
      <c r="C1171" s="241">
        <f t="shared" si="2"/>
        <v>8</v>
      </c>
      <c r="D1171" s="301" t="str">
        <f t="shared" si="3"/>
        <v>Monday</v>
      </c>
      <c r="E1171" s="240"/>
      <c r="F1171" s="240"/>
      <c r="G1171" s="240"/>
      <c r="H1171" s="241"/>
      <c r="I1171" s="301"/>
      <c r="J1171" s="240"/>
      <c r="K1171" s="240"/>
      <c r="L1171" s="240"/>
      <c r="M1171" s="240"/>
      <c r="N1171" s="240"/>
      <c r="O1171" s="240"/>
      <c r="P1171" s="240"/>
      <c r="Q1171" s="240"/>
      <c r="R1171" s="240"/>
      <c r="S1171" s="240"/>
      <c r="T1171" s="240"/>
      <c r="U1171" s="240"/>
      <c r="V1171" s="240"/>
      <c r="W1171" s="240"/>
      <c r="X1171" s="240"/>
      <c r="Y1171" s="240"/>
      <c r="Z1171" s="240"/>
    </row>
    <row r="1172" ht="14.25" customHeight="1">
      <c r="A1172" s="302">
        <f t="shared" si="4"/>
        <v>47344</v>
      </c>
      <c r="B1172" s="241">
        <f t="shared" si="1"/>
        <v>2029</v>
      </c>
      <c r="C1172" s="241">
        <f t="shared" si="2"/>
        <v>8</v>
      </c>
      <c r="D1172" s="301" t="str">
        <f t="shared" si="3"/>
        <v>Tuesday</v>
      </c>
      <c r="E1172" s="240"/>
      <c r="F1172" s="240"/>
      <c r="G1172" s="240"/>
      <c r="H1172" s="241"/>
      <c r="I1172" s="301"/>
      <c r="J1172" s="240"/>
      <c r="K1172" s="240"/>
      <c r="L1172" s="240"/>
      <c r="M1172" s="240"/>
      <c r="N1172" s="240"/>
      <c r="O1172" s="240"/>
      <c r="P1172" s="240"/>
      <c r="Q1172" s="240"/>
      <c r="R1172" s="240"/>
      <c r="S1172" s="240"/>
      <c r="T1172" s="240"/>
      <c r="U1172" s="240"/>
      <c r="V1172" s="240"/>
      <c r="W1172" s="240"/>
      <c r="X1172" s="240"/>
      <c r="Y1172" s="240"/>
      <c r="Z1172" s="240"/>
    </row>
    <row r="1173" ht="14.25" customHeight="1">
      <c r="A1173" s="302">
        <f t="shared" si="4"/>
        <v>47345</v>
      </c>
      <c r="B1173" s="241">
        <f t="shared" si="1"/>
        <v>2029</v>
      </c>
      <c r="C1173" s="241">
        <f t="shared" si="2"/>
        <v>8</v>
      </c>
      <c r="D1173" s="301" t="str">
        <f t="shared" si="3"/>
        <v>Wednesday</v>
      </c>
      <c r="E1173" s="240"/>
      <c r="F1173" s="240"/>
      <c r="G1173" s="240"/>
      <c r="H1173" s="241"/>
      <c r="I1173" s="301"/>
      <c r="J1173" s="240"/>
      <c r="K1173" s="240"/>
      <c r="L1173" s="240"/>
      <c r="M1173" s="240"/>
      <c r="N1173" s="240"/>
      <c r="O1173" s="240"/>
      <c r="P1173" s="240"/>
      <c r="Q1173" s="240"/>
      <c r="R1173" s="240"/>
      <c r="S1173" s="240"/>
      <c r="T1173" s="240"/>
      <c r="U1173" s="240"/>
      <c r="V1173" s="240"/>
      <c r="W1173" s="240"/>
      <c r="X1173" s="240"/>
      <c r="Y1173" s="240"/>
      <c r="Z1173" s="240"/>
    </row>
    <row r="1174" ht="14.25" customHeight="1">
      <c r="A1174" s="302">
        <f t="shared" si="4"/>
        <v>47346</v>
      </c>
      <c r="B1174" s="241">
        <f t="shared" si="1"/>
        <v>2029</v>
      </c>
      <c r="C1174" s="241">
        <f t="shared" si="2"/>
        <v>8</v>
      </c>
      <c r="D1174" s="301" t="str">
        <f t="shared" si="3"/>
        <v>Thursday</v>
      </c>
      <c r="E1174" s="240"/>
      <c r="F1174" s="240"/>
      <c r="G1174" s="240"/>
      <c r="H1174" s="241"/>
      <c r="I1174" s="301"/>
      <c r="J1174" s="240"/>
      <c r="K1174" s="240"/>
      <c r="L1174" s="240"/>
      <c r="M1174" s="240"/>
      <c r="N1174" s="240"/>
      <c r="O1174" s="240"/>
      <c r="P1174" s="240"/>
      <c r="Q1174" s="240"/>
      <c r="R1174" s="240"/>
      <c r="S1174" s="240"/>
      <c r="T1174" s="240"/>
      <c r="U1174" s="240"/>
      <c r="V1174" s="240"/>
      <c r="W1174" s="240"/>
      <c r="X1174" s="240"/>
      <c r="Y1174" s="240"/>
      <c r="Z1174" s="240"/>
    </row>
    <row r="1175" ht="14.25" customHeight="1">
      <c r="A1175" s="302">
        <f t="shared" si="4"/>
        <v>47347</v>
      </c>
      <c r="B1175" s="241">
        <f t="shared" si="1"/>
        <v>2029</v>
      </c>
      <c r="C1175" s="241">
        <f t="shared" si="2"/>
        <v>8</v>
      </c>
      <c r="D1175" s="301" t="str">
        <f t="shared" si="3"/>
        <v>Friday</v>
      </c>
      <c r="E1175" s="240"/>
      <c r="F1175" s="240"/>
      <c r="G1175" s="240"/>
      <c r="H1175" s="241"/>
      <c r="I1175" s="301"/>
      <c r="J1175" s="240"/>
      <c r="K1175" s="240"/>
      <c r="L1175" s="240"/>
      <c r="M1175" s="240"/>
      <c r="N1175" s="240"/>
      <c r="O1175" s="240"/>
      <c r="P1175" s="240"/>
      <c r="Q1175" s="240"/>
      <c r="R1175" s="240"/>
      <c r="S1175" s="240"/>
      <c r="T1175" s="240"/>
      <c r="U1175" s="240"/>
      <c r="V1175" s="240"/>
      <c r="W1175" s="240"/>
      <c r="X1175" s="240"/>
      <c r="Y1175" s="240"/>
      <c r="Z1175" s="240"/>
    </row>
    <row r="1176" ht="14.25" customHeight="1">
      <c r="A1176" s="302">
        <f t="shared" si="4"/>
        <v>47348</v>
      </c>
      <c r="B1176" s="241">
        <f t="shared" si="1"/>
        <v>2029</v>
      </c>
      <c r="C1176" s="241">
        <f t="shared" si="2"/>
        <v>8</v>
      </c>
      <c r="D1176" s="301" t="str">
        <f t="shared" si="3"/>
        <v>Saturday</v>
      </c>
      <c r="E1176" s="240"/>
      <c r="F1176" s="240"/>
      <c r="G1176" s="240"/>
      <c r="H1176" s="241"/>
      <c r="I1176" s="301"/>
      <c r="J1176" s="240"/>
      <c r="K1176" s="240"/>
      <c r="L1176" s="240"/>
      <c r="M1176" s="240"/>
      <c r="N1176" s="240"/>
      <c r="O1176" s="240"/>
      <c r="P1176" s="240"/>
      <c r="Q1176" s="240"/>
      <c r="R1176" s="240"/>
      <c r="S1176" s="240"/>
      <c r="T1176" s="240"/>
      <c r="U1176" s="240"/>
      <c r="V1176" s="240"/>
      <c r="W1176" s="240"/>
      <c r="X1176" s="240"/>
      <c r="Y1176" s="240"/>
      <c r="Z1176" s="240"/>
    </row>
    <row r="1177" ht="14.25" customHeight="1">
      <c r="A1177" s="302">
        <f t="shared" si="4"/>
        <v>47349</v>
      </c>
      <c r="B1177" s="241">
        <f t="shared" si="1"/>
        <v>2029</v>
      </c>
      <c r="C1177" s="241">
        <f t="shared" si="2"/>
        <v>8</v>
      </c>
      <c r="D1177" s="301" t="str">
        <f t="shared" si="3"/>
        <v>Sunday</v>
      </c>
      <c r="E1177" s="240"/>
      <c r="F1177" s="240"/>
      <c r="G1177" s="240"/>
      <c r="H1177" s="241"/>
      <c r="I1177" s="301"/>
      <c r="J1177" s="240"/>
      <c r="K1177" s="240"/>
      <c r="L1177" s="240"/>
      <c r="M1177" s="240"/>
      <c r="N1177" s="240"/>
      <c r="O1177" s="240"/>
      <c r="P1177" s="240"/>
      <c r="Q1177" s="240"/>
      <c r="R1177" s="240"/>
      <c r="S1177" s="240"/>
      <c r="T1177" s="240"/>
      <c r="U1177" s="240"/>
      <c r="V1177" s="240"/>
      <c r="W1177" s="240"/>
      <c r="X1177" s="240"/>
      <c r="Y1177" s="240"/>
      <c r="Z1177" s="240"/>
    </row>
    <row r="1178" ht="14.25" customHeight="1">
      <c r="A1178" s="302">
        <f t="shared" si="4"/>
        <v>47350</v>
      </c>
      <c r="B1178" s="241">
        <f t="shared" si="1"/>
        <v>2029</v>
      </c>
      <c r="C1178" s="241">
        <f t="shared" si="2"/>
        <v>8</v>
      </c>
      <c r="D1178" s="301" t="str">
        <f t="shared" si="3"/>
        <v>Monday</v>
      </c>
      <c r="E1178" s="240"/>
      <c r="F1178" s="240"/>
      <c r="G1178" s="240"/>
      <c r="H1178" s="241"/>
      <c r="I1178" s="301"/>
      <c r="J1178" s="240"/>
      <c r="K1178" s="240"/>
      <c r="L1178" s="240"/>
      <c r="M1178" s="240"/>
      <c r="N1178" s="240"/>
      <c r="O1178" s="240"/>
      <c r="P1178" s="240"/>
      <c r="Q1178" s="240"/>
      <c r="R1178" s="240"/>
      <c r="S1178" s="240"/>
      <c r="T1178" s="240"/>
      <c r="U1178" s="240"/>
      <c r="V1178" s="240"/>
      <c r="W1178" s="240"/>
      <c r="X1178" s="240"/>
      <c r="Y1178" s="240"/>
      <c r="Z1178" s="240"/>
    </row>
    <row r="1179" ht="14.25" customHeight="1">
      <c r="A1179" s="302">
        <f t="shared" si="4"/>
        <v>47351</v>
      </c>
      <c r="B1179" s="241">
        <f t="shared" si="1"/>
        <v>2029</v>
      </c>
      <c r="C1179" s="241">
        <f t="shared" si="2"/>
        <v>8</v>
      </c>
      <c r="D1179" s="301" t="str">
        <f t="shared" si="3"/>
        <v>Tuesday</v>
      </c>
      <c r="E1179" s="240"/>
      <c r="F1179" s="240"/>
      <c r="G1179" s="240"/>
      <c r="H1179" s="241"/>
      <c r="I1179" s="301"/>
      <c r="J1179" s="240"/>
      <c r="K1179" s="240"/>
      <c r="L1179" s="240"/>
      <c r="M1179" s="240"/>
      <c r="N1179" s="240"/>
      <c r="O1179" s="240"/>
      <c r="P1179" s="240"/>
      <c r="Q1179" s="240"/>
      <c r="R1179" s="240"/>
      <c r="S1179" s="240"/>
      <c r="T1179" s="240"/>
      <c r="U1179" s="240"/>
      <c r="V1179" s="240"/>
      <c r="W1179" s="240"/>
      <c r="X1179" s="240"/>
      <c r="Y1179" s="240"/>
      <c r="Z1179" s="240"/>
    </row>
    <row r="1180" ht="14.25" customHeight="1">
      <c r="A1180" s="302">
        <f t="shared" si="4"/>
        <v>47352</v>
      </c>
      <c r="B1180" s="241">
        <f t="shared" si="1"/>
        <v>2029</v>
      </c>
      <c r="C1180" s="241">
        <f t="shared" si="2"/>
        <v>8</v>
      </c>
      <c r="D1180" s="301" t="str">
        <f t="shared" si="3"/>
        <v>Wednesday</v>
      </c>
      <c r="E1180" s="240"/>
      <c r="F1180" s="240"/>
      <c r="G1180" s="240"/>
      <c r="H1180" s="241"/>
      <c r="I1180" s="301"/>
      <c r="J1180" s="240"/>
      <c r="K1180" s="240"/>
      <c r="L1180" s="240"/>
      <c r="M1180" s="240"/>
      <c r="N1180" s="240"/>
      <c r="O1180" s="240"/>
      <c r="P1180" s="240"/>
      <c r="Q1180" s="240"/>
      <c r="R1180" s="240"/>
      <c r="S1180" s="240"/>
      <c r="T1180" s="240"/>
      <c r="U1180" s="240"/>
      <c r="V1180" s="240"/>
      <c r="W1180" s="240"/>
      <c r="X1180" s="240"/>
      <c r="Y1180" s="240"/>
      <c r="Z1180" s="240"/>
    </row>
    <row r="1181" ht="14.25" customHeight="1">
      <c r="A1181" s="302">
        <f t="shared" si="4"/>
        <v>47353</v>
      </c>
      <c r="B1181" s="241">
        <f t="shared" si="1"/>
        <v>2029</v>
      </c>
      <c r="C1181" s="241">
        <f t="shared" si="2"/>
        <v>8</v>
      </c>
      <c r="D1181" s="301" t="str">
        <f t="shared" si="3"/>
        <v>Thursday</v>
      </c>
      <c r="E1181" s="240"/>
      <c r="F1181" s="240"/>
      <c r="G1181" s="240"/>
      <c r="H1181" s="241"/>
      <c r="I1181" s="301"/>
      <c r="J1181" s="240"/>
      <c r="K1181" s="240"/>
      <c r="L1181" s="240"/>
      <c r="M1181" s="240"/>
      <c r="N1181" s="240"/>
      <c r="O1181" s="240"/>
      <c r="P1181" s="240"/>
      <c r="Q1181" s="240"/>
      <c r="R1181" s="240"/>
      <c r="S1181" s="240"/>
      <c r="T1181" s="240"/>
      <c r="U1181" s="240"/>
      <c r="V1181" s="240"/>
      <c r="W1181" s="240"/>
      <c r="X1181" s="240"/>
      <c r="Y1181" s="240"/>
      <c r="Z1181" s="240"/>
    </row>
    <row r="1182" ht="14.25" customHeight="1">
      <c r="A1182" s="302">
        <f t="shared" si="4"/>
        <v>47354</v>
      </c>
      <c r="B1182" s="241">
        <f t="shared" si="1"/>
        <v>2029</v>
      </c>
      <c r="C1182" s="241">
        <f t="shared" si="2"/>
        <v>8</v>
      </c>
      <c r="D1182" s="301" t="str">
        <f t="shared" si="3"/>
        <v>Friday</v>
      </c>
      <c r="E1182" s="240"/>
      <c r="F1182" s="240"/>
      <c r="G1182" s="240"/>
      <c r="H1182" s="241"/>
      <c r="I1182" s="301"/>
      <c r="J1182" s="240"/>
      <c r="K1182" s="240"/>
      <c r="L1182" s="240"/>
      <c r="M1182" s="240"/>
      <c r="N1182" s="240"/>
      <c r="O1182" s="240"/>
      <c r="P1182" s="240"/>
      <c r="Q1182" s="240"/>
      <c r="R1182" s="240"/>
      <c r="S1182" s="240"/>
      <c r="T1182" s="240"/>
      <c r="U1182" s="240"/>
      <c r="V1182" s="240"/>
      <c r="W1182" s="240"/>
      <c r="X1182" s="240"/>
      <c r="Y1182" s="240"/>
      <c r="Z1182" s="240"/>
    </row>
    <row r="1183" ht="14.25" customHeight="1">
      <c r="A1183" s="302">
        <f t="shared" si="4"/>
        <v>47355</v>
      </c>
      <c r="B1183" s="241">
        <f t="shared" si="1"/>
        <v>2029</v>
      </c>
      <c r="C1183" s="241">
        <f t="shared" si="2"/>
        <v>8</v>
      </c>
      <c r="D1183" s="301" t="str">
        <f t="shared" si="3"/>
        <v>Saturday</v>
      </c>
      <c r="E1183" s="240"/>
      <c r="F1183" s="240"/>
      <c r="G1183" s="240"/>
      <c r="H1183" s="241"/>
      <c r="I1183" s="301"/>
      <c r="J1183" s="240"/>
      <c r="K1183" s="240"/>
      <c r="L1183" s="240"/>
      <c r="M1183" s="240"/>
      <c r="N1183" s="240"/>
      <c r="O1183" s="240"/>
      <c r="P1183" s="240"/>
      <c r="Q1183" s="240"/>
      <c r="R1183" s="240"/>
      <c r="S1183" s="240"/>
      <c r="T1183" s="240"/>
      <c r="U1183" s="240"/>
      <c r="V1183" s="240"/>
      <c r="W1183" s="240"/>
      <c r="X1183" s="240"/>
      <c r="Y1183" s="240"/>
      <c r="Z1183" s="240"/>
    </row>
    <row r="1184" ht="14.25" customHeight="1">
      <c r="A1184" s="302">
        <f t="shared" si="4"/>
        <v>47356</v>
      </c>
      <c r="B1184" s="241">
        <f t="shared" si="1"/>
        <v>2029</v>
      </c>
      <c r="C1184" s="241">
        <f t="shared" si="2"/>
        <v>8</v>
      </c>
      <c r="D1184" s="301" t="str">
        <f t="shared" si="3"/>
        <v>Sunday</v>
      </c>
      <c r="E1184" s="240"/>
      <c r="F1184" s="240"/>
      <c r="G1184" s="240"/>
      <c r="H1184" s="241"/>
      <c r="I1184" s="301"/>
      <c r="J1184" s="240"/>
      <c r="K1184" s="240"/>
      <c r="L1184" s="240"/>
      <c r="M1184" s="240"/>
      <c r="N1184" s="240"/>
      <c r="O1184" s="240"/>
      <c r="P1184" s="240"/>
      <c r="Q1184" s="240"/>
      <c r="R1184" s="240"/>
      <c r="S1184" s="240"/>
      <c r="T1184" s="240"/>
      <c r="U1184" s="240"/>
      <c r="V1184" s="240"/>
      <c r="W1184" s="240"/>
      <c r="X1184" s="240"/>
      <c r="Y1184" s="240"/>
      <c r="Z1184" s="240"/>
    </row>
    <row r="1185" ht="14.25" customHeight="1">
      <c r="A1185" s="302">
        <f t="shared" si="4"/>
        <v>47357</v>
      </c>
      <c r="B1185" s="241">
        <f t="shared" si="1"/>
        <v>2029</v>
      </c>
      <c r="C1185" s="241">
        <f t="shared" si="2"/>
        <v>8</v>
      </c>
      <c r="D1185" s="301" t="str">
        <f t="shared" si="3"/>
        <v>Monday</v>
      </c>
      <c r="E1185" s="240"/>
      <c r="F1185" s="240"/>
      <c r="G1185" s="240"/>
      <c r="H1185" s="241"/>
      <c r="I1185" s="301"/>
      <c r="J1185" s="240"/>
      <c r="K1185" s="240"/>
      <c r="L1185" s="240"/>
      <c r="M1185" s="240"/>
      <c r="N1185" s="240"/>
      <c r="O1185" s="240"/>
      <c r="P1185" s="240"/>
      <c r="Q1185" s="240"/>
      <c r="R1185" s="240"/>
      <c r="S1185" s="240"/>
      <c r="T1185" s="240"/>
      <c r="U1185" s="240"/>
      <c r="V1185" s="240"/>
      <c r="W1185" s="240"/>
      <c r="X1185" s="240"/>
      <c r="Y1185" s="240"/>
      <c r="Z1185" s="240"/>
    </row>
    <row r="1186" ht="14.25" customHeight="1">
      <c r="A1186" s="302">
        <f t="shared" si="4"/>
        <v>47358</v>
      </c>
      <c r="B1186" s="241">
        <f t="shared" si="1"/>
        <v>2029</v>
      </c>
      <c r="C1186" s="241">
        <f t="shared" si="2"/>
        <v>8</v>
      </c>
      <c r="D1186" s="301" t="str">
        <f t="shared" si="3"/>
        <v>Tuesday</v>
      </c>
      <c r="E1186" s="240"/>
      <c r="F1186" s="240"/>
      <c r="G1186" s="240"/>
      <c r="H1186" s="241"/>
      <c r="I1186" s="301"/>
      <c r="J1186" s="240"/>
      <c r="K1186" s="240"/>
      <c r="L1186" s="240"/>
      <c r="M1186" s="240"/>
      <c r="N1186" s="240"/>
      <c r="O1186" s="240"/>
      <c r="P1186" s="240"/>
      <c r="Q1186" s="240"/>
      <c r="R1186" s="240"/>
      <c r="S1186" s="240"/>
      <c r="T1186" s="240"/>
      <c r="U1186" s="240"/>
      <c r="V1186" s="240"/>
      <c r="W1186" s="240"/>
      <c r="X1186" s="240"/>
      <c r="Y1186" s="240"/>
      <c r="Z1186" s="240"/>
    </row>
    <row r="1187" ht="14.25" customHeight="1">
      <c r="A1187" s="302">
        <f t="shared" si="4"/>
        <v>47359</v>
      </c>
      <c r="B1187" s="241">
        <f t="shared" si="1"/>
        <v>2029</v>
      </c>
      <c r="C1187" s="241">
        <f t="shared" si="2"/>
        <v>8</v>
      </c>
      <c r="D1187" s="301" t="str">
        <f t="shared" si="3"/>
        <v>Wednesday</v>
      </c>
      <c r="E1187" s="240"/>
      <c r="F1187" s="240"/>
      <c r="G1187" s="240"/>
      <c r="H1187" s="241"/>
      <c r="I1187" s="301"/>
      <c r="J1187" s="240"/>
      <c r="K1187" s="240"/>
      <c r="L1187" s="240"/>
      <c r="M1187" s="240"/>
      <c r="N1187" s="240"/>
      <c r="O1187" s="240"/>
      <c r="P1187" s="240"/>
      <c r="Q1187" s="240"/>
      <c r="R1187" s="240"/>
      <c r="S1187" s="240"/>
      <c r="T1187" s="240"/>
      <c r="U1187" s="240"/>
      <c r="V1187" s="240"/>
      <c r="W1187" s="240"/>
      <c r="X1187" s="240"/>
      <c r="Y1187" s="240"/>
      <c r="Z1187" s="240"/>
    </row>
    <row r="1188" ht="14.25" customHeight="1">
      <c r="A1188" s="302">
        <f t="shared" si="4"/>
        <v>47360</v>
      </c>
      <c r="B1188" s="241">
        <f t="shared" si="1"/>
        <v>2029</v>
      </c>
      <c r="C1188" s="241">
        <f t="shared" si="2"/>
        <v>8</v>
      </c>
      <c r="D1188" s="301" t="str">
        <f t="shared" si="3"/>
        <v>Thursday</v>
      </c>
      <c r="E1188" s="240"/>
      <c r="F1188" s="240"/>
      <c r="G1188" s="240"/>
      <c r="H1188" s="241"/>
      <c r="I1188" s="301"/>
      <c r="J1188" s="240"/>
      <c r="K1188" s="240"/>
      <c r="L1188" s="240"/>
      <c r="M1188" s="240"/>
      <c r="N1188" s="240"/>
      <c r="O1188" s="240"/>
      <c r="P1188" s="240"/>
      <c r="Q1188" s="240"/>
      <c r="R1188" s="240"/>
      <c r="S1188" s="240"/>
      <c r="T1188" s="240"/>
      <c r="U1188" s="240"/>
      <c r="V1188" s="240"/>
      <c r="W1188" s="240"/>
      <c r="X1188" s="240"/>
      <c r="Y1188" s="240"/>
      <c r="Z1188" s="240"/>
    </row>
    <row r="1189" ht="14.25" customHeight="1">
      <c r="A1189" s="302">
        <f t="shared" si="4"/>
        <v>47361</v>
      </c>
      <c r="B1189" s="241">
        <f t="shared" si="1"/>
        <v>2029</v>
      </c>
      <c r="C1189" s="241">
        <f t="shared" si="2"/>
        <v>8</v>
      </c>
      <c r="D1189" s="301" t="str">
        <f t="shared" si="3"/>
        <v>Friday</v>
      </c>
      <c r="E1189" s="240"/>
      <c r="F1189" s="240"/>
      <c r="G1189" s="240"/>
      <c r="H1189" s="241"/>
      <c r="I1189" s="301"/>
      <c r="J1189" s="240"/>
      <c r="K1189" s="240"/>
      <c r="L1189" s="240"/>
      <c r="M1189" s="240"/>
      <c r="N1189" s="240"/>
      <c r="O1189" s="240"/>
      <c r="P1189" s="240"/>
      <c r="Q1189" s="240"/>
      <c r="R1189" s="240"/>
      <c r="S1189" s="240"/>
      <c r="T1189" s="240"/>
      <c r="U1189" s="240"/>
      <c r="V1189" s="240"/>
      <c r="W1189" s="240"/>
      <c r="X1189" s="240"/>
      <c r="Y1189" s="240"/>
      <c r="Z1189" s="240"/>
    </row>
    <row r="1190" ht="14.25" customHeight="1">
      <c r="A1190" s="302">
        <f t="shared" si="4"/>
        <v>47362</v>
      </c>
      <c r="B1190" s="241">
        <f t="shared" si="1"/>
        <v>2029</v>
      </c>
      <c r="C1190" s="241">
        <f t="shared" si="2"/>
        <v>9</v>
      </c>
      <c r="D1190" s="301" t="str">
        <f t="shared" si="3"/>
        <v>Saturday</v>
      </c>
      <c r="E1190" s="240"/>
      <c r="F1190" s="240"/>
      <c r="G1190" s="240"/>
      <c r="H1190" s="241"/>
      <c r="I1190" s="301"/>
      <c r="J1190" s="240"/>
      <c r="K1190" s="240"/>
      <c r="L1190" s="240"/>
      <c r="M1190" s="240"/>
      <c r="N1190" s="240"/>
      <c r="O1190" s="240"/>
      <c r="P1190" s="240"/>
      <c r="Q1190" s="240"/>
      <c r="R1190" s="240"/>
      <c r="S1190" s="240"/>
      <c r="T1190" s="240"/>
      <c r="U1190" s="240"/>
      <c r="V1190" s="240"/>
      <c r="W1190" s="240"/>
      <c r="X1190" s="240"/>
      <c r="Y1190" s="240"/>
      <c r="Z1190" s="240"/>
    </row>
    <row r="1191" ht="14.25" customHeight="1">
      <c r="A1191" s="302">
        <f t="shared" si="4"/>
        <v>47363</v>
      </c>
      <c r="B1191" s="241">
        <f t="shared" si="1"/>
        <v>2029</v>
      </c>
      <c r="C1191" s="241">
        <f t="shared" si="2"/>
        <v>9</v>
      </c>
      <c r="D1191" s="301" t="str">
        <f t="shared" si="3"/>
        <v>Sunday</v>
      </c>
      <c r="E1191" s="240"/>
      <c r="F1191" s="240"/>
      <c r="G1191" s="240"/>
      <c r="H1191" s="241"/>
      <c r="I1191" s="301"/>
      <c r="J1191" s="240"/>
      <c r="K1191" s="240"/>
      <c r="L1191" s="240"/>
      <c r="M1191" s="240"/>
      <c r="N1191" s="240"/>
      <c r="O1191" s="240"/>
      <c r="P1191" s="240"/>
      <c r="Q1191" s="240"/>
      <c r="R1191" s="240"/>
      <c r="S1191" s="240"/>
      <c r="T1191" s="240"/>
      <c r="U1191" s="240"/>
      <c r="V1191" s="240"/>
      <c r="W1191" s="240"/>
      <c r="X1191" s="240"/>
      <c r="Y1191" s="240"/>
      <c r="Z1191" s="240"/>
    </row>
    <row r="1192" ht="14.25" customHeight="1">
      <c r="A1192" s="302">
        <f t="shared" si="4"/>
        <v>47364</v>
      </c>
      <c r="B1192" s="241">
        <f t="shared" si="1"/>
        <v>2029</v>
      </c>
      <c r="C1192" s="241">
        <f t="shared" si="2"/>
        <v>9</v>
      </c>
      <c r="D1192" s="301" t="str">
        <f t="shared" si="3"/>
        <v>Monday</v>
      </c>
      <c r="E1192" s="240"/>
      <c r="F1192" s="240"/>
      <c r="G1192" s="240"/>
      <c r="H1192" s="241"/>
      <c r="I1192" s="301"/>
      <c r="J1192" s="240"/>
      <c r="K1192" s="240"/>
      <c r="L1192" s="240"/>
      <c r="M1192" s="240"/>
      <c r="N1192" s="240"/>
      <c r="O1192" s="240"/>
      <c r="P1192" s="240"/>
      <c r="Q1192" s="240"/>
      <c r="R1192" s="240"/>
      <c r="S1192" s="240"/>
      <c r="T1192" s="240"/>
      <c r="U1192" s="240"/>
      <c r="V1192" s="240"/>
      <c r="W1192" s="240"/>
      <c r="X1192" s="240"/>
      <c r="Y1192" s="240"/>
      <c r="Z1192" s="240"/>
    </row>
    <row r="1193" ht="14.25" customHeight="1">
      <c r="A1193" s="302">
        <f t="shared" si="4"/>
        <v>47365</v>
      </c>
      <c r="B1193" s="241">
        <f t="shared" si="1"/>
        <v>2029</v>
      </c>
      <c r="C1193" s="241">
        <f t="shared" si="2"/>
        <v>9</v>
      </c>
      <c r="D1193" s="301" t="str">
        <f t="shared" si="3"/>
        <v>Tuesday</v>
      </c>
      <c r="E1193" s="240"/>
      <c r="F1193" s="240"/>
      <c r="G1193" s="240"/>
      <c r="H1193" s="241"/>
      <c r="I1193" s="301"/>
      <c r="J1193" s="240"/>
      <c r="K1193" s="240"/>
      <c r="L1193" s="240"/>
      <c r="M1193" s="240"/>
      <c r="N1193" s="240"/>
      <c r="O1193" s="240"/>
      <c r="P1193" s="240"/>
      <c r="Q1193" s="240"/>
      <c r="R1193" s="240"/>
      <c r="S1193" s="240"/>
      <c r="T1193" s="240"/>
      <c r="U1193" s="240"/>
      <c r="V1193" s="240"/>
      <c r="W1193" s="240"/>
      <c r="X1193" s="240"/>
      <c r="Y1193" s="240"/>
      <c r="Z1193" s="240"/>
    </row>
    <row r="1194" ht="14.25" customHeight="1">
      <c r="A1194" s="302">
        <f t="shared" si="4"/>
        <v>47366</v>
      </c>
      <c r="B1194" s="241">
        <f t="shared" si="1"/>
        <v>2029</v>
      </c>
      <c r="C1194" s="241">
        <f t="shared" si="2"/>
        <v>9</v>
      </c>
      <c r="D1194" s="301" t="str">
        <f t="shared" si="3"/>
        <v>Wednesday</v>
      </c>
      <c r="E1194" s="240"/>
      <c r="F1194" s="240"/>
      <c r="G1194" s="240"/>
      <c r="H1194" s="241"/>
      <c r="I1194" s="301"/>
      <c r="J1194" s="240"/>
      <c r="K1194" s="240"/>
      <c r="L1194" s="240"/>
      <c r="M1194" s="240"/>
      <c r="N1194" s="240"/>
      <c r="O1194" s="240"/>
      <c r="P1194" s="240"/>
      <c r="Q1194" s="240"/>
      <c r="R1194" s="240"/>
      <c r="S1194" s="240"/>
      <c r="T1194" s="240"/>
      <c r="U1194" s="240"/>
      <c r="V1194" s="240"/>
      <c r="W1194" s="240"/>
      <c r="X1194" s="240"/>
      <c r="Y1194" s="240"/>
      <c r="Z1194" s="240"/>
    </row>
    <row r="1195" ht="14.25" customHeight="1">
      <c r="A1195" s="302">
        <f t="shared" si="4"/>
        <v>47367</v>
      </c>
      <c r="B1195" s="241">
        <f t="shared" si="1"/>
        <v>2029</v>
      </c>
      <c r="C1195" s="241">
        <f t="shared" si="2"/>
        <v>9</v>
      </c>
      <c r="D1195" s="301" t="str">
        <f t="shared" si="3"/>
        <v>Thursday</v>
      </c>
      <c r="E1195" s="240"/>
      <c r="F1195" s="240"/>
      <c r="G1195" s="240"/>
      <c r="H1195" s="241"/>
      <c r="I1195" s="301"/>
      <c r="J1195" s="240"/>
      <c r="K1195" s="240"/>
      <c r="L1195" s="240"/>
      <c r="M1195" s="240"/>
      <c r="N1195" s="240"/>
      <c r="O1195" s="240"/>
      <c r="P1195" s="240"/>
      <c r="Q1195" s="240"/>
      <c r="R1195" s="240"/>
      <c r="S1195" s="240"/>
      <c r="T1195" s="240"/>
      <c r="U1195" s="240"/>
      <c r="V1195" s="240"/>
      <c r="W1195" s="240"/>
      <c r="X1195" s="240"/>
      <c r="Y1195" s="240"/>
      <c r="Z1195" s="240"/>
    </row>
    <row r="1196" ht="14.25" customHeight="1">
      <c r="A1196" s="302">
        <f t="shared" si="4"/>
        <v>47368</v>
      </c>
      <c r="B1196" s="241">
        <f t="shared" si="1"/>
        <v>2029</v>
      </c>
      <c r="C1196" s="241">
        <f t="shared" si="2"/>
        <v>9</v>
      </c>
      <c r="D1196" s="301" t="str">
        <f t="shared" si="3"/>
        <v>Friday</v>
      </c>
      <c r="E1196" s="240"/>
      <c r="F1196" s="240"/>
      <c r="G1196" s="240"/>
      <c r="H1196" s="241"/>
      <c r="I1196" s="301"/>
      <c r="J1196" s="240"/>
      <c r="K1196" s="240"/>
      <c r="L1196" s="240"/>
      <c r="M1196" s="240"/>
      <c r="N1196" s="240"/>
      <c r="O1196" s="240"/>
      <c r="P1196" s="240"/>
      <c r="Q1196" s="240"/>
      <c r="R1196" s="240"/>
      <c r="S1196" s="240"/>
      <c r="T1196" s="240"/>
      <c r="U1196" s="240"/>
      <c r="V1196" s="240"/>
      <c r="W1196" s="240"/>
      <c r="X1196" s="240"/>
      <c r="Y1196" s="240"/>
      <c r="Z1196" s="240"/>
    </row>
    <row r="1197" ht="14.25" customHeight="1">
      <c r="A1197" s="302">
        <f t="shared" si="4"/>
        <v>47369</v>
      </c>
      <c r="B1197" s="241">
        <f t="shared" si="1"/>
        <v>2029</v>
      </c>
      <c r="C1197" s="241">
        <f t="shared" si="2"/>
        <v>9</v>
      </c>
      <c r="D1197" s="301" t="str">
        <f t="shared" si="3"/>
        <v>Saturday</v>
      </c>
      <c r="E1197" s="240"/>
      <c r="F1197" s="240"/>
      <c r="G1197" s="240"/>
      <c r="H1197" s="241"/>
      <c r="I1197" s="301"/>
      <c r="J1197" s="240"/>
      <c r="K1197" s="240"/>
      <c r="L1197" s="240"/>
      <c r="M1197" s="240"/>
      <c r="N1197" s="240"/>
      <c r="O1197" s="240"/>
      <c r="P1197" s="240"/>
      <c r="Q1197" s="240"/>
      <c r="R1197" s="240"/>
      <c r="S1197" s="240"/>
      <c r="T1197" s="240"/>
      <c r="U1197" s="240"/>
      <c r="V1197" s="240"/>
      <c r="W1197" s="240"/>
      <c r="X1197" s="240"/>
      <c r="Y1197" s="240"/>
      <c r="Z1197" s="240"/>
    </row>
    <row r="1198" ht="14.25" customHeight="1">
      <c r="A1198" s="302">
        <f t="shared" si="4"/>
        <v>47370</v>
      </c>
      <c r="B1198" s="241">
        <f t="shared" si="1"/>
        <v>2029</v>
      </c>
      <c r="C1198" s="241">
        <f t="shared" si="2"/>
        <v>9</v>
      </c>
      <c r="D1198" s="301" t="str">
        <f t="shared" si="3"/>
        <v>Sunday</v>
      </c>
      <c r="E1198" s="240"/>
      <c r="F1198" s="240"/>
      <c r="G1198" s="240"/>
      <c r="H1198" s="241"/>
      <c r="I1198" s="301"/>
      <c r="J1198" s="240"/>
      <c r="K1198" s="240"/>
      <c r="L1198" s="240"/>
      <c r="M1198" s="240"/>
      <c r="N1198" s="240"/>
      <c r="O1198" s="240"/>
      <c r="P1198" s="240"/>
      <c r="Q1198" s="240"/>
      <c r="R1198" s="240"/>
      <c r="S1198" s="240"/>
      <c r="T1198" s="240"/>
      <c r="U1198" s="240"/>
      <c r="V1198" s="240"/>
      <c r="W1198" s="240"/>
      <c r="X1198" s="240"/>
      <c r="Y1198" s="240"/>
      <c r="Z1198" s="240"/>
    </row>
    <row r="1199" ht="14.25" customHeight="1">
      <c r="A1199" s="302">
        <f t="shared" si="4"/>
        <v>47371</v>
      </c>
      <c r="B1199" s="241">
        <f t="shared" si="1"/>
        <v>2029</v>
      </c>
      <c r="C1199" s="241">
        <f t="shared" si="2"/>
        <v>9</v>
      </c>
      <c r="D1199" s="301" t="str">
        <f t="shared" si="3"/>
        <v>Monday</v>
      </c>
      <c r="E1199" s="240"/>
      <c r="F1199" s="240"/>
      <c r="G1199" s="240"/>
      <c r="H1199" s="241"/>
      <c r="I1199" s="301"/>
      <c r="J1199" s="240"/>
      <c r="K1199" s="240"/>
      <c r="L1199" s="240"/>
      <c r="M1199" s="240"/>
      <c r="N1199" s="240"/>
      <c r="O1199" s="240"/>
      <c r="P1199" s="240"/>
      <c r="Q1199" s="240"/>
      <c r="R1199" s="240"/>
      <c r="S1199" s="240"/>
      <c r="T1199" s="240"/>
      <c r="U1199" s="240"/>
      <c r="V1199" s="240"/>
      <c r="W1199" s="240"/>
      <c r="X1199" s="240"/>
      <c r="Y1199" s="240"/>
      <c r="Z1199" s="240"/>
    </row>
    <row r="1200" ht="14.25" customHeight="1">
      <c r="A1200" s="302">
        <f t="shared" si="4"/>
        <v>47372</v>
      </c>
      <c r="B1200" s="241">
        <f t="shared" si="1"/>
        <v>2029</v>
      </c>
      <c r="C1200" s="241">
        <f t="shared" si="2"/>
        <v>9</v>
      </c>
      <c r="D1200" s="301" t="str">
        <f t="shared" si="3"/>
        <v>Tuesday</v>
      </c>
      <c r="E1200" s="240"/>
      <c r="F1200" s="240"/>
      <c r="G1200" s="240"/>
      <c r="H1200" s="241"/>
      <c r="I1200" s="301"/>
      <c r="J1200" s="240"/>
      <c r="K1200" s="240"/>
      <c r="L1200" s="240"/>
      <c r="M1200" s="240"/>
      <c r="N1200" s="240"/>
      <c r="O1200" s="240"/>
      <c r="P1200" s="240"/>
      <c r="Q1200" s="240"/>
      <c r="R1200" s="240"/>
      <c r="S1200" s="240"/>
      <c r="T1200" s="240"/>
      <c r="U1200" s="240"/>
      <c r="V1200" s="240"/>
      <c r="W1200" s="240"/>
      <c r="X1200" s="240"/>
      <c r="Y1200" s="240"/>
      <c r="Z1200" s="240"/>
    </row>
    <row r="1201" ht="14.25" customHeight="1">
      <c r="A1201" s="302">
        <f t="shared" si="4"/>
        <v>47373</v>
      </c>
      <c r="B1201" s="241">
        <f t="shared" si="1"/>
        <v>2029</v>
      </c>
      <c r="C1201" s="241">
        <f t="shared" si="2"/>
        <v>9</v>
      </c>
      <c r="D1201" s="301" t="str">
        <f t="shared" si="3"/>
        <v>Wednesday</v>
      </c>
      <c r="E1201" s="240"/>
      <c r="F1201" s="240"/>
      <c r="G1201" s="240"/>
      <c r="H1201" s="241"/>
      <c r="I1201" s="301"/>
      <c r="J1201" s="240"/>
      <c r="K1201" s="240"/>
      <c r="L1201" s="240"/>
      <c r="M1201" s="240"/>
      <c r="N1201" s="240"/>
      <c r="O1201" s="240"/>
      <c r="P1201" s="240"/>
      <c r="Q1201" s="240"/>
      <c r="R1201" s="240"/>
      <c r="S1201" s="240"/>
      <c r="T1201" s="240"/>
      <c r="U1201" s="240"/>
      <c r="V1201" s="240"/>
      <c r="W1201" s="240"/>
      <c r="X1201" s="240"/>
      <c r="Y1201" s="240"/>
      <c r="Z1201" s="240"/>
    </row>
    <row r="1202" ht="14.25" customHeight="1">
      <c r="A1202" s="302">
        <f t="shared" si="4"/>
        <v>47374</v>
      </c>
      <c r="B1202" s="241">
        <f t="shared" si="1"/>
        <v>2029</v>
      </c>
      <c r="C1202" s="241">
        <f t="shared" si="2"/>
        <v>9</v>
      </c>
      <c r="D1202" s="301" t="str">
        <f t="shared" si="3"/>
        <v>Thursday</v>
      </c>
      <c r="E1202" s="240"/>
      <c r="F1202" s="240"/>
      <c r="G1202" s="240"/>
      <c r="H1202" s="241"/>
      <c r="I1202" s="301"/>
      <c r="J1202" s="240"/>
      <c r="K1202" s="240"/>
      <c r="L1202" s="240"/>
      <c r="M1202" s="240"/>
      <c r="N1202" s="240"/>
      <c r="O1202" s="240"/>
      <c r="P1202" s="240"/>
      <c r="Q1202" s="240"/>
      <c r="R1202" s="240"/>
      <c r="S1202" s="240"/>
      <c r="T1202" s="240"/>
      <c r="U1202" s="240"/>
      <c r="V1202" s="240"/>
      <c r="W1202" s="240"/>
      <c r="X1202" s="240"/>
      <c r="Y1202" s="240"/>
      <c r="Z1202" s="240"/>
    </row>
    <row r="1203" ht="14.25" customHeight="1">
      <c r="A1203" s="302">
        <f t="shared" si="4"/>
        <v>47375</v>
      </c>
      <c r="B1203" s="241">
        <f t="shared" si="1"/>
        <v>2029</v>
      </c>
      <c r="C1203" s="241">
        <f t="shared" si="2"/>
        <v>9</v>
      </c>
      <c r="D1203" s="301" t="str">
        <f t="shared" si="3"/>
        <v>Friday</v>
      </c>
      <c r="E1203" s="240"/>
      <c r="F1203" s="240"/>
      <c r="G1203" s="240"/>
      <c r="H1203" s="241"/>
      <c r="I1203" s="301"/>
      <c r="J1203" s="240"/>
      <c r="K1203" s="240"/>
      <c r="L1203" s="240"/>
      <c r="M1203" s="240"/>
      <c r="N1203" s="240"/>
      <c r="O1203" s="240"/>
      <c r="P1203" s="240"/>
      <c r="Q1203" s="240"/>
      <c r="R1203" s="240"/>
      <c r="S1203" s="240"/>
      <c r="T1203" s="240"/>
      <c r="U1203" s="240"/>
      <c r="V1203" s="240"/>
      <c r="W1203" s="240"/>
      <c r="X1203" s="240"/>
      <c r="Y1203" s="240"/>
      <c r="Z1203" s="240"/>
    </row>
    <row r="1204" ht="14.25" customHeight="1">
      <c r="A1204" s="302">
        <f t="shared" si="4"/>
        <v>47376</v>
      </c>
      <c r="B1204" s="241">
        <f t="shared" si="1"/>
        <v>2029</v>
      </c>
      <c r="C1204" s="241">
        <f t="shared" si="2"/>
        <v>9</v>
      </c>
      <c r="D1204" s="301" t="str">
        <f t="shared" si="3"/>
        <v>Saturday</v>
      </c>
      <c r="E1204" s="240"/>
      <c r="F1204" s="240"/>
      <c r="G1204" s="240"/>
      <c r="H1204" s="241"/>
      <c r="I1204" s="301"/>
      <c r="J1204" s="240"/>
      <c r="K1204" s="240"/>
      <c r="L1204" s="240"/>
      <c r="M1204" s="240"/>
      <c r="N1204" s="240"/>
      <c r="O1204" s="240"/>
      <c r="P1204" s="240"/>
      <c r="Q1204" s="240"/>
      <c r="R1204" s="240"/>
      <c r="S1204" s="240"/>
      <c r="T1204" s="240"/>
      <c r="U1204" s="240"/>
      <c r="V1204" s="240"/>
      <c r="W1204" s="240"/>
      <c r="X1204" s="240"/>
      <c r="Y1204" s="240"/>
      <c r="Z1204" s="240"/>
    </row>
    <row r="1205" ht="14.25" customHeight="1">
      <c r="A1205" s="302">
        <f t="shared" si="4"/>
        <v>47377</v>
      </c>
      <c r="B1205" s="241">
        <f t="shared" si="1"/>
        <v>2029</v>
      </c>
      <c r="C1205" s="241">
        <f t="shared" si="2"/>
        <v>9</v>
      </c>
      <c r="D1205" s="301" t="str">
        <f t="shared" si="3"/>
        <v>Sunday</v>
      </c>
      <c r="E1205" s="240"/>
      <c r="F1205" s="240"/>
      <c r="G1205" s="240"/>
      <c r="H1205" s="241"/>
      <c r="I1205" s="301"/>
      <c r="J1205" s="240"/>
      <c r="K1205" s="240"/>
      <c r="L1205" s="240"/>
      <c r="M1205" s="240"/>
      <c r="N1205" s="240"/>
      <c r="O1205" s="240"/>
      <c r="P1205" s="240"/>
      <c r="Q1205" s="240"/>
      <c r="R1205" s="240"/>
      <c r="S1205" s="240"/>
      <c r="T1205" s="240"/>
      <c r="U1205" s="240"/>
      <c r="V1205" s="240"/>
      <c r="W1205" s="240"/>
      <c r="X1205" s="240"/>
      <c r="Y1205" s="240"/>
      <c r="Z1205" s="240"/>
    </row>
    <row r="1206" ht="14.25" customHeight="1">
      <c r="A1206" s="302">
        <f t="shared" si="4"/>
        <v>47378</v>
      </c>
      <c r="B1206" s="241">
        <f t="shared" si="1"/>
        <v>2029</v>
      </c>
      <c r="C1206" s="241">
        <f t="shared" si="2"/>
        <v>9</v>
      </c>
      <c r="D1206" s="301" t="str">
        <f t="shared" si="3"/>
        <v>Monday</v>
      </c>
      <c r="E1206" s="240"/>
      <c r="F1206" s="240"/>
      <c r="G1206" s="240"/>
      <c r="H1206" s="241"/>
      <c r="I1206" s="301"/>
      <c r="J1206" s="240"/>
      <c r="K1206" s="240"/>
      <c r="L1206" s="240"/>
      <c r="M1206" s="240"/>
      <c r="N1206" s="240"/>
      <c r="O1206" s="240"/>
      <c r="P1206" s="240"/>
      <c r="Q1206" s="240"/>
      <c r="R1206" s="240"/>
      <c r="S1206" s="240"/>
      <c r="T1206" s="240"/>
      <c r="U1206" s="240"/>
      <c r="V1206" s="240"/>
      <c r="W1206" s="240"/>
      <c r="X1206" s="240"/>
      <c r="Y1206" s="240"/>
      <c r="Z1206" s="240"/>
    </row>
    <row r="1207" ht="14.25" customHeight="1">
      <c r="A1207" s="302">
        <f t="shared" si="4"/>
        <v>47379</v>
      </c>
      <c r="B1207" s="241">
        <f t="shared" si="1"/>
        <v>2029</v>
      </c>
      <c r="C1207" s="241">
        <f t="shared" si="2"/>
        <v>9</v>
      </c>
      <c r="D1207" s="301" t="str">
        <f t="shared" si="3"/>
        <v>Tuesday</v>
      </c>
      <c r="E1207" s="240"/>
      <c r="F1207" s="240"/>
      <c r="G1207" s="240"/>
      <c r="H1207" s="241"/>
      <c r="I1207" s="301"/>
      <c r="J1207" s="240"/>
      <c r="K1207" s="240"/>
      <c r="L1207" s="240"/>
      <c r="M1207" s="240"/>
      <c r="N1207" s="240"/>
      <c r="O1207" s="240"/>
      <c r="P1207" s="240"/>
      <c r="Q1207" s="240"/>
      <c r="R1207" s="240"/>
      <c r="S1207" s="240"/>
      <c r="T1207" s="240"/>
      <c r="U1207" s="240"/>
      <c r="V1207" s="240"/>
      <c r="W1207" s="240"/>
      <c r="X1207" s="240"/>
      <c r="Y1207" s="240"/>
      <c r="Z1207" s="240"/>
    </row>
    <row r="1208" ht="14.25" customHeight="1">
      <c r="A1208" s="302">
        <f t="shared" si="4"/>
        <v>47380</v>
      </c>
      <c r="B1208" s="241">
        <f t="shared" si="1"/>
        <v>2029</v>
      </c>
      <c r="C1208" s="241">
        <f t="shared" si="2"/>
        <v>9</v>
      </c>
      <c r="D1208" s="301" t="str">
        <f t="shared" si="3"/>
        <v>Wednesday</v>
      </c>
      <c r="E1208" s="240"/>
      <c r="F1208" s="240"/>
      <c r="G1208" s="240"/>
      <c r="H1208" s="241"/>
      <c r="I1208" s="301"/>
      <c r="J1208" s="240"/>
      <c r="K1208" s="240"/>
      <c r="L1208" s="240"/>
      <c r="M1208" s="240"/>
      <c r="N1208" s="240"/>
      <c r="O1208" s="240"/>
      <c r="P1208" s="240"/>
      <c r="Q1208" s="240"/>
      <c r="R1208" s="240"/>
      <c r="S1208" s="240"/>
      <c r="T1208" s="240"/>
      <c r="U1208" s="240"/>
      <c r="V1208" s="240"/>
      <c r="W1208" s="240"/>
      <c r="X1208" s="240"/>
      <c r="Y1208" s="240"/>
      <c r="Z1208" s="240"/>
    </row>
    <row r="1209" ht="14.25" customHeight="1">
      <c r="A1209" s="302">
        <f t="shared" si="4"/>
        <v>47381</v>
      </c>
      <c r="B1209" s="241">
        <f t="shared" si="1"/>
        <v>2029</v>
      </c>
      <c r="C1209" s="241">
        <f t="shared" si="2"/>
        <v>9</v>
      </c>
      <c r="D1209" s="301" t="str">
        <f t="shared" si="3"/>
        <v>Thursday</v>
      </c>
      <c r="E1209" s="240"/>
      <c r="F1209" s="240"/>
      <c r="G1209" s="240"/>
      <c r="H1209" s="241"/>
      <c r="I1209" s="301"/>
      <c r="J1209" s="240"/>
      <c r="K1209" s="240"/>
      <c r="L1209" s="240"/>
      <c r="M1209" s="240"/>
      <c r="N1209" s="240"/>
      <c r="O1209" s="240"/>
      <c r="P1209" s="240"/>
      <c r="Q1209" s="240"/>
      <c r="R1209" s="240"/>
      <c r="S1209" s="240"/>
      <c r="T1209" s="240"/>
      <c r="U1209" s="240"/>
      <c r="V1209" s="240"/>
      <c r="W1209" s="240"/>
      <c r="X1209" s="240"/>
      <c r="Y1209" s="240"/>
      <c r="Z1209" s="240"/>
    </row>
    <row r="1210" ht="14.25" customHeight="1">
      <c r="A1210" s="302">
        <f t="shared" si="4"/>
        <v>47382</v>
      </c>
      <c r="B1210" s="241">
        <f t="shared" si="1"/>
        <v>2029</v>
      </c>
      <c r="C1210" s="241">
        <f t="shared" si="2"/>
        <v>9</v>
      </c>
      <c r="D1210" s="301" t="str">
        <f t="shared" si="3"/>
        <v>Friday</v>
      </c>
      <c r="E1210" s="240"/>
      <c r="F1210" s="240"/>
      <c r="G1210" s="240"/>
      <c r="H1210" s="241"/>
      <c r="I1210" s="301"/>
      <c r="J1210" s="240"/>
      <c r="K1210" s="240"/>
      <c r="L1210" s="240"/>
      <c r="M1210" s="240"/>
      <c r="N1210" s="240"/>
      <c r="O1210" s="240"/>
      <c r="P1210" s="240"/>
      <c r="Q1210" s="240"/>
      <c r="R1210" s="240"/>
      <c r="S1210" s="240"/>
      <c r="T1210" s="240"/>
      <c r="U1210" s="240"/>
      <c r="V1210" s="240"/>
      <c r="W1210" s="240"/>
      <c r="X1210" s="240"/>
      <c r="Y1210" s="240"/>
      <c r="Z1210" s="240"/>
    </row>
    <row r="1211" ht="14.25" customHeight="1">
      <c r="A1211" s="302">
        <f t="shared" si="4"/>
        <v>47383</v>
      </c>
      <c r="B1211" s="241">
        <f t="shared" si="1"/>
        <v>2029</v>
      </c>
      <c r="C1211" s="241">
        <f t="shared" si="2"/>
        <v>9</v>
      </c>
      <c r="D1211" s="301" t="str">
        <f t="shared" si="3"/>
        <v>Saturday</v>
      </c>
      <c r="E1211" s="240"/>
      <c r="F1211" s="240"/>
      <c r="G1211" s="240"/>
      <c r="H1211" s="241"/>
      <c r="I1211" s="301"/>
      <c r="J1211" s="240"/>
      <c r="K1211" s="240"/>
      <c r="L1211" s="240"/>
      <c r="M1211" s="240"/>
      <c r="N1211" s="240"/>
      <c r="O1211" s="240"/>
      <c r="P1211" s="240"/>
      <c r="Q1211" s="240"/>
      <c r="R1211" s="240"/>
      <c r="S1211" s="240"/>
      <c r="T1211" s="240"/>
      <c r="U1211" s="240"/>
      <c r="V1211" s="240"/>
      <c r="W1211" s="240"/>
      <c r="X1211" s="240"/>
      <c r="Y1211" s="240"/>
      <c r="Z1211" s="240"/>
    </row>
    <row r="1212" ht="14.25" customHeight="1">
      <c r="A1212" s="302">
        <f t="shared" si="4"/>
        <v>47384</v>
      </c>
      <c r="B1212" s="241">
        <f t="shared" si="1"/>
        <v>2029</v>
      </c>
      <c r="C1212" s="241">
        <f t="shared" si="2"/>
        <v>9</v>
      </c>
      <c r="D1212" s="301" t="str">
        <f t="shared" si="3"/>
        <v>Sunday</v>
      </c>
      <c r="E1212" s="240"/>
      <c r="F1212" s="240"/>
      <c r="G1212" s="240"/>
      <c r="H1212" s="241"/>
      <c r="I1212" s="301"/>
      <c r="J1212" s="240"/>
      <c r="K1212" s="240"/>
      <c r="L1212" s="240"/>
      <c r="M1212" s="240"/>
      <c r="N1212" s="240"/>
      <c r="O1212" s="240"/>
      <c r="P1212" s="240"/>
      <c r="Q1212" s="240"/>
      <c r="R1212" s="240"/>
      <c r="S1212" s="240"/>
      <c r="T1212" s="240"/>
      <c r="U1212" s="240"/>
      <c r="V1212" s="240"/>
      <c r="W1212" s="240"/>
      <c r="X1212" s="240"/>
      <c r="Y1212" s="240"/>
      <c r="Z1212" s="240"/>
    </row>
    <row r="1213" ht="14.25" customHeight="1">
      <c r="A1213" s="302">
        <f t="shared" si="4"/>
        <v>47385</v>
      </c>
      <c r="B1213" s="241">
        <f t="shared" si="1"/>
        <v>2029</v>
      </c>
      <c r="C1213" s="241">
        <f t="shared" si="2"/>
        <v>9</v>
      </c>
      <c r="D1213" s="301" t="str">
        <f t="shared" si="3"/>
        <v>Monday</v>
      </c>
      <c r="E1213" s="240"/>
      <c r="F1213" s="240"/>
      <c r="G1213" s="240"/>
      <c r="H1213" s="241"/>
      <c r="I1213" s="301"/>
      <c r="J1213" s="240"/>
      <c r="K1213" s="240"/>
      <c r="L1213" s="240"/>
      <c r="M1213" s="240"/>
      <c r="N1213" s="240"/>
      <c r="O1213" s="240"/>
      <c r="P1213" s="240"/>
      <c r="Q1213" s="240"/>
      <c r="R1213" s="240"/>
      <c r="S1213" s="240"/>
      <c r="T1213" s="240"/>
      <c r="U1213" s="240"/>
      <c r="V1213" s="240"/>
      <c r="W1213" s="240"/>
      <c r="X1213" s="240"/>
      <c r="Y1213" s="240"/>
      <c r="Z1213" s="240"/>
    </row>
    <row r="1214" ht="14.25" customHeight="1">
      <c r="A1214" s="302">
        <f t="shared" si="4"/>
        <v>47386</v>
      </c>
      <c r="B1214" s="241">
        <f t="shared" si="1"/>
        <v>2029</v>
      </c>
      <c r="C1214" s="241">
        <f t="shared" si="2"/>
        <v>9</v>
      </c>
      <c r="D1214" s="301" t="str">
        <f t="shared" si="3"/>
        <v>Tuesday</v>
      </c>
      <c r="E1214" s="240"/>
      <c r="F1214" s="240"/>
      <c r="G1214" s="240"/>
      <c r="H1214" s="241"/>
      <c r="I1214" s="301"/>
      <c r="J1214" s="240"/>
      <c r="K1214" s="240"/>
      <c r="L1214" s="240"/>
      <c r="M1214" s="240"/>
      <c r="N1214" s="240"/>
      <c r="O1214" s="240"/>
      <c r="P1214" s="240"/>
      <c r="Q1214" s="240"/>
      <c r="R1214" s="240"/>
      <c r="S1214" s="240"/>
      <c r="T1214" s="240"/>
      <c r="U1214" s="240"/>
      <c r="V1214" s="240"/>
      <c r="W1214" s="240"/>
      <c r="X1214" s="240"/>
      <c r="Y1214" s="240"/>
      <c r="Z1214" s="240"/>
    </row>
    <row r="1215" ht="14.25" customHeight="1">
      <c r="A1215" s="302">
        <f t="shared" si="4"/>
        <v>47387</v>
      </c>
      <c r="B1215" s="241">
        <f t="shared" si="1"/>
        <v>2029</v>
      </c>
      <c r="C1215" s="241">
        <f t="shared" si="2"/>
        <v>9</v>
      </c>
      <c r="D1215" s="301" t="str">
        <f t="shared" si="3"/>
        <v>Wednesday</v>
      </c>
      <c r="E1215" s="240"/>
      <c r="F1215" s="240"/>
      <c r="G1215" s="240"/>
      <c r="H1215" s="241"/>
      <c r="I1215" s="301"/>
      <c r="J1215" s="240"/>
      <c r="K1215" s="240"/>
      <c r="L1215" s="240"/>
      <c r="M1215" s="240"/>
      <c r="N1215" s="240"/>
      <c r="O1215" s="240"/>
      <c r="P1215" s="240"/>
      <c r="Q1215" s="240"/>
      <c r="R1215" s="240"/>
      <c r="S1215" s="240"/>
      <c r="T1215" s="240"/>
      <c r="U1215" s="240"/>
      <c r="V1215" s="240"/>
      <c r="W1215" s="240"/>
      <c r="X1215" s="240"/>
      <c r="Y1215" s="240"/>
      <c r="Z1215" s="240"/>
    </row>
    <row r="1216" ht="14.25" customHeight="1">
      <c r="A1216" s="302">
        <f t="shared" si="4"/>
        <v>47388</v>
      </c>
      <c r="B1216" s="241">
        <f t="shared" si="1"/>
        <v>2029</v>
      </c>
      <c r="C1216" s="241">
        <f t="shared" si="2"/>
        <v>9</v>
      </c>
      <c r="D1216" s="301" t="str">
        <f t="shared" si="3"/>
        <v>Thursday</v>
      </c>
      <c r="E1216" s="240"/>
      <c r="F1216" s="240"/>
      <c r="G1216" s="240"/>
      <c r="H1216" s="241"/>
      <c r="I1216" s="301"/>
      <c r="J1216" s="240"/>
      <c r="K1216" s="240"/>
      <c r="L1216" s="240"/>
      <c r="M1216" s="240"/>
      <c r="N1216" s="240"/>
      <c r="O1216" s="240"/>
      <c r="P1216" s="240"/>
      <c r="Q1216" s="240"/>
      <c r="R1216" s="240"/>
      <c r="S1216" s="240"/>
      <c r="T1216" s="240"/>
      <c r="U1216" s="240"/>
      <c r="V1216" s="240"/>
      <c r="W1216" s="240"/>
      <c r="X1216" s="240"/>
      <c r="Y1216" s="240"/>
      <c r="Z1216" s="240"/>
    </row>
    <row r="1217" ht="14.25" customHeight="1">
      <c r="A1217" s="302">
        <f t="shared" si="4"/>
        <v>47389</v>
      </c>
      <c r="B1217" s="241">
        <f t="shared" si="1"/>
        <v>2029</v>
      </c>
      <c r="C1217" s="241">
        <f t="shared" si="2"/>
        <v>9</v>
      </c>
      <c r="D1217" s="301" t="str">
        <f t="shared" si="3"/>
        <v>Friday</v>
      </c>
      <c r="E1217" s="240"/>
      <c r="F1217" s="240"/>
      <c r="G1217" s="240"/>
      <c r="H1217" s="241"/>
      <c r="I1217" s="301"/>
      <c r="J1217" s="240"/>
      <c r="K1217" s="240"/>
      <c r="L1217" s="240"/>
      <c r="M1217" s="240"/>
      <c r="N1217" s="240"/>
      <c r="O1217" s="240"/>
      <c r="P1217" s="240"/>
      <c r="Q1217" s="240"/>
      <c r="R1217" s="240"/>
      <c r="S1217" s="240"/>
      <c r="T1217" s="240"/>
      <c r="U1217" s="240"/>
      <c r="V1217" s="240"/>
      <c r="W1217" s="240"/>
      <c r="X1217" s="240"/>
      <c r="Y1217" s="240"/>
      <c r="Z1217" s="240"/>
    </row>
    <row r="1218" ht="14.25" customHeight="1">
      <c r="A1218" s="302">
        <f t="shared" si="4"/>
        <v>47390</v>
      </c>
      <c r="B1218" s="241">
        <f t="shared" si="1"/>
        <v>2029</v>
      </c>
      <c r="C1218" s="241">
        <f t="shared" si="2"/>
        <v>9</v>
      </c>
      <c r="D1218" s="301" t="str">
        <f t="shared" si="3"/>
        <v>Saturday</v>
      </c>
      <c r="E1218" s="240"/>
      <c r="F1218" s="240"/>
      <c r="G1218" s="240"/>
      <c r="H1218" s="241"/>
      <c r="I1218" s="301"/>
      <c r="J1218" s="240"/>
      <c r="K1218" s="240"/>
      <c r="L1218" s="240"/>
      <c r="M1218" s="240"/>
      <c r="N1218" s="240"/>
      <c r="O1218" s="240"/>
      <c r="P1218" s="240"/>
      <c r="Q1218" s="240"/>
      <c r="R1218" s="240"/>
      <c r="S1218" s="240"/>
      <c r="T1218" s="240"/>
      <c r="U1218" s="240"/>
      <c r="V1218" s="240"/>
      <c r="W1218" s="240"/>
      <c r="X1218" s="240"/>
      <c r="Y1218" s="240"/>
      <c r="Z1218" s="240"/>
    </row>
    <row r="1219" ht="14.25" customHeight="1">
      <c r="A1219" s="302">
        <f t="shared" si="4"/>
        <v>47391</v>
      </c>
      <c r="B1219" s="241">
        <f t="shared" si="1"/>
        <v>2029</v>
      </c>
      <c r="C1219" s="241">
        <f t="shared" si="2"/>
        <v>9</v>
      </c>
      <c r="D1219" s="301" t="str">
        <f t="shared" si="3"/>
        <v>Sunday</v>
      </c>
      <c r="E1219" s="240"/>
      <c r="F1219" s="240"/>
      <c r="G1219" s="240"/>
      <c r="H1219" s="241"/>
      <c r="I1219" s="301"/>
      <c r="J1219" s="240"/>
      <c r="K1219" s="240"/>
      <c r="L1219" s="240"/>
      <c r="M1219" s="240"/>
      <c r="N1219" s="240"/>
      <c r="O1219" s="240"/>
      <c r="P1219" s="240"/>
      <c r="Q1219" s="240"/>
      <c r="R1219" s="240"/>
      <c r="S1219" s="240"/>
      <c r="T1219" s="240"/>
      <c r="U1219" s="240"/>
      <c r="V1219" s="240"/>
      <c r="W1219" s="240"/>
      <c r="X1219" s="240"/>
      <c r="Y1219" s="240"/>
      <c r="Z1219" s="240"/>
    </row>
    <row r="1220" ht="14.25" customHeight="1">
      <c r="A1220" s="302">
        <f t="shared" si="4"/>
        <v>47392</v>
      </c>
      <c r="B1220" s="241">
        <f t="shared" si="1"/>
        <v>2029</v>
      </c>
      <c r="C1220" s="241">
        <f t="shared" si="2"/>
        <v>10</v>
      </c>
      <c r="D1220" s="301" t="str">
        <f t="shared" si="3"/>
        <v>Monday</v>
      </c>
      <c r="E1220" s="240"/>
      <c r="F1220" s="240"/>
      <c r="G1220" s="240"/>
      <c r="H1220" s="241"/>
      <c r="I1220" s="301"/>
      <c r="J1220" s="240"/>
      <c r="K1220" s="240"/>
      <c r="L1220" s="240"/>
      <c r="M1220" s="240"/>
      <c r="N1220" s="240"/>
      <c r="O1220" s="240"/>
      <c r="P1220" s="240"/>
      <c r="Q1220" s="240"/>
      <c r="R1220" s="240"/>
      <c r="S1220" s="240"/>
      <c r="T1220" s="240"/>
      <c r="U1220" s="240"/>
      <c r="V1220" s="240"/>
      <c r="W1220" s="240"/>
      <c r="X1220" s="240"/>
      <c r="Y1220" s="240"/>
      <c r="Z1220" s="240"/>
    </row>
    <row r="1221" ht="14.25" customHeight="1">
      <c r="A1221" s="302">
        <f t="shared" si="4"/>
        <v>47393</v>
      </c>
      <c r="B1221" s="241">
        <f t="shared" si="1"/>
        <v>2029</v>
      </c>
      <c r="C1221" s="241">
        <f t="shared" si="2"/>
        <v>10</v>
      </c>
      <c r="D1221" s="301" t="str">
        <f t="shared" si="3"/>
        <v>Tuesday</v>
      </c>
      <c r="E1221" s="240"/>
      <c r="F1221" s="240"/>
      <c r="G1221" s="240"/>
      <c r="H1221" s="241"/>
      <c r="I1221" s="301"/>
      <c r="J1221" s="240"/>
      <c r="K1221" s="240"/>
      <c r="L1221" s="240"/>
      <c r="M1221" s="240"/>
      <c r="N1221" s="240"/>
      <c r="O1221" s="240"/>
      <c r="P1221" s="240"/>
      <c r="Q1221" s="240"/>
      <c r="R1221" s="240"/>
      <c r="S1221" s="240"/>
      <c r="T1221" s="240"/>
      <c r="U1221" s="240"/>
      <c r="V1221" s="240"/>
      <c r="W1221" s="240"/>
      <c r="X1221" s="240"/>
      <c r="Y1221" s="240"/>
      <c r="Z1221" s="240"/>
    </row>
    <row r="1222" ht="14.25" customHeight="1">
      <c r="A1222" s="302">
        <f t="shared" si="4"/>
        <v>47394</v>
      </c>
      <c r="B1222" s="241">
        <f t="shared" si="1"/>
        <v>2029</v>
      </c>
      <c r="C1222" s="241">
        <f t="shared" si="2"/>
        <v>10</v>
      </c>
      <c r="D1222" s="301" t="str">
        <f t="shared" si="3"/>
        <v>Wednesday</v>
      </c>
      <c r="E1222" s="240"/>
      <c r="F1222" s="240"/>
      <c r="G1222" s="240"/>
      <c r="H1222" s="241"/>
      <c r="I1222" s="301"/>
      <c r="J1222" s="240"/>
      <c r="K1222" s="240"/>
      <c r="L1222" s="240"/>
      <c r="M1222" s="240"/>
      <c r="N1222" s="240"/>
      <c r="O1222" s="240"/>
      <c r="P1222" s="240"/>
      <c r="Q1222" s="240"/>
      <c r="R1222" s="240"/>
      <c r="S1222" s="240"/>
      <c r="T1222" s="240"/>
      <c r="U1222" s="240"/>
      <c r="V1222" s="240"/>
      <c r="W1222" s="240"/>
      <c r="X1222" s="240"/>
      <c r="Y1222" s="240"/>
      <c r="Z1222" s="240"/>
    </row>
    <row r="1223" ht="14.25" customHeight="1">
      <c r="A1223" s="302">
        <f t="shared" si="4"/>
        <v>47395</v>
      </c>
      <c r="B1223" s="241">
        <f t="shared" si="1"/>
        <v>2029</v>
      </c>
      <c r="C1223" s="241">
        <f t="shared" si="2"/>
        <v>10</v>
      </c>
      <c r="D1223" s="301" t="str">
        <f t="shared" si="3"/>
        <v>Thursday</v>
      </c>
      <c r="E1223" s="240"/>
      <c r="F1223" s="240"/>
      <c r="G1223" s="240"/>
      <c r="H1223" s="241"/>
      <c r="I1223" s="301"/>
      <c r="J1223" s="240"/>
      <c r="K1223" s="240"/>
      <c r="L1223" s="240"/>
      <c r="M1223" s="240"/>
      <c r="N1223" s="240"/>
      <c r="O1223" s="240"/>
      <c r="P1223" s="240"/>
      <c r="Q1223" s="240"/>
      <c r="R1223" s="240"/>
      <c r="S1223" s="240"/>
      <c r="T1223" s="240"/>
      <c r="U1223" s="240"/>
      <c r="V1223" s="240"/>
      <c r="W1223" s="240"/>
      <c r="X1223" s="240"/>
      <c r="Y1223" s="240"/>
      <c r="Z1223" s="240"/>
    </row>
    <row r="1224" ht="14.25" customHeight="1">
      <c r="A1224" s="302">
        <f t="shared" si="4"/>
        <v>47396</v>
      </c>
      <c r="B1224" s="241">
        <f t="shared" si="1"/>
        <v>2029</v>
      </c>
      <c r="C1224" s="241">
        <f t="shared" si="2"/>
        <v>10</v>
      </c>
      <c r="D1224" s="301" t="str">
        <f t="shared" si="3"/>
        <v>Friday</v>
      </c>
      <c r="E1224" s="240"/>
      <c r="F1224" s="240"/>
      <c r="G1224" s="240"/>
      <c r="H1224" s="241"/>
      <c r="I1224" s="301"/>
      <c r="J1224" s="240"/>
      <c r="K1224" s="240"/>
      <c r="L1224" s="240"/>
      <c r="M1224" s="240"/>
      <c r="N1224" s="240"/>
      <c r="O1224" s="240"/>
      <c r="P1224" s="240"/>
      <c r="Q1224" s="240"/>
      <c r="R1224" s="240"/>
      <c r="S1224" s="240"/>
      <c r="T1224" s="240"/>
      <c r="U1224" s="240"/>
      <c r="V1224" s="240"/>
      <c r="W1224" s="240"/>
      <c r="X1224" s="240"/>
      <c r="Y1224" s="240"/>
      <c r="Z1224" s="240"/>
    </row>
    <row r="1225" ht="14.25" customHeight="1">
      <c r="A1225" s="302">
        <f t="shared" si="4"/>
        <v>47397</v>
      </c>
      <c r="B1225" s="241">
        <f t="shared" si="1"/>
        <v>2029</v>
      </c>
      <c r="C1225" s="241">
        <f t="shared" si="2"/>
        <v>10</v>
      </c>
      <c r="D1225" s="301" t="str">
        <f t="shared" si="3"/>
        <v>Saturday</v>
      </c>
      <c r="E1225" s="240"/>
      <c r="F1225" s="240"/>
      <c r="G1225" s="240"/>
      <c r="H1225" s="241"/>
      <c r="I1225" s="301"/>
      <c r="J1225" s="240"/>
      <c r="K1225" s="240"/>
      <c r="L1225" s="240"/>
      <c r="M1225" s="240"/>
      <c r="N1225" s="240"/>
      <c r="O1225" s="240"/>
      <c r="P1225" s="240"/>
      <c r="Q1225" s="240"/>
      <c r="R1225" s="240"/>
      <c r="S1225" s="240"/>
      <c r="T1225" s="240"/>
      <c r="U1225" s="240"/>
      <c r="V1225" s="240"/>
      <c r="W1225" s="240"/>
      <c r="X1225" s="240"/>
      <c r="Y1225" s="240"/>
      <c r="Z1225" s="240"/>
    </row>
    <row r="1226" ht="14.25" customHeight="1">
      <c r="A1226" s="302">
        <f t="shared" si="4"/>
        <v>47398</v>
      </c>
      <c r="B1226" s="241">
        <f t="shared" si="1"/>
        <v>2029</v>
      </c>
      <c r="C1226" s="241">
        <f t="shared" si="2"/>
        <v>10</v>
      </c>
      <c r="D1226" s="301" t="str">
        <f t="shared" si="3"/>
        <v>Sunday</v>
      </c>
      <c r="E1226" s="240"/>
      <c r="F1226" s="240"/>
      <c r="G1226" s="240"/>
      <c r="H1226" s="241"/>
      <c r="I1226" s="301"/>
      <c r="J1226" s="240"/>
      <c r="K1226" s="240"/>
      <c r="L1226" s="240"/>
      <c r="M1226" s="240"/>
      <c r="N1226" s="240"/>
      <c r="O1226" s="240"/>
      <c r="P1226" s="240"/>
      <c r="Q1226" s="240"/>
      <c r="R1226" s="240"/>
      <c r="S1226" s="240"/>
      <c r="T1226" s="240"/>
      <c r="U1226" s="240"/>
      <c r="V1226" s="240"/>
      <c r="W1226" s="240"/>
      <c r="X1226" s="240"/>
      <c r="Y1226" s="240"/>
      <c r="Z1226" s="240"/>
    </row>
    <row r="1227" ht="14.25" customHeight="1">
      <c r="A1227" s="302">
        <f t="shared" si="4"/>
        <v>47399</v>
      </c>
      <c r="B1227" s="241">
        <f t="shared" si="1"/>
        <v>2029</v>
      </c>
      <c r="C1227" s="241">
        <f t="shared" si="2"/>
        <v>10</v>
      </c>
      <c r="D1227" s="301" t="str">
        <f t="shared" si="3"/>
        <v>Monday</v>
      </c>
      <c r="E1227" s="240"/>
      <c r="F1227" s="240"/>
      <c r="G1227" s="240"/>
      <c r="H1227" s="241"/>
      <c r="I1227" s="301"/>
      <c r="J1227" s="240"/>
      <c r="K1227" s="240"/>
      <c r="L1227" s="240"/>
      <c r="M1227" s="240"/>
      <c r="N1227" s="240"/>
      <c r="O1227" s="240"/>
      <c r="P1227" s="240"/>
      <c r="Q1227" s="240"/>
      <c r="R1227" s="240"/>
      <c r="S1227" s="240"/>
      <c r="T1227" s="240"/>
      <c r="U1227" s="240"/>
      <c r="V1227" s="240"/>
      <c r="W1227" s="240"/>
      <c r="X1227" s="240"/>
      <c r="Y1227" s="240"/>
      <c r="Z1227" s="240"/>
    </row>
    <row r="1228" ht="14.25" customHeight="1">
      <c r="A1228" s="302">
        <f t="shared" si="4"/>
        <v>47400</v>
      </c>
      <c r="B1228" s="241">
        <f t="shared" si="1"/>
        <v>2029</v>
      </c>
      <c r="C1228" s="241">
        <f t="shared" si="2"/>
        <v>10</v>
      </c>
      <c r="D1228" s="301" t="str">
        <f t="shared" si="3"/>
        <v>Tuesday</v>
      </c>
      <c r="E1228" s="240"/>
      <c r="F1228" s="240"/>
      <c r="G1228" s="240"/>
      <c r="H1228" s="241"/>
      <c r="I1228" s="301"/>
      <c r="J1228" s="240"/>
      <c r="K1228" s="240"/>
      <c r="L1228" s="240"/>
      <c r="M1228" s="240"/>
      <c r="N1228" s="240"/>
      <c r="O1228" s="240"/>
      <c r="P1228" s="240"/>
      <c r="Q1228" s="240"/>
      <c r="R1228" s="240"/>
      <c r="S1228" s="240"/>
      <c r="T1228" s="240"/>
      <c r="U1228" s="240"/>
      <c r="V1228" s="240"/>
      <c r="W1228" s="240"/>
      <c r="X1228" s="240"/>
      <c r="Y1228" s="240"/>
      <c r="Z1228" s="240"/>
    </row>
    <row r="1229" ht="14.25" customHeight="1">
      <c r="A1229" s="302">
        <f t="shared" si="4"/>
        <v>47401</v>
      </c>
      <c r="B1229" s="241">
        <f t="shared" si="1"/>
        <v>2029</v>
      </c>
      <c r="C1229" s="241">
        <f t="shared" si="2"/>
        <v>10</v>
      </c>
      <c r="D1229" s="301" t="str">
        <f t="shared" si="3"/>
        <v>Wednesday</v>
      </c>
      <c r="E1229" s="240"/>
      <c r="F1229" s="240"/>
      <c r="G1229" s="240"/>
      <c r="H1229" s="241"/>
      <c r="I1229" s="301"/>
      <c r="J1229" s="240"/>
      <c r="K1229" s="240"/>
      <c r="L1229" s="240"/>
      <c r="M1229" s="240"/>
      <c r="N1229" s="240"/>
      <c r="O1229" s="240"/>
      <c r="P1229" s="240"/>
      <c r="Q1229" s="240"/>
      <c r="R1229" s="240"/>
      <c r="S1229" s="240"/>
      <c r="T1229" s="240"/>
      <c r="U1229" s="240"/>
      <c r="V1229" s="240"/>
      <c r="W1229" s="240"/>
      <c r="X1229" s="240"/>
      <c r="Y1229" s="240"/>
      <c r="Z1229" s="240"/>
    </row>
    <row r="1230" ht="14.25" customHeight="1">
      <c r="A1230" s="302">
        <f t="shared" si="4"/>
        <v>47402</v>
      </c>
      <c r="B1230" s="241">
        <f t="shared" si="1"/>
        <v>2029</v>
      </c>
      <c r="C1230" s="241">
        <f t="shared" si="2"/>
        <v>10</v>
      </c>
      <c r="D1230" s="301" t="str">
        <f t="shared" si="3"/>
        <v>Thursday</v>
      </c>
      <c r="E1230" s="240"/>
      <c r="F1230" s="240"/>
      <c r="G1230" s="240"/>
      <c r="H1230" s="241"/>
      <c r="I1230" s="301"/>
      <c r="J1230" s="240"/>
      <c r="K1230" s="240"/>
      <c r="L1230" s="240"/>
      <c r="M1230" s="240"/>
      <c r="N1230" s="240"/>
      <c r="O1230" s="240"/>
      <c r="P1230" s="240"/>
      <c r="Q1230" s="240"/>
      <c r="R1230" s="240"/>
      <c r="S1230" s="240"/>
      <c r="T1230" s="240"/>
      <c r="U1230" s="240"/>
      <c r="V1230" s="240"/>
      <c r="W1230" s="240"/>
      <c r="X1230" s="240"/>
      <c r="Y1230" s="240"/>
      <c r="Z1230" s="240"/>
    </row>
    <row r="1231" ht="14.25" customHeight="1">
      <c r="A1231" s="302">
        <f t="shared" si="4"/>
        <v>47403</v>
      </c>
      <c r="B1231" s="241">
        <f t="shared" si="1"/>
        <v>2029</v>
      </c>
      <c r="C1231" s="241">
        <f t="shared" si="2"/>
        <v>10</v>
      </c>
      <c r="D1231" s="301" t="str">
        <f t="shared" si="3"/>
        <v>Friday</v>
      </c>
      <c r="E1231" s="240"/>
      <c r="F1231" s="240"/>
      <c r="G1231" s="240"/>
      <c r="H1231" s="241"/>
      <c r="I1231" s="301"/>
      <c r="J1231" s="240"/>
      <c r="K1231" s="240"/>
      <c r="L1231" s="240"/>
      <c r="M1231" s="240"/>
      <c r="N1231" s="240"/>
      <c r="O1231" s="240"/>
      <c r="P1231" s="240"/>
      <c r="Q1231" s="240"/>
      <c r="R1231" s="240"/>
      <c r="S1231" s="240"/>
      <c r="T1231" s="240"/>
      <c r="U1231" s="240"/>
      <c r="V1231" s="240"/>
      <c r="W1231" s="240"/>
      <c r="X1231" s="240"/>
      <c r="Y1231" s="240"/>
      <c r="Z1231" s="240"/>
    </row>
    <row r="1232" ht="14.25" customHeight="1">
      <c r="A1232" s="302">
        <f t="shared" si="4"/>
        <v>47404</v>
      </c>
      <c r="B1232" s="241">
        <f t="shared" si="1"/>
        <v>2029</v>
      </c>
      <c r="C1232" s="241">
        <f t="shared" si="2"/>
        <v>10</v>
      </c>
      <c r="D1232" s="301" t="str">
        <f t="shared" si="3"/>
        <v>Saturday</v>
      </c>
      <c r="E1232" s="240"/>
      <c r="F1232" s="240"/>
      <c r="G1232" s="240"/>
      <c r="H1232" s="241"/>
      <c r="I1232" s="301"/>
      <c r="J1232" s="240"/>
      <c r="K1232" s="240"/>
      <c r="L1232" s="240"/>
      <c r="M1232" s="240"/>
      <c r="N1232" s="240"/>
      <c r="O1232" s="240"/>
      <c r="P1232" s="240"/>
      <c r="Q1232" s="240"/>
      <c r="R1232" s="240"/>
      <c r="S1232" s="240"/>
      <c r="T1232" s="240"/>
      <c r="U1232" s="240"/>
      <c r="V1232" s="240"/>
      <c r="W1232" s="240"/>
      <c r="X1232" s="240"/>
      <c r="Y1232" s="240"/>
      <c r="Z1232" s="240"/>
    </row>
    <row r="1233" ht="14.25" customHeight="1">
      <c r="A1233" s="302">
        <f t="shared" si="4"/>
        <v>47405</v>
      </c>
      <c r="B1233" s="241">
        <f t="shared" si="1"/>
        <v>2029</v>
      </c>
      <c r="C1233" s="241">
        <f t="shared" si="2"/>
        <v>10</v>
      </c>
      <c r="D1233" s="301" t="str">
        <f t="shared" si="3"/>
        <v>Sunday</v>
      </c>
      <c r="E1233" s="240"/>
      <c r="F1233" s="240"/>
      <c r="G1233" s="240"/>
      <c r="H1233" s="241"/>
      <c r="I1233" s="301"/>
      <c r="J1233" s="240"/>
      <c r="K1233" s="240"/>
      <c r="L1233" s="240"/>
      <c r="M1233" s="240"/>
      <c r="N1233" s="240"/>
      <c r="O1233" s="240"/>
      <c r="P1233" s="240"/>
      <c r="Q1233" s="240"/>
      <c r="R1233" s="240"/>
      <c r="S1233" s="240"/>
      <c r="T1233" s="240"/>
      <c r="U1233" s="240"/>
      <c r="V1233" s="240"/>
      <c r="W1233" s="240"/>
      <c r="X1233" s="240"/>
      <c r="Y1233" s="240"/>
      <c r="Z1233" s="240"/>
    </row>
    <row r="1234" ht="14.25" customHeight="1">
      <c r="A1234" s="302">
        <f t="shared" si="4"/>
        <v>47406</v>
      </c>
      <c r="B1234" s="241">
        <f t="shared" si="1"/>
        <v>2029</v>
      </c>
      <c r="C1234" s="241">
        <f t="shared" si="2"/>
        <v>10</v>
      </c>
      <c r="D1234" s="301" t="str">
        <f t="shared" si="3"/>
        <v>Monday</v>
      </c>
      <c r="E1234" s="240"/>
      <c r="F1234" s="240"/>
      <c r="G1234" s="240"/>
      <c r="H1234" s="241"/>
      <c r="I1234" s="301"/>
      <c r="J1234" s="240"/>
      <c r="K1234" s="240"/>
      <c r="L1234" s="240"/>
      <c r="M1234" s="240"/>
      <c r="N1234" s="240"/>
      <c r="O1234" s="240"/>
      <c r="P1234" s="240"/>
      <c r="Q1234" s="240"/>
      <c r="R1234" s="240"/>
      <c r="S1234" s="240"/>
      <c r="T1234" s="240"/>
      <c r="U1234" s="240"/>
      <c r="V1234" s="240"/>
      <c r="W1234" s="240"/>
      <c r="X1234" s="240"/>
      <c r="Y1234" s="240"/>
      <c r="Z1234" s="240"/>
    </row>
    <row r="1235" ht="14.25" customHeight="1">
      <c r="A1235" s="302">
        <f t="shared" si="4"/>
        <v>47407</v>
      </c>
      <c r="B1235" s="241">
        <f t="shared" si="1"/>
        <v>2029</v>
      </c>
      <c r="C1235" s="241">
        <f t="shared" si="2"/>
        <v>10</v>
      </c>
      <c r="D1235" s="301" t="str">
        <f t="shared" si="3"/>
        <v>Tuesday</v>
      </c>
      <c r="E1235" s="240"/>
      <c r="F1235" s="240"/>
      <c r="G1235" s="240"/>
      <c r="H1235" s="241"/>
      <c r="I1235" s="301"/>
      <c r="J1235" s="240"/>
      <c r="K1235" s="240"/>
      <c r="L1235" s="240"/>
      <c r="M1235" s="240"/>
      <c r="N1235" s="240"/>
      <c r="O1235" s="240"/>
      <c r="P1235" s="240"/>
      <c r="Q1235" s="240"/>
      <c r="R1235" s="240"/>
      <c r="S1235" s="240"/>
      <c r="T1235" s="240"/>
      <c r="U1235" s="240"/>
      <c r="V1235" s="240"/>
      <c r="W1235" s="240"/>
      <c r="X1235" s="240"/>
      <c r="Y1235" s="240"/>
      <c r="Z1235" s="240"/>
    </row>
    <row r="1236" ht="14.25" customHeight="1">
      <c r="A1236" s="302">
        <f t="shared" si="4"/>
        <v>47408</v>
      </c>
      <c r="B1236" s="241">
        <f t="shared" si="1"/>
        <v>2029</v>
      </c>
      <c r="C1236" s="241">
        <f t="shared" si="2"/>
        <v>10</v>
      </c>
      <c r="D1236" s="301" t="str">
        <f t="shared" si="3"/>
        <v>Wednesday</v>
      </c>
      <c r="E1236" s="240"/>
      <c r="F1236" s="240"/>
      <c r="G1236" s="240"/>
      <c r="H1236" s="241"/>
      <c r="I1236" s="301"/>
      <c r="J1236" s="240"/>
      <c r="K1236" s="240"/>
      <c r="L1236" s="240"/>
      <c r="M1236" s="240"/>
      <c r="N1236" s="240"/>
      <c r="O1236" s="240"/>
      <c r="P1236" s="240"/>
      <c r="Q1236" s="240"/>
      <c r="R1236" s="240"/>
      <c r="S1236" s="240"/>
      <c r="T1236" s="240"/>
      <c r="U1236" s="240"/>
      <c r="V1236" s="240"/>
      <c r="W1236" s="240"/>
      <c r="X1236" s="240"/>
      <c r="Y1236" s="240"/>
      <c r="Z1236" s="240"/>
    </row>
    <row r="1237" ht="14.25" customHeight="1">
      <c r="A1237" s="302">
        <f t="shared" si="4"/>
        <v>47409</v>
      </c>
      <c r="B1237" s="241">
        <f t="shared" si="1"/>
        <v>2029</v>
      </c>
      <c r="C1237" s="241">
        <f t="shared" si="2"/>
        <v>10</v>
      </c>
      <c r="D1237" s="301" t="str">
        <f t="shared" si="3"/>
        <v>Thursday</v>
      </c>
      <c r="E1237" s="240"/>
      <c r="F1237" s="240"/>
      <c r="G1237" s="240"/>
      <c r="H1237" s="241"/>
      <c r="I1237" s="301"/>
      <c r="J1237" s="240"/>
      <c r="K1237" s="240"/>
      <c r="L1237" s="240"/>
      <c r="M1237" s="240"/>
      <c r="N1237" s="240"/>
      <c r="O1237" s="240"/>
      <c r="P1237" s="240"/>
      <c r="Q1237" s="240"/>
      <c r="R1237" s="240"/>
      <c r="S1237" s="240"/>
      <c r="T1237" s="240"/>
      <c r="U1237" s="240"/>
      <c r="V1237" s="240"/>
      <c r="W1237" s="240"/>
      <c r="X1237" s="240"/>
      <c r="Y1237" s="240"/>
      <c r="Z1237" s="240"/>
    </row>
    <row r="1238" ht="14.25" customHeight="1">
      <c r="A1238" s="302">
        <f t="shared" si="4"/>
        <v>47410</v>
      </c>
      <c r="B1238" s="241">
        <f t="shared" si="1"/>
        <v>2029</v>
      </c>
      <c r="C1238" s="241">
        <f t="shared" si="2"/>
        <v>10</v>
      </c>
      <c r="D1238" s="301" t="str">
        <f t="shared" si="3"/>
        <v>Friday</v>
      </c>
      <c r="E1238" s="240"/>
      <c r="F1238" s="240"/>
      <c r="G1238" s="240"/>
      <c r="H1238" s="241"/>
      <c r="I1238" s="301"/>
      <c r="J1238" s="240"/>
      <c r="K1238" s="240"/>
      <c r="L1238" s="240"/>
      <c r="M1238" s="240"/>
      <c r="N1238" s="240"/>
      <c r="O1238" s="240"/>
      <c r="P1238" s="240"/>
      <c r="Q1238" s="240"/>
      <c r="R1238" s="240"/>
      <c r="S1238" s="240"/>
      <c r="T1238" s="240"/>
      <c r="U1238" s="240"/>
      <c r="V1238" s="240"/>
      <c r="W1238" s="240"/>
      <c r="X1238" s="240"/>
      <c r="Y1238" s="240"/>
      <c r="Z1238" s="240"/>
    </row>
    <row r="1239" ht="14.25" customHeight="1">
      <c r="A1239" s="302">
        <f t="shared" si="4"/>
        <v>47411</v>
      </c>
      <c r="B1239" s="241">
        <f t="shared" si="1"/>
        <v>2029</v>
      </c>
      <c r="C1239" s="241">
        <f t="shared" si="2"/>
        <v>10</v>
      </c>
      <c r="D1239" s="301" t="str">
        <f t="shared" si="3"/>
        <v>Saturday</v>
      </c>
      <c r="E1239" s="240"/>
      <c r="F1239" s="240"/>
      <c r="G1239" s="240"/>
      <c r="H1239" s="241"/>
      <c r="I1239" s="301"/>
      <c r="J1239" s="240"/>
      <c r="K1239" s="240"/>
      <c r="L1239" s="240"/>
      <c r="M1239" s="240"/>
      <c r="N1239" s="240"/>
      <c r="O1239" s="240"/>
      <c r="P1239" s="240"/>
      <c r="Q1239" s="240"/>
      <c r="R1239" s="240"/>
      <c r="S1239" s="240"/>
      <c r="T1239" s="240"/>
      <c r="U1239" s="240"/>
      <c r="V1239" s="240"/>
      <c r="W1239" s="240"/>
      <c r="X1239" s="240"/>
      <c r="Y1239" s="240"/>
      <c r="Z1239" s="240"/>
    </row>
    <row r="1240" ht="14.25" customHeight="1">
      <c r="A1240" s="302">
        <f t="shared" si="4"/>
        <v>47412</v>
      </c>
      <c r="B1240" s="241">
        <f t="shared" si="1"/>
        <v>2029</v>
      </c>
      <c r="C1240" s="241">
        <f t="shared" si="2"/>
        <v>10</v>
      </c>
      <c r="D1240" s="301" t="str">
        <f t="shared" si="3"/>
        <v>Sunday</v>
      </c>
      <c r="E1240" s="240"/>
      <c r="F1240" s="240"/>
      <c r="G1240" s="240"/>
      <c r="H1240" s="241"/>
      <c r="I1240" s="301"/>
      <c r="J1240" s="240"/>
      <c r="K1240" s="240"/>
      <c r="L1240" s="240"/>
      <c r="M1240" s="240"/>
      <c r="N1240" s="240"/>
      <c r="O1240" s="240"/>
      <c r="P1240" s="240"/>
      <c r="Q1240" s="240"/>
      <c r="R1240" s="240"/>
      <c r="S1240" s="240"/>
      <c r="T1240" s="240"/>
      <c r="U1240" s="240"/>
      <c r="V1240" s="240"/>
      <c r="W1240" s="240"/>
      <c r="X1240" s="240"/>
      <c r="Y1240" s="240"/>
      <c r="Z1240" s="240"/>
    </row>
    <row r="1241" ht="14.25" customHeight="1">
      <c r="A1241" s="302">
        <f t="shared" si="4"/>
        <v>47413</v>
      </c>
      <c r="B1241" s="241">
        <f t="shared" si="1"/>
        <v>2029</v>
      </c>
      <c r="C1241" s="241">
        <f t="shared" si="2"/>
        <v>10</v>
      </c>
      <c r="D1241" s="301" t="str">
        <f t="shared" si="3"/>
        <v>Monday</v>
      </c>
      <c r="E1241" s="240"/>
      <c r="F1241" s="240"/>
      <c r="G1241" s="240"/>
      <c r="H1241" s="241"/>
      <c r="I1241" s="301"/>
      <c r="J1241" s="240"/>
      <c r="K1241" s="240"/>
      <c r="L1241" s="240"/>
      <c r="M1241" s="240"/>
      <c r="N1241" s="240"/>
      <c r="O1241" s="240"/>
      <c r="P1241" s="240"/>
      <c r="Q1241" s="240"/>
      <c r="R1241" s="240"/>
      <c r="S1241" s="240"/>
      <c r="T1241" s="240"/>
      <c r="U1241" s="240"/>
      <c r="V1241" s="240"/>
      <c r="W1241" s="240"/>
      <c r="X1241" s="240"/>
      <c r="Y1241" s="240"/>
      <c r="Z1241" s="240"/>
    </row>
    <row r="1242" ht="14.25" customHeight="1">
      <c r="A1242" s="302">
        <f t="shared" si="4"/>
        <v>47414</v>
      </c>
      <c r="B1242" s="241">
        <f t="shared" si="1"/>
        <v>2029</v>
      </c>
      <c r="C1242" s="241">
        <f t="shared" si="2"/>
        <v>10</v>
      </c>
      <c r="D1242" s="301" t="str">
        <f t="shared" si="3"/>
        <v>Tuesday</v>
      </c>
      <c r="E1242" s="240"/>
      <c r="F1242" s="240"/>
      <c r="G1242" s="240"/>
      <c r="H1242" s="241"/>
      <c r="I1242" s="301"/>
      <c r="J1242" s="240"/>
      <c r="K1242" s="240"/>
      <c r="L1242" s="240"/>
      <c r="M1242" s="240"/>
      <c r="N1242" s="240"/>
      <c r="O1242" s="240"/>
      <c r="P1242" s="240"/>
      <c r="Q1242" s="240"/>
      <c r="R1242" s="240"/>
      <c r="S1242" s="240"/>
      <c r="T1242" s="240"/>
      <c r="U1242" s="240"/>
      <c r="V1242" s="240"/>
      <c r="W1242" s="240"/>
      <c r="X1242" s="240"/>
      <c r="Y1242" s="240"/>
      <c r="Z1242" s="240"/>
    </row>
    <row r="1243" ht="14.25" customHeight="1">
      <c r="A1243" s="302">
        <f t="shared" si="4"/>
        <v>47415</v>
      </c>
      <c r="B1243" s="241">
        <f t="shared" si="1"/>
        <v>2029</v>
      </c>
      <c r="C1243" s="241">
        <f t="shared" si="2"/>
        <v>10</v>
      </c>
      <c r="D1243" s="301" t="str">
        <f t="shared" si="3"/>
        <v>Wednesday</v>
      </c>
      <c r="E1243" s="240"/>
      <c r="F1243" s="240"/>
      <c r="G1243" s="240"/>
      <c r="H1243" s="241"/>
      <c r="I1243" s="301"/>
      <c r="J1243" s="240"/>
      <c r="K1243" s="240"/>
      <c r="L1243" s="240"/>
      <c r="M1243" s="240"/>
      <c r="N1243" s="240"/>
      <c r="O1243" s="240"/>
      <c r="P1243" s="240"/>
      <c r="Q1243" s="240"/>
      <c r="R1243" s="240"/>
      <c r="S1243" s="240"/>
      <c r="T1243" s="240"/>
      <c r="U1243" s="240"/>
      <c r="V1243" s="240"/>
      <c r="W1243" s="240"/>
      <c r="X1243" s="240"/>
      <c r="Y1243" s="240"/>
      <c r="Z1243" s="240"/>
    </row>
    <row r="1244" ht="14.25" customHeight="1">
      <c r="A1244" s="302">
        <f t="shared" si="4"/>
        <v>47416</v>
      </c>
      <c r="B1244" s="241">
        <f t="shared" si="1"/>
        <v>2029</v>
      </c>
      <c r="C1244" s="241">
        <f t="shared" si="2"/>
        <v>10</v>
      </c>
      <c r="D1244" s="301" t="str">
        <f t="shared" si="3"/>
        <v>Thursday</v>
      </c>
      <c r="E1244" s="240"/>
      <c r="F1244" s="240"/>
      <c r="G1244" s="240"/>
      <c r="H1244" s="241"/>
      <c r="I1244" s="301"/>
      <c r="J1244" s="240"/>
      <c r="K1244" s="240"/>
      <c r="L1244" s="240"/>
      <c r="M1244" s="240"/>
      <c r="N1244" s="240"/>
      <c r="O1244" s="240"/>
      <c r="P1244" s="240"/>
      <c r="Q1244" s="240"/>
      <c r="R1244" s="240"/>
      <c r="S1244" s="240"/>
      <c r="T1244" s="240"/>
      <c r="U1244" s="240"/>
      <c r="V1244" s="240"/>
      <c r="W1244" s="240"/>
      <c r="X1244" s="240"/>
      <c r="Y1244" s="240"/>
      <c r="Z1244" s="240"/>
    </row>
    <row r="1245" ht="14.25" customHeight="1">
      <c r="A1245" s="302">
        <f t="shared" si="4"/>
        <v>47417</v>
      </c>
      <c r="B1245" s="241">
        <f t="shared" si="1"/>
        <v>2029</v>
      </c>
      <c r="C1245" s="241">
        <f t="shared" si="2"/>
        <v>10</v>
      </c>
      <c r="D1245" s="301" t="str">
        <f t="shared" si="3"/>
        <v>Friday</v>
      </c>
      <c r="E1245" s="240"/>
      <c r="F1245" s="240"/>
      <c r="G1245" s="240"/>
      <c r="H1245" s="241"/>
      <c r="I1245" s="301"/>
      <c r="J1245" s="240"/>
      <c r="K1245" s="240"/>
      <c r="L1245" s="240"/>
      <c r="M1245" s="240"/>
      <c r="N1245" s="240"/>
      <c r="O1245" s="240"/>
      <c r="P1245" s="240"/>
      <c r="Q1245" s="240"/>
      <c r="R1245" s="240"/>
      <c r="S1245" s="240"/>
      <c r="T1245" s="240"/>
      <c r="U1245" s="240"/>
      <c r="V1245" s="240"/>
      <c r="W1245" s="240"/>
      <c r="X1245" s="240"/>
      <c r="Y1245" s="240"/>
      <c r="Z1245" s="240"/>
    </row>
    <row r="1246" ht="14.25" customHeight="1">
      <c r="A1246" s="302">
        <f t="shared" si="4"/>
        <v>47418</v>
      </c>
      <c r="B1246" s="241">
        <f t="shared" si="1"/>
        <v>2029</v>
      </c>
      <c r="C1246" s="241">
        <f t="shared" si="2"/>
        <v>10</v>
      </c>
      <c r="D1246" s="301" t="str">
        <f t="shared" si="3"/>
        <v>Saturday</v>
      </c>
      <c r="E1246" s="240"/>
      <c r="F1246" s="240"/>
      <c r="G1246" s="240"/>
      <c r="H1246" s="241"/>
      <c r="I1246" s="301"/>
      <c r="J1246" s="240"/>
      <c r="K1246" s="240"/>
      <c r="L1246" s="240"/>
      <c r="M1246" s="240"/>
      <c r="N1246" s="240"/>
      <c r="O1246" s="240"/>
      <c r="P1246" s="240"/>
      <c r="Q1246" s="240"/>
      <c r="R1246" s="240"/>
      <c r="S1246" s="240"/>
      <c r="T1246" s="240"/>
      <c r="U1246" s="240"/>
      <c r="V1246" s="240"/>
      <c r="W1246" s="240"/>
      <c r="X1246" s="240"/>
      <c r="Y1246" s="240"/>
      <c r="Z1246" s="240"/>
    </row>
    <row r="1247" ht="14.25" customHeight="1">
      <c r="A1247" s="302">
        <f t="shared" si="4"/>
        <v>47419</v>
      </c>
      <c r="B1247" s="241">
        <f t="shared" si="1"/>
        <v>2029</v>
      </c>
      <c r="C1247" s="241">
        <f t="shared" si="2"/>
        <v>10</v>
      </c>
      <c r="D1247" s="301" t="str">
        <f t="shared" si="3"/>
        <v>Sunday</v>
      </c>
      <c r="E1247" s="240"/>
      <c r="F1247" s="240"/>
      <c r="G1247" s="240"/>
      <c r="H1247" s="241"/>
      <c r="I1247" s="301"/>
      <c r="J1247" s="240"/>
      <c r="K1247" s="240"/>
      <c r="L1247" s="240"/>
      <c r="M1247" s="240"/>
      <c r="N1247" s="240"/>
      <c r="O1247" s="240"/>
      <c r="P1247" s="240"/>
      <c r="Q1247" s="240"/>
      <c r="R1247" s="240"/>
      <c r="S1247" s="240"/>
      <c r="T1247" s="240"/>
      <c r="U1247" s="240"/>
      <c r="V1247" s="240"/>
      <c r="W1247" s="240"/>
      <c r="X1247" s="240"/>
      <c r="Y1247" s="240"/>
      <c r="Z1247" s="240"/>
    </row>
    <row r="1248" ht="14.25" customHeight="1">
      <c r="A1248" s="302">
        <f t="shared" si="4"/>
        <v>47420</v>
      </c>
      <c r="B1248" s="241">
        <f t="shared" si="1"/>
        <v>2029</v>
      </c>
      <c r="C1248" s="241">
        <f t="shared" si="2"/>
        <v>10</v>
      </c>
      <c r="D1248" s="301" t="str">
        <f t="shared" si="3"/>
        <v>Monday</v>
      </c>
      <c r="E1248" s="240"/>
      <c r="F1248" s="240"/>
      <c r="G1248" s="240"/>
      <c r="H1248" s="241"/>
      <c r="I1248" s="301"/>
      <c r="J1248" s="240"/>
      <c r="K1248" s="240"/>
      <c r="L1248" s="240"/>
      <c r="M1248" s="240"/>
      <c r="N1248" s="240"/>
      <c r="O1248" s="240"/>
      <c r="P1248" s="240"/>
      <c r="Q1248" s="240"/>
      <c r="R1248" s="240"/>
      <c r="S1248" s="240"/>
      <c r="T1248" s="240"/>
      <c r="U1248" s="240"/>
      <c r="V1248" s="240"/>
      <c r="W1248" s="240"/>
      <c r="X1248" s="240"/>
      <c r="Y1248" s="240"/>
      <c r="Z1248" s="240"/>
    </row>
    <row r="1249" ht="14.25" customHeight="1">
      <c r="A1249" s="302">
        <f t="shared" si="4"/>
        <v>47421</v>
      </c>
      <c r="B1249" s="241">
        <f t="shared" si="1"/>
        <v>2029</v>
      </c>
      <c r="C1249" s="241">
        <f t="shared" si="2"/>
        <v>10</v>
      </c>
      <c r="D1249" s="301" t="str">
        <f t="shared" si="3"/>
        <v>Tuesday</v>
      </c>
      <c r="E1249" s="240"/>
      <c r="F1249" s="240"/>
      <c r="G1249" s="240"/>
      <c r="H1249" s="241"/>
      <c r="I1249" s="301"/>
      <c r="J1249" s="240"/>
      <c r="K1249" s="240"/>
      <c r="L1249" s="240"/>
      <c r="M1249" s="240"/>
      <c r="N1249" s="240"/>
      <c r="O1249" s="240"/>
      <c r="P1249" s="240"/>
      <c r="Q1249" s="240"/>
      <c r="R1249" s="240"/>
      <c r="S1249" s="240"/>
      <c r="T1249" s="240"/>
      <c r="U1249" s="240"/>
      <c r="V1249" s="240"/>
      <c r="W1249" s="240"/>
      <c r="X1249" s="240"/>
      <c r="Y1249" s="240"/>
      <c r="Z1249" s="240"/>
    </row>
    <row r="1250" ht="14.25" customHeight="1">
      <c r="A1250" s="302">
        <f t="shared" si="4"/>
        <v>47422</v>
      </c>
      <c r="B1250" s="241">
        <f t="shared" si="1"/>
        <v>2029</v>
      </c>
      <c r="C1250" s="241">
        <f t="shared" si="2"/>
        <v>10</v>
      </c>
      <c r="D1250" s="301" t="str">
        <f t="shared" si="3"/>
        <v>Wednesday</v>
      </c>
      <c r="E1250" s="240"/>
      <c r="F1250" s="240"/>
      <c r="G1250" s="240"/>
      <c r="H1250" s="241"/>
      <c r="I1250" s="301"/>
      <c r="J1250" s="240"/>
      <c r="K1250" s="240"/>
      <c r="L1250" s="240"/>
      <c r="M1250" s="240"/>
      <c r="N1250" s="240"/>
      <c r="O1250" s="240"/>
      <c r="P1250" s="240"/>
      <c r="Q1250" s="240"/>
      <c r="R1250" s="240"/>
      <c r="S1250" s="240"/>
      <c r="T1250" s="240"/>
      <c r="U1250" s="240"/>
      <c r="V1250" s="240"/>
      <c r="W1250" s="240"/>
      <c r="X1250" s="240"/>
      <c r="Y1250" s="240"/>
      <c r="Z1250" s="240"/>
    </row>
    <row r="1251" ht="14.25" customHeight="1">
      <c r="A1251" s="302">
        <f t="shared" si="4"/>
        <v>47423</v>
      </c>
      <c r="B1251" s="241">
        <f t="shared" si="1"/>
        <v>2029</v>
      </c>
      <c r="C1251" s="241">
        <f t="shared" si="2"/>
        <v>11</v>
      </c>
      <c r="D1251" s="301" t="str">
        <f t="shared" si="3"/>
        <v>Thursday</v>
      </c>
      <c r="E1251" s="240"/>
      <c r="F1251" s="240"/>
      <c r="G1251" s="240"/>
      <c r="H1251" s="241"/>
      <c r="I1251" s="301"/>
      <c r="J1251" s="240"/>
      <c r="K1251" s="240"/>
      <c r="L1251" s="240"/>
      <c r="M1251" s="240"/>
      <c r="N1251" s="240"/>
      <c r="O1251" s="240"/>
      <c r="P1251" s="240"/>
      <c r="Q1251" s="240"/>
      <c r="R1251" s="240"/>
      <c r="S1251" s="240"/>
      <c r="T1251" s="240"/>
      <c r="U1251" s="240"/>
      <c r="V1251" s="240"/>
      <c r="W1251" s="240"/>
      <c r="X1251" s="240"/>
      <c r="Y1251" s="240"/>
      <c r="Z1251" s="240"/>
    </row>
    <row r="1252" ht="14.25" customHeight="1">
      <c r="A1252" s="302">
        <f t="shared" si="4"/>
        <v>47424</v>
      </c>
      <c r="B1252" s="241">
        <f t="shared" si="1"/>
        <v>2029</v>
      </c>
      <c r="C1252" s="241">
        <f t="shared" si="2"/>
        <v>11</v>
      </c>
      <c r="D1252" s="301" t="str">
        <f t="shared" si="3"/>
        <v>Friday</v>
      </c>
      <c r="E1252" s="240"/>
      <c r="F1252" s="240"/>
      <c r="G1252" s="240"/>
      <c r="H1252" s="241"/>
      <c r="I1252" s="301"/>
      <c r="J1252" s="240"/>
      <c r="K1252" s="240"/>
      <c r="L1252" s="240"/>
      <c r="M1252" s="240"/>
      <c r="N1252" s="240"/>
      <c r="O1252" s="240"/>
      <c r="P1252" s="240"/>
      <c r="Q1252" s="240"/>
      <c r="R1252" s="240"/>
      <c r="S1252" s="240"/>
      <c r="T1252" s="240"/>
      <c r="U1252" s="240"/>
      <c r="V1252" s="240"/>
      <c r="W1252" s="240"/>
      <c r="X1252" s="240"/>
      <c r="Y1252" s="240"/>
      <c r="Z1252" s="240"/>
    </row>
    <row r="1253" ht="14.25" customHeight="1">
      <c r="A1253" s="302">
        <f t="shared" si="4"/>
        <v>47425</v>
      </c>
      <c r="B1253" s="241">
        <f t="shared" si="1"/>
        <v>2029</v>
      </c>
      <c r="C1253" s="241">
        <f t="shared" si="2"/>
        <v>11</v>
      </c>
      <c r="D1253" s="301" t="str">
        <f t="shared" si="3"/>
        <v>Saturday</v>
      </c>
      <c r="E1253" s="240"/>
      <c r="F1253" s="240"/>
      <c r="G1253" s="240"/>
      <c r="H1253" s="241"/>
      <c r="I1253" s="301"/>
      <c r="J1253" s="240"/>
      <c r="K1253" s="240"/>
      <c r="L1253" s="240"/>
      <c r="M1253" s="240"/>
      <c r="N1253" s="240"/>
      <c r="O1253" s="240"/>
      <c r="P1253" s="240"/>
      <c r="Q1253" s="240"/>
      <c r="R1253" s="240"/>
      <c r="S1253" s="240"/>
      <c r="T1253" s="240"/>
      <c r="U1253" s="240"/>
      <c r="V1253" s="240"/>
      <c r="W1253" s="240"/>
      <c r="X1253" s="240"/>
      <c r="Y1253" s="240"/>
      <c r="Z1253" s="240"/>
    </row>
    <row r="1254" ht="14.25" customHeight="1">
      <c r="A1254" s="302">
        <f t="shared" si="4"/>
        <v>47426</v>
      </c>
      <c r="B1254" s="241">
        <f t="shared" si="1"/>
        <v>2029</v>
      </c>
      <c r="C1254" s="241">
        <f t="shared" si="2"/>
        <v>11</v>
      </c>
      <c r="D1254" s="301" t="str">
        <f t="shared" si="3"/>
        <v>Sunday</v>
      </c>
      <c r="E1254" s="240"/>
      <c r="F1254" s="240"/>
      <c r="G1254" s="240"/>
      <c r="H1254" s="241"/>
      <c r="I1254" s="301"/>
      <c r="J1254" s="240"/>
      <c r="K1254" s="240"/>
      <c r="L1254" s="240"/>
      <c r="M1254" s="240"/>
      <c r="N1254" s="240"/>
      <c r="O1254" s="240"/>
      <c r="P1254" s="240"/>
      <c r="Q1254" s="240"/>
      <c r="R1254" s="240"/>
      <c r="S1254" s="240"/>
      <c r="T1254" s="240"/>
      <c r="U1254" s="240"/>
      <c r="V1254" s="240"/>
      <c r="W1254" s="240"/>
      <c r="X1254" s="240"/>
      <c r="Y1254" s="240"/>
      <c r="Z1254" s="240"/>
    </row>
    <row r="1255" ht="14.25" customHeight="1">
      <c r="A1255" s="302">
        <f t="shared" si="4"/>
        <v>47427</v>
      </c>
      <c r="B1255" s="241">
        <f t="shared" si="1"/>
        <v>2029</v>
      </c>
      <c r="C1255" s="241">
        <f t="shared" si="2"/>
        <v>11</v>
      </c>
      <c r="D1255" s="301" t="str">
        <f t="shared" si="3"/>
        <v>Monday</v>
      </c>
      <c r="E1255" s="240"/>
      <c r="F1255" s="240"/>
      <c r="G1255" s="240"/>
      <c r="H1255" s="241"/>
      <c r="I1255" s="301"/>
      <c r="J1255" s="240"/>
      <c r="K1255" s="240"/>
      <c r="L1255" s="240"/>
      <c r="M1255" s="240"/>
      <c r="N1255" s="240"/>
      <c r="O1255" s="240"/>
      <c r="P1255" s="240"/>
      <c r="Q1255" s="240"/>
      <c r="R1255" s="240"/>
      <c r="S1255" s="240"/>
      <c r="T1255" s="240"/>
      <c r="U1255" s="240"/>
      <c r="V1255" s="240"/>
      <c r="W1255" s="240"/>
      <c r="X1255" s="240"/>
      <c r="Y1255" s="240"/>
      <c r="Z1255" s="240"/>
    </row>
    <row r="1256" ht="14.25" customHeight="1">
      <c r="A1256" s="302">
        <f t="shared" si="4"/>
        <v>47428</v>
      </c>
      <c r="B1256" s="241">
        <f t="shared" si="1"/>
        <v>2029</v>
      </c>
      <c r="C1256" s="241">
        <f t="shared" si="2"/>
        <v>11</v>
      </c>
      <c r="D1256" s="301" t="str">
        <f t="shared" si="3"/>
        <v>Tuesday</v>
      </c>
      <c r="E1256" s="240"/>
      <c r="F1256" s="240"/>
      <c r="G1256" s="240"/>
      <c r="H1256" s="241"/>
      <c r="I1256" s="301"/>
      <c r="J1256" s="240"/>
      <c r="K1256" s="240"/>
      <c r="L1256" s="240"/>
      <c r="M1256" s="240"/>
      <c r="N1256" s="240"/>
      <c r="O1256" s="240"/>
      <c r="P1256" s="240"/>
      <c r="Q1256" s="240"/>
      <c r="R1256" s="240"/>
      <c r="S1256" s="240"/>
      <c r="T1256" s="240"/>
      <c r="U1256" s="240"/>
      <c r="V1256" s="240"/>
      <c r="W1256" s="240"/>
      <c r="X1256" s="240"/>
      <c r="Y1256" s="240"/>
      <c r="Z1256" s="240"/>
    </row>
    <row r="1257" ht="14.25" customHeight="1">
      <c r="A1257" s="302">
        <f t="shared" si="4"/>
        <v>47429</v>
      </c>
      <c r="B1257" s="241">
        <f t="shared" si="1"/>
        <v>2029</v>
      </c>
      <c r="C1257" s="241">
        <f t="shared" si="2"/>
        <v>11</v>
      </c>
      <c r="D1257" s="301" t="str">
        <f t="shared" si="3"/>
        <v>Wednesday</v>
      </c>
      <c r="E1257" s="240"/>
      <c r="F1257" s="240"/>
      <c r="G1257" s="240"/>
      <c r="H1257" s="241"/>
      <c r="I1257" s="301"/>
      <c r="J1257" s="240"/>
      <c r="K1257" s="240"/>
      <c r="L1257" s="240"/>
      <c r="M1257" s="240"/>
      <c r="N1257" s="240"/>
      <c r="O1257" s="240"/>
      <c r="P1257" s="240"/>
      <c r="Q1257" s="240"/>
      <c r="R1257" s="240"/>
      <c r="S1257" s="240"/>
      <c r="T1257" s="240"/>
      <c r="U1257" s="240"/>
      <c r="V1257" s="240"/>
      <c r="W1257" s="240"/>
      <c r="X1257" s="240"/>
      <c r="Y1257" s="240"/>
      <c r="Z1257" s="240"/>
    </row>
    <row r="1258" ht="14.25" customHeight="1">
      <c r="A1258" s="302">
        <f t="shared" si="4"/>
        <v>47430</v>
      </c>
      <c r="B1258" s="241">
        <f t="shared" si="1"/>
        <v>2029</v>
      </c>
      <c r="C1258" s="241">
        <f t="shared" si="2"/>
        <v>11</v>
      </c>
      <c r="D1258" s="301" t="str">
        <f t="shared" si="3"/>
        <v>Thursday</v>
      </c>
      <c r="E1258" s="240"/>
      <c r="F1258" s="240"/>
      <c r="G1258" s="240"/>
      <c r="H1258" s="241"/>
      <c r="I1258" s="301"/>
      <c r="J1258" s="240"/>
      <c r="K1258" s="240"/>
      <c r="L1258" s="240"/>
      <c r="M1258" s="240"/>
      <c r="N1258" s="240"/>
      <c r="O1258" s="240"/>
      <c r="P1258" s="240"/>
      <c r="Q1258" s="240"/>
      <c r="R1258" s="240"/>
      <c r="S1258" s="240"/>
      <c r="T1258" s="240"/>
      <c r="U1258" s="240"/>
      <c r="V1258" s="240"/>
      <c r="W1258" s="240"/>
      <c r="X1258" s="240"/>
      <c r="Y1258" s="240"/>
      <c r="Z1258" s="240"/>
    </row>
    <row r="1259" ht="14.25" customHeight="1">
      <c r="A1259" s="302">
        <f t="shared" si="4"/>
        <v>47431</v>
      </c>
      <c r="B1259" s="241">
        <f t="shared" si="1"/>
        <v>2029</v>
      </c>
      <c r="C1259" s="241">
        <f t="shared" si="2"/>
        <v>11</v>
      </c>
      <c r="D1259" s="301" t="str">
        <f t="shared" si="3"/>
        <v>Friday</v>
      </c>
      <c r="E1259" s="240"/>
      <c r="F1259" s="240"/>
      <c r="G1259" s="240"/>
      <c r="H1259" s="241"/>
      <c r="I1259" s="301"/>
      <c r="J1259" s="240"/>
      <c r="K1259" s="240"/>
      <c r="L1259" s="240"/>
      <c r="M1259" s="240"/>
      <c r="N1259" s="240"/>
      <c r="O1259" s="240"/>
      <c r="P1259" s="240"/>
      <c r="Q1259" s="240"/>
      <c r="R1259" s="240"/>
      <c r="S1259" s="240"/>
      <c r="T1259" s="240"/>
      <c r="U1259" s="240"/>
      <c r="V1259" s="240"/>
      <c r="W1259" s="240"/>
      <c r="X1259" s="240"/>
      <c r="Y1259" s="240"/>
      <c r="Z1259" s="240"/>
    </row>
    <row r="1260" ht="14.25" customHeight="1">
      <c r="A1260" s="302">
        <f t="shared" si="4"/>
        <v>47432</v>
      </c>
      <c r="B1260" s="241">
        <f t="shared" si="1"/>
        <v>2029</v>
      </c>
      <c r="C1260" s="241">
        <f t="shared" si="2"/>
        <v>11</v>
      </c>
      <c r="D1260" s="301" t="str">
        <f t="shared" si="3"/>
        <v>Saturday</v>
      </c>
      <c r="E1260" s="240"/>
      <c r="F1260" s="240"/>
      <c r="G1260" s="240"/>
      <c r="H1260" s="241"/>
      <c r="I1260" s="301"/>
      <c r="J1260" s="240"/>
      <c r="K1260" s="240"/>
      <c r="L1260" s="240"/>
      <c r="M1260" s="240"/>
      <c r="N1260" s="240"/>
      <c r="O1260" s="240"/>
      <c r="P1260" s="240"/>
      <c r="Q1260" s="240"/>
      <c r="R1260" s="240"/>
      <c r="S1260" s="240"/>
      <c r="T1260" s="240"/>
      <c r="U1260" s="240"/>
      <c r="V1260" s="240"/>
      <c r="W1260" s="240"/>
      <c r="X1260" s="240"/>
      <c r="Y1260" s="240"/>
      <c r="Z1260" s="240"/>
    </row>
    <row r="1261" ht="14.25" customHeight="1">
      <c r="A1261" s="302">
        <f t="shared" si="4"/>
        <v>47433</v>
      </c>
      <c r="B1261" s="241">
        <f t="shared" si="1"/>
        <v>2029</v>
      </c>
      <c r="C1261" s="241">
        <f t="shared" si="2"/>
        <v>11</v>
      </c>
      <c r="D1261" s="301" t="str">
        <f t="shared" si="3"/>
        <v>Sunday</v>
      </c>
      <c r="E1261" s="240"/>
      <c r="F1261" s="240"/>
      <c r="G1261" s="240"/>
      <c r="H1261" s="241"/>
      <c r="I1261" s="301"/>
      <c r="J1261" s="240"/>
      <c r="K1261" s="240"/>
      <c r="L1261" s="240"/>
      <c r="M1261" s="240"/>
      <c r="N1261" s="240"/>
      <c r="O1261" s="240"/>
      <c r="P1261" s="240"/>
      <c r="Q1261" s="240"/>
      <c r="R1261" s="240"/>
      <c r="S1261" s="240"/>
      <c r="T1261" s="240"/>
      <c r="U1261" s="240"/>
      <c r="V1261" s="240"/>
      <c r="W1261" s="240"/>
      <c r="X1261" s="240"/>
      <c r="Y1261" s="240"/>
      <c r="Z1261" s="240"/>
    </row>
    <row r="1262" ht="14.25" customHeight="1">
      <c r="A1262" s="302">
        <f t="shared" si="4"/>
        <v>47434</v>
      </c>
      <c r="B1262" s="241">
        <f t="shared" si="1"/>
        <v>2029</v>
      </c>
      <c r="C1262" s="241">
        <f t="shared" si="2"/>
        <v>11</v>
      </c>
      <c r="D1262" s="301" t="str">
        <f t="shared" si="3"/>
        <v>Monday</v>
      </c>
      <c r="E1262" s="240"/>
      <c r="F1262" s="240"/>
      <c r="G1262" s="240"/>
      <c r="H1262" s="241"/>
      <c r="I1262" s="301"/>
      <c r="J1262" s="240"/>
      <c r="K1262" s="240"/>
      <c r="L1262" s="240"/>
      <c r="M1262" s="240"/>
      <c r="N1262" s="240"/>
      <c r="O1262" s="240"/>
      <c r="P1262" s="240"/>
      <c r="Q1262" s="240"/>
      <c r="R1262" s="240"/>
      <c r="S1262" s="240"/>
      <c r="T1262" s="240"/>
      <c r="U1262" s="240"/>
      <c r="V1262" s="240"/>
      <c r="W1262" s="240"/>
      <c r="X1262" s="240"/>
      <c r="Y1262" s="240"/>
      <c r="Z1262" s="240"/>
    </row>
    <row r="1263" ht="14.25" customHeight="1">
      <c r="A1263" s="302">
        <f t="shared" si="4"/>
        <v>47435</v>
      </c>
      <c r="B1263" s="241">
        <f t="shared" si="1"/>
        <v>2029</v>
      </c>
      <c r="C1263" s="241">
        <f t="shared" si="2"/>
        <v>11</v>
      </c>
      <c r="D1263" s="301" t="str">
        <f t="shared" si="3"/>
        <v>Tuesday</v>
      </c>
      <c r="E1263" s="240"/>
      <c r="F1263" s="240"/>
      <c r="G1263" s="240"/>
      <c r="H1263" s="241"/>
      <c r="I1263" s="301"/>
      <c r="J1263" s="240"/>
      <c r="K1263" s="240"/>
      <c r="L1263" s="240"/>
      <c r="M1263" s="240"/>
      <c r="N1263" s="240"/>
      <c r="O1263" s="240"/>
      <c r="P1263" s="240"/>
      <c r="Q1263" s="240"/>
      <c r="R1263" s="240"/>
      <c r="S1263" s="240"/>
      <c r="T1263" s="240"/>
      <c r="U1263" s="240"/>
      <c r="V1263" s="240"/>
      <c r="W1263" s="240"/>
      <c r="X1263" s="240"/>
      <c r="Y1263" s="240"/>
      <c r="Z1263" s="240"/>
    </row>
    <row r="1264" ht="14.25" customHeight="1">
      <c r="A1264" s="302">
        <f t="shared" si="4"/>
        <v>47436</v>
      </c>
      <c r="B1264" s="241">
        <f t="shared" si="1"/>
        <v>2029</v>
      </c>
      <c r="C1264" s="241">
        <f t="shared" si="2"/>
        <v>11</v>
      </c>
      <c r="D1264" s="301" t="str">
        <f t="shared" si="3"/>
        <v>Wednesday</v>
      </c>
      <c r="E1264" s="240"/>
      <c r="F1264" s="240"/>
      <c r="G1264" s="240"/>
      <c r="H1264" s="241"/>
      <c r="I1264" s="301"/>
      <c r="J1264" s="240"/>
      <c r="K1264" s="240"/>
      <c r="L1264" s="240"/>
      <c r="M1264" s="240"/>
      <c r="N1264" s="240"/>
      <c r="O1264" s="240"/>
      <c r="P1264" s="240"/>
      <c r="Q1264" s="240"/>
      <c r="R1264" s="240"/>
      <c r="S1264" s="240"/>
      <c r="T1264" s="240"/>
      <c r="U1264" s="240"/>
      <c r="V1264" s="240"/>
      <c r="W1264" s="240"/>
      <c r="X1264" s="240"/>
      <c r="Y1264" s="240"/>
      <c r="Z1264" s="240"/>
    </row>
    <row r="1265" ht="14.25" customHeight="1">
      <c r="A1265" s="302">
        <f t="shared" si="4"/>
        <v>47437</v>
      </c>
      <c r="B1265" s="241">
        <f t="shared" si="1"/>
        <v>2029</v>
      </c>
      <c r="C1265" s="241">
        <f t="shared" si="2"/>
        <v>11</v>
      </c>
      <c r="D1265" s="301" t="str">
        <f t="shared" si="3"/>
        <v>Thursday</v>
      </c>
      <c r="E1265" s="240"/>
      <c r="F1265" s="240"/>
      <c r="G1265" s="240"/>
      <c r="H1265" s="241"/>
      <c r="I1265" s="301"/>
      <c r="J1265" s="240"/>
      <c r="K1265" s="240"/>
      <c r="L1265" s="240"/>
      <c r="M1265" s="240"/>
      <c r="N1265" s="240"/>
      <c r="O1265" s="240"/>
      <c r="P1265" s="240"/>
      <c r="Q1265" s="240"/>
      <c r="R1265" s="240"/>
      <c r="S1265" s="240"/>
      <c r="T1265" s="240"/>
      <c r="U1265" s="240"/>
      <c r="V1265" s="240"/>
      <c r="W1265" s="240"/>
      <c r="X1265" s="240"/>
      <c r="Y1265" s="240"/>
      <c r="Z1265" s="240"/>
    </row>
    <row r="1266" ht="14.25" customHeight="1">
      <c r="A1266" s="302">
        <f t="shared" si="4"/>
        <v>47438</v>
      </c>
      <c r="B1266" s="241">
        <f t="shared" si="1"/>
        <v>2029</v>
      </c>
      <c r="C1266" s="241">
        <f t="shared" si="2"/>
        <v>11</v>
      </c>
      <c r="D1266" s="301" t="str">
        <f t="shared" si="3"/>
        <v>Friday</v>
      </c>
      <c r="E1266" s="240"/>
      <c r="F1266" s="240"/>
      <c r="G1266" s="240"/>
      <c r="H1266" s="241"/>
      <c r="I1266" s="301"/>
      <c r="J1266" s="240"/>
      <c r="K1266" s="240"/>
      <c r="L1266" s="240"/>
      <c r="M1266" s="240"/>
      <c r="N1266" s="240"/>
      <c r="O1266" s="240"/>
      <c r="P1266" s="240"/>
      <c r="Q1266" s="240"/>
      <c r="R1266" s="240"/>
      <c r="S1266" s="240"/>
      <c r="T1266" s="240"/>
      <c r="U1266" s="240"/>
      <c r="V1266" s="240"/>
      <c r="W1266" s="240"/>
      <c r="X1266" s="240"/>
      <c r="Y1266" s="240"/>
      <c r="Z1266" s="240"/>
    </row>
    <row r="1267" ht="14.25" customHeight="1">
      <c r="A1267" s="302">
        <f t="shared" si="4"/>
        <v>47439</v>
      </c>
      <c r="B1267" s="241">
        <f t="shared" si="1"/>
        <v>2029</v>
      </c>
      <c r="C1267" s="241">
        <f t="shared" si="2"/>
        <v>11</v>
      </c>
      <c r="D1267" s="301" t="str">
        <f t="shared" si="3"/>
        <v>Saturday</v>
      </c>
      <c r="E1267" s="240"/>
      <c r="F1267" s="240"/>
      <c r="G1267" s="240"/>
      <c r="H1267" s="241"/>
      <c r="I1267" s="301"/>
      <c r="J1267" s="240"/>
      <c r="K1267" s="240"/>
      <c r="L1267" s="240"/>
      <c r="M1267" s="240"/>
      <c r="N1267" s="240"/>
      <c r="O1267" s="240"/>
      <c r="P1267" s="240"/>
      <c r="Q1267" s="240"/>
      <c r="R1267" s="240"/>
      <c r="S1267" s="240"/>
      <c r="T1267" s="240"/>
      <c r="U1267" s="240"/>
      <c r="V1267" s="240"/>
      <c r="W1267" s="240"/>
      <c r="X1267" s="240"/>
      <c r="Y1267" s="240"/>
      <c r="Z1267" s="240"/>
    </row>
    <row r="1268" ht="14.25" customHeight="1">
      <c r="A1268" s="302">
        <f t="shared" si="4"/>
        <v>47440</v>
      </c>
      <c r="B1268" s="241">
        <f t="shared" si="1"/>
        <v>2029</v>
      </c>
      <c r="C1268" s="241">
        <f t="shared" si="2"/>
        <v>11</v>
      </c>
      <c r="D1268" s="301" t="str">
        <f t="shared" si="3"/>
        <v>Sunday</v>
      </c>
      <c r="E1268" s="240"/>
      <c r="F1268" s="240"/>
      <c r="G1268" s="240"/>
      <c r="H1268" s="241"/>
      <c r="I1268" s="301"/>
      <c r="J1268" s="240"/>
      <c r="K1268" s="240"/>
      <c r="L1268" s="240"/>
      <c r="M1268" s="240"/>
      <c r="N1268" s="240"/>
      <c r="O1268" s="240"/>
      <c r="P1268" s="240"/>
      <c r="Q1268" s="240"/>
      <c r="R1268" s="240"/>
      <c r="S1268" s="240"/>
      <c r="T1268" s="240"/>
      <c r="U1268" s="240"/>
      <c r="V1268" s="240"/>
      <c r="W1268" s="240"/>
      <c r="X1268" s="240"/>
      <c r="Y1268" s="240"/>
      <c r="Z1268" s="240"/>
    </row>
    <row r="1269" ht="14.25" customHeight="1">
      <c r="A1269" s="302">
        <f t="shared" si="4"/>
        <v>47441</v>
      </c>
      <c r="B1269" s="241">
        <f t="shared" si="1"/>
        <v>2029</v>
      </c>
      <c r="C1269" s="241">
        <f t="shared" si="2"/>
        <v>11</v>
      </c>
      <c r="D1269" s="301" t="str">
        <f t="shared" si="3"/>
        <v>Monday</v>
      </c>
      <c r="E1269" s="240"/>
      <c r="F1269" s="240"/>
      <c r="G1269" s="240"/>
      <c r="H1269" s="241"/>
      <c r="I1269" s="301"/>
      <c r="J1269" s="240"/>
      <c r="K1269" s="240"/>
      <c r="L1269" s="240"/>
      <c r="M1269" s="240"/>
      <c r="N1269" s="240"/>
      <c r="O1269" s="240"/>
      <c r="P1269" s="240"/>
      <c r="Q1269" s="240"/>
      <c r="R1269" s="240"/>
      <c r="S1269" s="240"/>
      <c r="T1269" s="240"/>
      <c r="U1269" s="240"/>
      <c r="V1269" s="240"/>
      <c r="W1269" s="240"/>
      <c r="X1269" s="240"/>
      <c r="Y1269" s="240"/>
      <c r="Z1269" s="240"/>
    </row>
    <row r="1270" ht="14.25" customHeight="1">
      <c r="A1270" s="302">
        <f t="shared" si="4"/>
        <v>47442</v>
      </c>
      <c r="B1270" s="241">
        <f t="shared" si="1"/>
        <v>2029</v>
      </c>
      <c r="C1270" s="241">
        <f t="shared" si="2"/>
        <v>11</v>
      </c>
      <c r="D1270" s="301" t="str">
        <f t="shared" si="3"/>
        <v>Tuesday</v>
      </c>
      <c r="E1270" s="240"/>
      <c r="F1270" s="240"/>
      <c r="G1270" s="240"/>
      <c r="H1270" s="241"/>
      <c r="I1270" s="301"/>
      <c r="J1270" s="240"/>
      <c r="K1270" s="240"/>
      <c r="L1270" s="240"/>
      <c r="M1270" s="240"/>
      <c r="N1270" s="240"/>
      <c r="O1270" s="240"/>
      <c r="P1270" s="240"/>
      <c r="Q1270" s="240"/>
      <c r="R1270" s="240"/>
      <c r="S1270" s="240"/>
      <c r="T1270" s="240"/>
      <c r="U1270" s="240"/>
      <c r="V1270" s="240"/>
      <c r="W1270" s="240"/>
      <c r="X1270" s="240"/>
      <c r="Y1270" s="240"/>
      <c r="Z1270" s="240"/>
    </row>
    <row r="1271" ht="14.25" customHeight="1">
      <c r="A1271" s="302">
        <f t="shared" si="4"/>
        <v>47443</v>
      </c>
      <c r="B1271" s="241">
        <f t="shared" si="1"/>
        <v>2029</v>
      </c>
      <c r="C1271" s="241">
        <f t="shared" si="2"/>
        <v>11</v>
      </c>
      <c r="D1271" s="301" t="str">
        <f t="shared" si="3"/>
        <v>Wednesday</v>
      </c>
      <c r="E1271" s="240"/>
      <c r="F1271" s="240"/>
      <c r="G1271" s="240"/>
      <c r="H1271" s="241"/>
      <c r="I1271" s="301"/>
      <c r="J1271" s="240"/>
      <c r="K1271" s="240"/>
      <c r="L1271" s="240"/>
      <c r="M1271" s="240"/>
      <c r="N1271" s="240"/>
      <c r="O1271" s="240"/>
      <c r="P1271" s="240"/>
      <c r="Q1271" s="240"/>
      <c r="R1271" s="240"/>
      <c r="S1271" s="240"/>
      <c r="T1271" s="240"/>
      <c r="U1271" s="240"/>
      <c r="V1271" s="240"/>
      <c r="W1271" s="240"/>
      <c r="X1271" s="240"/>
      <c r="Y1271" s="240"/>
      <c r="Z1271" s="240"/>
    </row>
    <row r="1272" ht="14.25" customHeight="1">
      <c r="A1272" s="302">
        <f t="shared" si="4"/>
        <v>47444</v>
      </c>
      <c r="B1272" s="241">
        <f t="shared" si="1"/>
        <v>2029</v>
      </c>
      <c r="C1272" s="241">
        <f t="shared" si="2"/>
        <v>11</v>
      </c>
      <c r="D1272" s="301" t="str">
        <f t="shared" si="3"/>
        <v>Thursday</v>
      </c>
      <c r="E1272" s="240"/>
      <c r="F1272" s="240"/>
      <c r="G1272" s="240"/>
      <c r="H1272" s="241"/>
      <c r="I1272" s="301"/>
      <c r="J1272" s="240"/>
      <c r="K1272" s="240"/>
      <c r="L1272" s="240"/>
      <c r="M1272" s="240"/>
      <c r="N1272" s="240"/>
      <c r="O1272" s="240"/>
      <c r="P1272" s="240"/>
      <c r="Q1272" s="240"/>
      <c r="R1272" s="240"/>
      <c r="S1272" s="240"/>
      <c r="T1272" s="240"/>
      <c r="U1272" s="240"/>
      <c r="V1272" s="240"/>
      <c r="W1272" s="240"/>
      <c r="X1272" s="240"/>
      <c r="Y1272" s="240"/>
      <c r="Z1272" s="240"/>
    </row>
    <row r="1273" ht="14.25" customHeight="1">
      <c r="A1273" s="302">
        <f t="shared" si="4"/>
        <v>47445</v>
      </c>
      <c r="B1273" s="241">
        <f t="shared" si="1"/>
        <v>2029</v>
      </c>
      <c r="C1273" s="241">
        <f t="shared" si="2"/>
        <v>11</v>
      </c>
      <c r="D1273" s="301" t="str">
        <f t="shared" si="3"/>
        <v>Friday</v>
      </c>
      <c r="E1273" s="240"/>
      <c r="F1273" s="240"/>
      <c r="G1273" s="240"/>
      <c r="H1273" s="241"/>
      <c r="I1273" s="301"/>
      <c r="J1273" s="240"/>
      <c r="K1273" s="240"/>
      <c r="L1273" s="240"/>
      <c r="M1273" s="240"/>
      <c r="N1273" s="240"/>
      <c r="O1273" s="240"/>
      <c r="P1273" s="240"/>
      <c r="Q1273" s="240"/>
      <c r="R1273" s="240"/>
      <c r="S1273" s="240"/>
      <c r="T1273" s="240"/>
      <c r="U1273" s="240"/>
      <c r="V1273" s="240"/>
      <c r="W1273" s="240"/>
      <c r="X1273" s="240"/>
      <c r="Y1273" s="240"/>
      <c r="Z1273" s="240"/>
    </row>
    <row r="1274" ht="14.25" customHeight="1">
      <c r="A1274" s="302">
        <f t="shared" si="4"/>
        <v>47446</v>
      </c>
      <c r="B1274" s="241">
        <f t="shared" si="1"/>
        <v>2029</v>
      </c>
      <c r="C1274" s="241">
        <f t="shared" si="2"/>
        <v>11</v>
      </c>
      <c r="D1274" s="301" t="str">
        <f t="shared" si="3"/>
        <v>Saturday</v>
      </c>
      <c r="E1274" s="240"/>
      <c r="F1274" s="240"/>
      <c r="G1274" s="240"/>
      <c r="H1274" s="241"/>
      <c r="I1274" s="301"/>
      <c r="J1274" s="240"/>
      <c r="K1274" s="240"/>
      <c r="L1274" s="240"/>
      <c r="M1274" s="240"/>
      <c r="N1274" s="240"/>
      <c r="O1274" s="240"/>
      <c r="P1274" s="240"/>
      <c r="Q1274" s="240"/>
      <c r="R1274" s="240"/>
      <c r="S1274" s="240"/>
      <c r="T1274" s="240"/>
      <c r="U1274" s="240"/>
      <c r="V1274" s="240"/>
      <c r="W1274" s="240"/>
      <c r="X1274" s="240"/>
      <c r="Y1274" s="240"/>
      <c r="Z1274" s="240"/>
    </row>
    <row r="1275" ht="14.25" customHeight="1">
      <c r="A1275" s="302">
        <f t="shared" si="4"/>
        <v>47447</v>
      </c>
      <c r="B1275" s="241">
        <f t="shared" si="1"/>
        <v>2029</v>
      </c>
      <c r="C1275" s="241">
        <f t="shared" si="2"/>
        <v>11</v>
      </c>
      <c r="D1275" s="301" t="str">
        <f t="shared" si="3"/>
        <v>Sunday</v>
      </c>
      <c r="E1275" s="240"/>
      <c r="F1275" s="240"/>
      <c r="G1275" s="240"/>
      <c r="H1275" s="241"/>
      <c r="I1275" s="301"/>
      <c r="J1275" s="240"/>
      <c r="K1275" s="240"/>
      <c r="L1275" s="240"/>
      <c r="M1275" s="240"/>
      <c r="N1275" s="240"/>
      <c r="O1275" s="240"/>
      <c r="P1275" s="240"/>
      <c r="Q1275" s="240"/>
      <c r="R1275" s="240"/>
      <c r="S1275" s="240"/>
      <c r="T1275" s="240"/>
      <c r="U1275" s="240"/>
      <c r="V1275" s="240"/>
      <c r="W1275" s="240"/>
      <c r="X1275" s="240"/>
      <c r="Y1275" s="240"/>
      <c r="Z1275" s="240"/>
    </row>
    <row r="1276" ht="14.25" customHeight="1">
      <c r="A1276" s="302">
        <f t="shared" si="4"/>
        <v>47448</v>
      </c>
      <c r="B1276" s="241">
        <f t="shared" si="1"/>
        <v>2029</v>
      </c>
      <c r="C1276" s="241">
        <f t="shared" si="2"/>
        <v>11</v>
      </c>
      <c r="D1276" s="301" t="str">
        <f t="shared" si="3"/>
        <v>Monday</v>
      </c>
      <c r="E1276" s="240"/>
      <c r="F1276" s="240"/>
      <c r="G1276" s="240"/>
      <c r="H1276" s="241"/>
      <c r="I1276" s="301"/>
      <c r="J1276" s="240"/>
      <c r="K1276" s="240"/>
      <c r="L1276" s="240"/>
      <c r="M1276" s="240"/>
      <c r="N1276" s="240"/>
      <c r="O1276" s="240"/>
      <c r="P1276" s="240"/>
      <c r="Q1276" s="240"/>
      <c r="R1276" s="240"/>
      <c r="S1276" s="240"/>
      <c r="T1276" s="240"/>
      <c r="U1276" s="240"/>
      <c r="V1276" s="240"/>
      <c r="W1276" s="240"/>
      <c r="X1276" s="240"/>
      <c r="Y1276" s="240"/>
      <c r="Z1276" s="240"/>
    </row>
    <row r="1277" ht="14.25" customHeight="1">
      <c r="A1277" s="302">
        <f t="shared" si="4"/>
        <v>47449</v>
      </c>
      <c r="B1277" s="241">
        <f t="shared" si="1"/>
        <v>2029</v>
      </c>
      <c r="C1277" s="241">
        <f t="shared" si="2"/>
        <v>11</v>
      </c>
      <c r="D1277" s="301" t="str">
        <f t="shared" si="3"/>
        <v>Tuesday</v>
      </c>
      <c r="E1277" s="240"/>
      <c r="F1277" s="240"/>
      <c r="G1277" s="240"/>
      <c r="H1277" s="241"/>
      <c r="I1277" s="301"/>
      <c r="J1277" s="240"/>
      <c r="K1277" s="240"/>
      <c r="L1277" s="240"/>
      <c r="M1277" s="240"/>
      <c r="N1277" s="240"/>
      <c r="O1277" s="240"/>
      <c r="P1277" s="240"/>
      <c r="Q1277" s="240"/>
      <c r="R1277" s="240"/>
      <c r="S1277" s="240"/>
      <c r="T1277" s="240"/>
      <c r="U1277" s="240"/>
      <c r="V1277" s="240"/>
      <c r="W1277" s="240"/>
      <c r="X1277" s="240"/>
      <c r="Y1277" s="240"/>
      <c r="Z1277" s="240"/>
    </row>
    <row r="1278" ht="14.25" customHeight="1">
      <c r="A1278" s="302">
        <f t="shared" si="4"/>
        <v>47450</v>
      </c>
      <c r="B1278" s="241">
        <f t="shared" si="1"/>
        <v>2029</v>
      </c>
      <c r="C1278" s="241">
        <f t="shared" si="2"/>
        <v>11</v>
      </c>
      <c r="D1278" s="301" t="str">
        <f t="shared" si="3"/>
        <v>Wednesday</v>
      </c>
      <c r="E1278" s="240"/>
      <c r="F1278" s="240"/>
      <c r="G1278" s="240"/>
      <c r="H1278" s="241"/>
      <c r="I1278" s="301"/>
      <c r="J1278" s="240"/>
      <c r="K1278" s="240"/>
      <c r="L1278" s="240"/>
      <c r="M1278" s="240"/>
      <c r="N1278" s="240"/>
      <c r="O1278" s="240"/>
      <c r="P1278" s="240"/>
      <c r="Q1278" s="240"/>
      <c r="R1278" s="240"/>
      <c r="S1278" s="240"/>
      <c r="T1278" s="240"/>
      <c r="U1278" s="240"/>
      <c r="V1278" s="240"/>
      <c r="W1278" s="240"/>
      <c r="X1278" s="240"/>
      <c r="Y1278" s="240"/>
      <c r="Z1278" s="240"/>
    </row>
    <row r="1279" ht="14.25" customHeight="1">
      <c r="A1279" s="302">
        <f t="shared" si="4"/>
        <v>47451</v>
      </c>
      <c r="B1279" s="241">
        <f t="shared" si="1"/>
        <v>2029</v>
      </c>
      <c r="C1279" s="241">
        <f t="shared" si="2"/>
        <v>11</v>
      </c>
      <c r="D1279" s="301" t="str">
        <f t="shared" si="3"/>
        <v>Thursday</v>
      </c>
      <c r="E1279" s="240"/>
      <c r="F1279" s="240"/>
      <c r="G1279" s="240"/>
      <c r="H1279" s="241"/>
      <c r="I1279" s="301"/>
      <c r="J1279" s="240"/>
      <c r="K1279" s="240"/>
      <c r="L1279" s="240"/>
      <c r="M1279" s="240"/>
      <c r="N1279" s="240"/>
      <c r="O1279" s="240"/>
      <c r="P1279" s="240"/>
      <c r="Q1279" s="240"/>
      <c r="R1279" s="240"/>
      <c r="S1279" s="240"/>
      <c r="T1279" s="240"/>
      <c r="U1279" s="240"/>
      <c r="V1279" s="240"/>
      <c r="W1279" s="240"/>
      <c r="X1279" s="240"/>
      <c r="Y1279" s="240"/>
      <c r="Z1279" s="240"/>
    </row>
    <row r="1280" ht="14.25" customHeight="1">
      <c r="A1280" s="302">
        <f t="shared" si="4"/>
        <v>47452</v>
      </c>
      <c r="B1280" s="241">
        <f t="shared" si="1"/>
        <v>2029</v>
      </c>
      <c r="C1280" s="241">
        <f t="shared" si="2"/>
        <v>11</v>
      </c>
      <c r="D1280" s="301" t="str">
        <f t="shared" si="3"/>
        <v>Friday</v>
      </c>
      <c r="E1280" s="240"/>
      <c r="F1280" s="240"/>
      <c r="G1280" s="240"/>
      <c r="H1280" s="241"/>
      <c r="I1280" s="301"/>
      <c r="J1280" s="240"/>
      <c r="K1280" s="240"/>
      <c r="L1280" s="240"/>
      <c r="M1280" s="240"/>
      <c r="N1280" s="240"/>
      <c r="O1280" s="240"/>
      <c r="P1280" s="240"/>
      <c r="Q1280" s="240"/>
      <c r="R1280" s="240"/>
      <c r="S1280" s="240"/>
      <c r="T1280" s="240"/>
      <c r="U1280" s="240"/>
      <c r="V1280" s="240"/>
      <c r="W1280" s="240"/>
      <c r="X1280" s="240"/>
      <c r="Y1280" s="240"/>
      <c r="Z1280" s="240"/>
    </row>
    <row r="1281" ht="14.25" customHeight="1">
      <c r="A1281" s="302">
        <f t="shared" si="4"/>
        <v>47453</v>
      </c>
      <c r="B1281" s="241">
        <f t="shared" si="1"/>
        <v>2029</v>
      </c>
      <c r="C1281" s="241">
        <f t="shared" si="2"/>
        <v>12</v>
      </c>
      <c r="D1281" s="301" t="str">
        <f t="shared" si="3"/>
        <v>Saturday</v>
      </c>
      <c r="E1281" s="240"/>
      <c r="F1281" s="240"/>
      <c r="G1281" s="240"/>
      <c r="H1281" s="241"/>
      <c r="I1281" s="301"/>
      <c r="J1281" s="240"/>
      <c r="K1281" s="240"/>
      <c r="L1281" s="240"/>
      <c r="M1281" s="240"/>
      <c r="N1281" s="240"/>
      <c r="O1281" s="240"/>
      <c r="P1281" s="240"/>
      <c r="Q1281" s="240"/>
      <c r="R1281" s="240"/>
      <c r="S1281" s="240"/>
      <c r="T1281" s="240"/>
      <c r="U1281" s="240"/>
      <c r="V1281" s="240"/>
      <c r="W1281" s="240"/>
      <c r="X1281" s="240"/>
      <c r="Y1281" s="240"/>
      <c r="Z1281" s="240"/>
    </row>
    <row r="1282" ht="14.25" customHeight="1">
      <c r="A1282" s="302">
        <f t="shared" si="4"/>
        <v>47454</v>
      </c>
      <c r="B1282" s="241">
        <f t="shared" si="1"/>
        <v>2029</v>
      </c>
      <c r="C1282" s="241">
        <f t="shared" si="2"/>
        <v>12</v>
      </c>
      <c r="D1282" s="301" t="str">
        <f t="shared" si="3"/>
        <v>Sunday</v>
      </c>
      <c r="E1282" s="240"/>
      <c r="F1282" s="240"/>
      <c r="G1282" s="240"/>
      <c r="H1282" s="241"/>
      <c r="I1282" s="301"/>
      <c r="J1282" s="240"/>
      <c r="K1282" s="240"/>
      <c r="L1282" s="240"/>
      <c r="M1282" s="240"/>
      <c r="N1282" s="240"/>
      <c r="O1282" s="240"/>
      <c r="P1282" s="240"/>
      <c r="Q1282" s="240"/>
      <c r="R1282" s="240"/>
      <c r="S1282" s="240"/>
      <c r="T1282" s="240"/>
      <c r="U1282" s="240"/>
      <c r="V1282" s="240"/>
      <c r="W1282" s="240"/>
      <c r="X1282" s="240"/>
      <c r="Y1282" s="240"/>
      <c r="Z1282" s="240"/>
    </row>
    <row r="1283" ht="14.25" customHeight="1">
      <c r="A1283" s="302">
        <f t="shared" si="4"/>
        <v>47455</v>
      </c>
      <c r="B1283" s="241">
        <f t="shared" si="1"/>
        <v>2029</v>
      </c>
      <c r="C1283" s="241">
        <f t="shared" si="2"/>
        <v>12</v>
      </c>
      <c r="D1283" s="301" t="str">
        <f t="shared" si="3"/>
        <v>Monday</v>
      </c>
      <c r="E1283" s="240"/>
      <c r="F1283" s="240"/>
      <c r="G1283" s="240"/>
      <c r="H1283" s="241"/>
      <c r="I1283" s="301"/>
      <c r="J1283" s="240"/>
      <c r="K1283" s="240"/>
      <c r="L1283" s="240"/>
      <c r="M1283" s="240"/>
      <c r="N1283" s="240"/>
      <c r="O1283" s="240"/>
      <c r="P1283" s="240"/>
      <c r="Q1283" s="240"/>
      <c r="R1283" s="240"/>
      <c r="S1283" s="240"/>
      <c r="T1283" s="240"/>
      <c r="U1283" s="240"/>
      <c r="V1283" s="240"/>
      <c r="W1283" s="240"/>
      <c r="X1283" s="240"/>
      <c r="Y1283" s="240"/>
      <c r="Z1283" s="240"/>
    </row>
    <row r="1284" ht="14.25" customHeight="1">
      <c r="A1284" s="302">
        <f t="shared" si="4"/>
        <v>47456</v>
      </c>
      <c r="B1284" s="241">
        <f t="shared" si="1"/>
        <v>2029</v>
      </c>
      <c r="C1284" s="241">
        <f t="shared" si="2"/>
        <v>12</v>
      </c>
      <c r="D1284" s="301" t="str">
        <f t="shared" si="3"/>
        <v>Tuesday</v>
      </c>
      <c r="E1284" s="240"/>
      <c r="F1284" s="240"/>
      <c r="G1284" s="240"/>
      <c r="H1284" s="241"/>
      <c r="I1284" s="301"/>
      <c r="J1284" s="240"/>
      <c r="K1284" s="240"/>
      <c r="L1284" s="240"/>
      <c r="M1284" s="240"/>
      <c r="N1284" s="240"/>
      <c r="O1284" s="240"/>
      <c r="P1284" s="240"/>
      <c r="Q1284" s="240"/>
      <c r="R1284" s="240"/>
      <c r="S1284" s="240"/>
      <c r="T1284" s="240"/>
      <c r="U1284" s="240"/>
      <c r="V1284" s="240"/>
      <c r="W1284" s="240"/>
      <c r="X1284" s="240"/>
      <c r="Y1284" s="240"/>
      <c r="Z1284" s="240"/>
    </row>
    <row r="1285" ht="14.25" customHeight="1">
      <c r="A1285" s="302">
        <f t="shared" si="4"/>
        <v>47457</v>
      </c>
      <c r="B1285" s="241">
        <f t="shared" si="1"/>
        <v>2029</v>
      </c>
      <c r="C1285" s="241">
        <f t="shared" si="2"/>
        <v>12</v>
      </c>
      <c r="D1285" s="301" t="str">
        <f t="shared" si="3"/>
        <v>Wednesday</v>
      </c>
      <c r="E1285" s="240"/>
      <c r="F1285" s="240"/>
      <c r="G1285" s="240"/>
      <c r="H1285" s="241"/>
      <c r="I1285" s="301"/>
      <c r="J1285" s="240"/>
      <c r="K1285" s="240"/>
      <c r="L1285" s="240"/>
      <c r="M1285" s="240"/>
      <c r="N1285" s="240"/>
      <c r="O1285" s="240"/>
      <c r="P1285" s="240"/>
      <c r="Q1285" s="240"/>
      <c r="R1285" s="240"/>
      <c r="S1285" s="240"/>
      <c r="T1285" s="240"/>
      <c r="U1285" s="240"/>
      <c r="V1285" s="240"/>
      <c r="W1285" s="240"/>
      <c r="X1285" s="240"/>
      <c r="Y1285" s="240"/>
      <c r="Z1285" s="240"/>
    </row>
    <row r="1286" ht="14.25" customHeight="1">
      <c r="A1286" s="302">
        <f t="shared" si="4"/>
        <v>47458</v>
      </c>
      <c r="B1286" s="241">
        <f t="shared" si="1"/>
        <v>2029</v>
      </c>
      <c r="C1286" s="241">
        <f t="shared" si="2"/>
        <v>12</v>
      </c>
      <c r="D1286" s="301" t="str">
        <f t="shared" si="3"/>
        <v>Thursday</v>
      </c>
      <c r="E1286" s="240"/>
      <c r="F1286" s="240"/>
      <c r="G1286" s="240"/>
      <c r="H1286" s="241"/>
      <c r="I1286" s="301"/>
      <c r="J1286" s="240"/>
      <c r="K1286" s="240"/>
      <c r="L1286" s="240"/>
      <c r="M1286" s="240"/>
      <c r="N1286" s="240"/>
      <c r="O1286" s="240"/>
      <c r="P1286" s="240"/>
      <c r="Q1286" s="240"/>
      <c r="R1286" s="240"/>
      <c r="S1286" s="240"/>
      <c r="T1286" s="240"/>
      <c r="U1286" s="240"/>
      <c r="V1286" s="240"/>
      <c r="W1286" s="240"/>
      <c r="X1286" s="240"/>
      <c r="Y1286" s="240"/>
      <c r="Z1286" s="240"/>
    </row>
    <row r="1287" ht="14.25" customHeight="1">
      <c r="A1287" s="302">
        <f t="shared" si="4"/>
        <v>47459</v>
      </c>
      <c r="B1287" s="241">
        <f t="shared" si="1"/>
        <v>2029</v>
      </c>
      <c r="C1287" s="241">
        <f t="shared" si="2"/>
        <v>12</v>
      </c>
      <c r="D1287" s="301" t="str">
        <f t="shared" si="3"/>
        <v>Friday</v>
      </c>
      <c r="E1287" s="240"/>
      <c r="F1287" s="240"/>
      <c r="G1287" s="240"/>
      <c r="H1287" s="241"/>
      <c r="I1287" s="301"/>
      <c r="J1287" s="240"/>
      <c r="K1287" s="240"/>
      <c r="L1287" s="240"/>
      <c r="M1287" s="240"/>
      <c r="N1287" s="240"/>
      <c r="O1287" s="240"/>
      <c r="P1287" s="240"/>
      <c r="Q1287" s="240"/>
      <c r="R1287" s="240"/>
      <c r="S1287" s="240"/>
      <c r="T1287" s="240"/>
      <c r="U1287" s="240"/>
      <c r="V1287" s="240"/>
      <c r="W1287" s="240"/>
      <c r="X1287" s="240"/>
      <c r="Y1287" s="240"/>
      <c r="Z1287" s="240"/>
    </row>
    <row r="1288" ht="14.25" customHeight="1">
      <c r="A1288" s="302">
        <f t="shared" si="4"/>
        <v>47460</v>
      </c>
      <c r="B1288" s="241">
        <f t="shared" si="1"/>
        <v>2029</v>
      </c>
      <c r="C1288" s="241">
        <f t="shared" si="2"/>
        <v>12</v>
      </c>
      <c r="D1288" s="301" t="str">
        <f t="shared" si="3"/>
        <v>Saturday</v>
      </c>
      <c r="E1288" s="240"/>
      <c r="F1288" s="240"/>
      <c r="G1288" s="240"/>
      <c r="H1288" s="241"/>
      <c r="I1288" s="301"/>
      <c r="J1288" s="240"/>
      <c r="K1288" s="240"/>
      <c r="L1288" s="240"/>
      <c r="M1288" s="240"/>
      <c r="N1288" s="240"/>
      <c r="O1288" s="240"/>
      <c r="P1288" s="240"/>
      <c r="Q1288" s="240"/>
      <c r="R1288" s="240"/>
      <c r="S1288" s="240"/>
      <c r="T1288" s="240"/>
      <c r="U1288" s="240"/>
      <c r="V1288" s="240"/>
      <c r="W1288" s="240"/>
      <c r="X1288" s="240"/>
      <c r="Y1288" s="240"/>
      <c r="Z1288" s="240"/>
    </row>
    <row r="1289" ht="14.25" customHeight="1">
      <c r="A1289" s="302">
        <f t="shared" si="4"/>
        <v>47461</v>
      </c>
      <c r="B1289" s="241">
        <f t="shared" si="1"/>
        <v>2029</v>
      </c>
      <c r="C1289" s="241">
        <f t="shared" si="2"/>
        <v>12</v>
      </c>
      <c r="D1289" s="301" t="str">
        <f t="shared" si="3"/>
        <v>Sunday</v>
      </c>
      <c r="E1289" s="240"/>
      <c r="F1289" s="240"/>
      <c r="G1289" s="240"/>
      <c r="H1289" s="241"/>
      <c r="I1289" s="301"/>
      <c r="J1289" s="240"/>
      <c r="K1289" s="240"/>
      <c r="L1289" s="240"/>
      <c r="M1289" s="240"/>
      <c r="N1289" s="240"/>
      <c r="O1289" s="240"/>
      <c r="P1289" s="240"/>
      <c r="Q1289" s="240"/>
      <c r="R1289" s="240"/>
      <c r="S1289" s="240"/>
      <c r="T1289" s="240"/>
      <c r="U1289" s="240"/>
      <c r="V1289" s="240"/>
      <c r="W1289" s="240"/>
      <c r="X1289" s="240"/>
      <c r="Y1289" s="240"/>
      <c r="Z1289" s="240"/>
    </row>
    <row r="1290" ht="14.25" customHeight="1">
      <c r="A1290" s="302">
        <f t="shared" si="4"/>
        <v>47462</v>
      </c>
      <c r="B1290" s="241">
        <f t="shared" si="1"/>
        <v>2029</v>
      </c>
      <c r="C1290" s="241">
        <f t="shared" si="2"/>
        <v>12</v>
      </c>
      <c r="D1290" s="301" t="str">
        <f t="shared" si="3"/>
        <v>Monday</v>
      </c>
      <c r="E1290" s="240"/>
      <c r="F1290" s="240"/>
      <c r="G1290" s="240"/>
      <c r="H1290" s="241"/>
      <c r="I1290" s="301"/>
      <c r="J1290" s="240"/>
      <c r="K1290" s="240"/>
      <c r="L1290" s="240"/>
      <c r="M1290" s="240"/>
      <c r="N1290" s="240"/>
      <c r="O1290" s="240"/>
      <c r="P1290" s="240"/>
      <c r="Q1290" s="240"/>
      <c r="R1290" s="240"/>
      <c r="S1290" s="240"/>
      <c r="T1290" s="240"/>
      <c r="U1290" s="240"/>
      <c r="V1290" s="240"/>
      <c r="W1290" s="240"/>
      <c r="X1290" s="240"/>
      <c r="Y1290" s="240"/>
      <c r="Z1290" s="240"/>
    </row>
    <row r="1291" ht="14.25" customHeight="1">
      <c r="A1291" s="302">
        <f t="shared" si="4"/>
        <v>47463</v>
      </c>
      <c r="B1291" s="241">
        <f t="shared" si="1"/>
        <v>2029</v>
      </c>
      <c r="C1291" s="241">
        <f t="shared" si="2"/>
        <v>12</v>
      </c>
      <c r="D1291" s="301" t="str">
        <f t="shared" si="3"/>
        <v>Tuesday</v>
      </c>
      <c r="E1291" s="240"/>
      <c r="F1291" s="240"/>
      <c r="G1291" s="240"/>
      <c r="H1291" s="241"/>
      <c r="I1291" s="301"/>
      <c r="J1291" s="240"/>
      <c r="K1291" s="240"/>
      <c r="L1291" s="240"/>
      <c r="M1291" s="240"/>
      <c r="N1291" s="240"/>
      <c r="O1291" s="240"/>
      <c r="P1291" s="240"/>
      <c r="Q1291" s="240"/>
      <c r="R1291" s="240"/>
      <c r="S1291" s="240"/>
      <c r="T1291" s="240"/>
      <c r="U1291" s="240"/>
      <c r="V1291" s="240"/>
      <c r="W1291" s="240"/>
      <c r="X1291" s="240"/>
      <c r="Y1291" s="240"/>
      <c r="Z1291" s="240"/>
    </row>
    <row r="1292" ht="14.25" customHeight="1">
      <c r="A1292" s="302">
        <f t="shared" si="4"/>
        <v>47464</v>
      </c>
      <c r="B1292" s="241">
        <f t="shared" si="1"/>
        <v>2029</v>
      </c>
      <c r="C1292" s="241">
        <f t="shared" si="2"/>
        <v>12</v>
      </c>
      <c r="D1292" s="301" t="str">
        <f t="shared" si="3"/>
        <v>Wednesday</v>
      </c>
      <c r="E1292" s="240"/>
      <c r="F1292" s="240"/>
      <c r="G1292" s="240"/>
      <c r="H1292" s="241"/>
      <c r="I1292" s="301"/>
      <c r="J1292" s="240"/>
      <c r="K1292" s="240"/>
      <c r="L1292" s="240"/>
      <c r="M1292" s="240"/>
      <c r="N1292" s="240"/>
      <c r="O1292" s="240"/>
      <c r="P1292" s="240"/>
      <c r="Q1292" s="240"/>
      <c r="R1292" s="240"/>
      <c r="S1292" s="240"/>
      <c r="T1292" s="240"/>
      <c r="U1292" s="240"/>
      <c r="V1292" s="240"/>
      <c r="W1292" s="240"/>
      <c r="X1292" s="240"/>
      <c r="Y1292" s="240"/>
      <c r="Z1292" s="240"/>
    </row>
    <row r="1293" ht="14.25" customHeight="1">
      <c r="A1293" s="302">
        <f t="shared" si="4"/>
        <v>47465</v>
      </c>
      <c r="B1293" s="241">
        <f t="shared" si="1"/>
        <v>2029</v>
      </c>
      <c r="C1293" s="241">
        <f t="shared" si="2"/>
        <v>12</v>
      </c>
      <c r="D1293" s="301" t="str">
        <f t="shared" si="3"/>
        <v>Thursday</v>
      </c>
      <c r="E1293" s="240"/>
      <c r="F1293" s="240"/>
      <c r="G1293" s="240"/>
      <c r="H1293" s="241"/>
      <c r="I1293" s="301"/>
      <c r="J1293" s="240"/>
      <c r="K1293" s="240"/>
      <c r="L1293" s="240"/>
      <c r="M1293" s="240"/>
      <c r="N1293" s="240"/>
      <c r="O1293" s="240"/>
      <c r="P1293" s="240"/>
      <c r="Q1293" s="240"/>
      <c r="R1293" s="240"/>
      <c r="S1293" s="240"/>
      <c r="T1293" s="240"/>
      <c r="U1293" s="240"/>
      <c r="V1293" s="240"/>
      <c r="W1293" s="240"/>
      <c r="X1293" s="240"/>
      <c r="Y1293" s="240"/>
      <c r="Z1293" s="240"/>
    </row>
    <row r="1294" ht="14.25" customHeight="1">
      <c r="A1294" s="302">
        <f t="shared" si="4"/>
        <v>47466</v>
      </c>
      <c r="B1294" s="241">
        <f t="shared" si="1"/>
        <v>2029</v>
      </c>
      <c r="C1294" s="241">
        <f t="shared" si="2"/>
        <v>12</v>
      </c>
      <c r="D1294" s="301" t="str">
        <f t="shared" si="3"/>
        <v>Friday</v>
      </c>
      <c r="E1294" s="240"/>
      <c r="F1294" s="240"/>
      <c r="G1294" s="240"/>
      <c r="H1294" s="241"/>
      <c r="I1294" s="301"/>
      <c r="J1294" s="240"/>
      <c r="K1294" s="240"/>
      <c r="L1294" s="240"/>
      <c r="M1294" s="240"/>
      <c r="N1294" s="240"/>
      <c r="O1294" s="240"/>
      <c r="P1294" s="240"/>
      <c r="Q1294" s="240"/>
      <c r="R1294" s="240"/>
      <c r="S1294" s="240"/>
      <c r="T1294" s="240"/>
      <c r="U1294" s="240"/>
      <c r="V1294" s="240"/>
      <c r="W1294" s="240"/>
      <c r="X1294" s="240"/>
      <c r="Y1294" s="240"/>
      <c r="Z1294" s="240"/>
    </row>
    <row r="1295" ht="14.25" customHeight="1">
      <c r="A1295" s="302">
        <f t="shared" si="4"/>
        <v>47467</v>
      </c>
      <c r="B1295" s="241">
        <f t="shared" si="1"/>
        <v>2029</v>
      </c>
      <c r="C1295" s="241">
        <f t="shared" si="2"/>
        <v>12</v>
      </c>
      <c r="D1295" s="301" t="str">
        <f t="shared" si="3"/>
        <v>Saturday</v>
      </c>
      <c r="E1295" s="240"/>
      <c r="F1295" s="240"/>
      <c r="G1295" s="240"/>
      <c r="H1295" s="241"/>
      <c r="I1295" s="301"/>
      <c r="J1295" s="240"/>
      <c r="K1295" s="240"/>
      <c r="L1295" s="240"/>
      <c r="M1295" s="240"/>
      <c r="N1295" s="240"/>
      <c r="O1295" s="240"/>
      <c r="P1295" s="240"/>
      <c r="Q1295" s="240"/>
      <c r="R1295" s="240"/>
      <c r="S1295" s="240"/>
      <c r="T1295" s="240"/>
      <c r="U1295" s="240"/>
      <c r="V1295" s="240"/>
      <c r="W1295" s="240"/>
      <c r="X1295" s="240"/>
      <c r="Y1295" s="240"/>
      <c r="Z1295" s="240"/>
    </row>
    <row r="1296" ht="14.25" customHeight="1">
      <c r="A1296" s="302">
        <f t="shared" si="4"/>
        <v>47468</v>
      </c>
      <c r="B1296" s="241">
        <f t="shared" si="1"/>
        <v>2029</v>
      </c>
      <c r="C1296" s="241">
        <f t="shared" si="2"/>
        <v>12</v>
      </c>
      <c r="D1296" s="301" t="str">
        <f t="shared" si="3"/>
        <v>Sunday</v>
      </c>
      <c r="E1296" s="240"/>
      <c r="F1296" s="240"/>
      <c r="G1296" s="240"/>
      <c r="H1296" s="241"/>
      <c r="I1296" s="301"/>
      <c r="J1296" s="240"/>
      <c r="K1296" s="240"/>
      <c r="L1296" s="240"/>
      <c r="M1296" s="240"/>
      <c r="N1296" s="240"/>
      <c r="O1296" s="240"/>
      <c r="P1296" s="240"/>
      <c r="Q1296" s="240"/>
      <c r="R1296" s="240"/>
      <c r="S1296" s="240"/>
      <c r="T1296" s="240"/>
      <c r="U1296" s="240"/>
      <c r="V1296" s="240"/>
      <c r="W1296" s="240"/>
      <c r="X1296" s="240"/>
      <c r="Y1296" s="240"/>
      <c r="Z1296" s="240"/>
    </row>
    <row r="1297" ht="14.25" customHeight="1">
      <c r="A1297" s="302">
        <f t="shared" si="4"/>
        <v>47469</v>
      </c>
      <c r="B1297" s="241">
        <f t="shared" si="1"/>
        <v>2029</v>
      </c>
      <c r="C1297" s="241">
        <f t="shared" si="2"/>
        <v>12</v>
      </c>
      <c r="D1297" s="301" t="str">
        <f t="shared" si="3"/>
        <v>Monday</v>
      </c>
      <c r="E1297" s="240"/>
      <c r="F1297" s="240"/>
      <c r="G1297" s="240"/>
      <c r="H1297" s="241"/>
      <c r="I1297" s="301"/>
      <c r="J1297" s="240"/>
      <c r="K1297" s="240"/>
      <c r="L1297" s="240"/>
      <c r="M1297" s="240"/>
      <c r="N1297" s="240"/>
      <c r="O1297" s="240"/>
      <c r="P1297" s="240"/>
      <c r="Q1297" s="240"/>
      <c r="R1297" s="240"/>
      <c r="S1297" s="240"/>
      <c r="T1297" s="240"/>
      <c r="U1297" s="240"/>
      <c r="V1297" s="240"/>
      <c r="W1297" s="240"/>
      <c r="X1297" s="240"/>
      <c r="Y1297" s="240"/>
      <c r="Z1297" s="240"/>
    </row>
    <row r="1298" ht="14.25" customHeight="1">
      <c r="A1298" s="302">
        <f t="shared" si="4"/>
        <v>47470</v>
      </c>
      <c r="B1298" s="241">
        <f t="shared" si="1"/>
        <v>2029</v>
      </c>
      <c r="C1298" s="241">
        <f t="shared" si="2"/>
        <v>12</v>
      </c>
      <c r="D1298" s="301" t="str">
        <f t="shared" si="3"/>
        <v>Tuesday</v>
      </c>
      <c r="E1298" s="240"/>
      <c r="F1298" s="240"/>
      <c r="G1298" s="240"/>
      <c r="H1298" s="241"/>
      <c r="I1298" s="301"/>
      <c r="J1298" s="240"/>
      <c r="K1298" s="240"/>
      <c r="L1298" s="240"/>
      <c r="M1298" s="240"/>
      <c r="N1298" s="240"/>
      <c r="O1298" s="240"/>
      <c r="P1298" s="240"/>
      <c r="Q1298" s="240"/>
      <c r="R1298" s="240"/>
      <c r="S1298" s="240"/>
      <c r="T1298" s="240"/>
      <c r="U1298" s="240"/>
      <c r="V1298" s="240"/>
      <c r="W1298" s="240"/>
      <c r="X1298" s="240"/>
      <c r="Y1298" s="240"/>
      <c r="Z1298" s="240"/>
    </row>
    <row r="1299" ht="14.25" customHeight="1">
      <c r="A1299" s="302">
        <f t="shared" si="4"/>
        <v>47471</v>
      </c>
      <c r="B1299" s="241">
        <f t="shared" si="1"/>
        <v>2029</v>
      </c>
      <c r="C1299" s="241">
        <f t="shared" si="2"/>
        <v>12</v>
      </c>
      <c r="D1299" s="301" t="str">
        <f t="shared" si="3"/>
        <v>Wednesday</v>
      </c>
      <c r="E1299" s="240"/>
      <c r="F1299" s="240"/>
      <c r="G1299" s="240"/>
      <c r="H1299" s="241"/>
      <c r="I1299" s="301"/>
      <c r="J1299" s="240"/>
      <c r="K1299" s="240"/>
      <c r="L1299" s="240"/>
      <c r="M1299" s="240"/>
      <c r="N1299" s="240"/>
      <c r="O1299" s="240"/>
      <c r="P1299" s="240"/>
      <c r="Q1299" s="240"/>
      <c r="R1299" s="240"/>
      <c r="S1299" s="240"/>
      <c r="T1299" s="240"/>
      <c r="U1299" s="240"/>
      <c r="V1299" s="240"/>
      <c r="W1299" s="240"/>
      <c r="X1299" s="240"/>
      <c r="Y1299" s="240"/>
      <c r="Z1299" s="240"/>
    </row>
    <row r="1300" ht="14.25" customHeight="1">
      <c r="A1300" s="302">
        <f t="shared" si="4"/>
        <v>47472</v>
      </c>
      <c r="B1300" s="241">
        <f t="shared" si="1"/>
        <v>2029</v>
      </c>
      <c r="C1300" s="241">
        <f t="shared" si="2"/>
        <v>12</v>
      </c>
      <c r="D1300" s="301" t="str">
        <f t="shared" si="3"/>
        <v>Thursday</v>
      </c>
      <c r="E1300" s="240"/>
      <c r="F1300" s="240"/>
      <c r="G1300" s="240"/>
      <c r="H1300" s="241"/>
      <c r="I1300" s="301"/>
      <c r="J1300" s="240"/>
      <c r="K1300" s="240"/>
      <c r="L1300" s="240"/>
      <c r="M1300" s="240"/>
      <c r="N1300" s="240"/>
      <c r="O1300" s="240"/>
      <c r="P1300" s="240"/>
      <c r="Q1300" s="240"/>
      <c r="R1300" s="240"/>
      <c r="S1300" s="240"/>
      <c r="T1300" s="240"/>
      <c r="U1300" s="240"/>
      <c r="V1300" s="240"/>
      <c r="W1300" s="240"/>
      <c r="X1300" s="240"/>
      <c r="Y1300" s="240"/>
      <c r="Z1300" s="240"/>
    </row>
    <row r="1301" ht="14.25" customHeight="1">
      <c r="A1301" s="302">
        <f t="shared" si="4"/>
        <v>47473</v>
      </c>
      <c r="B1301" s="241">
        <f t="shared" si="1"/>
        <v>2029</v>
      </c>
      <c r="C1301" s="241">
        <f t="shared" si="2"/>
        <v>12</v>
      </c>
      <c r="D1301" s="301" t="str">
        <f t="shared" si="3"/>
        <v>Friday</v>
      </c>
      <c r="E1301" s="240"/>
      <c r="F1301" s="240"/>
      <c r="G1301" s="240"/>
      <c r="H1301" s="241"/>
      <c r="I1301" s="301"/>
      <c r="J1301" s="240"/>
      <c r="K1301" s="240"/>
      <c r="L1301" s="240"/>
      <c r="M1301" s="240"/>
      <c r="N1301" s="240"/>
      <c r="O1301" s="240"/>
      <c r="P1301" s="240"/>
      <c r="Q1301" s="240"/>
      <c r="R1301" s="240"/>
      <c r="S1301" s="240"/>
      <c r="T1301" s="240"/>
      <c r="U1301" s="240"/>
      <c r="V1301" s="240"/>
      <c r="W1301" s="240"/>
      <c r="X1301" s="240"/>
      <c r="Y1301" s="240"/>
      <c r="Z1301" s="240"/>
    </row>
    <row r="1302" ht="14.25" customHeight="1">
      <c r="A1302" s="302">
        <f t="shared" si="4"/>
        <v>47474</v>
      </c>
      <c r="B1302" s="241">
        <f t="shared" si="1"/>
        <v>2029</v>
      </c>
      <c r="C1302" s="241">
        <f t="shared" si="2"/>
        <v>12</v>
      </c>
      <c r="D1302" s="301" t="str">
        <f t="shared" si="3"/>
        <v>Saturday</v>
      </c>
      <c r="E1302" s="240"/>
      <c r="F1302" s="240"/>
      <c r="G1302" s="240"/>
      <c r="H1302" s="241"/>
      <c r="I1302" s="301"/>
      <c r="J1302" s="240"/>
      <c r="K1302" s="240"/>
      <c r="L1302" s="240"/>
      <c r="M1302" s="240"/>
      <c r="N1302" s="240"/>
      <c r="O1302" s="240"/>
      <c r="P1302" s="240"/>
      <c r="Q1302" s="240"/>
      <c r="R1302" s="240"/>
      <c r="S1302" s="240"/>
      <c r="T1302" s="240"/>
      <c r="U1302" s="240"/>
      <c r="V1302" s="240"/>
      <c r="W1302" s="240"/>
      <c r="X1302" s="240"/>
      <c r="Y1302" s="240"/>
      <c r="Z1302" s="240"/>
    </row>
    <row r="1303" ht="14.25" customHeight="1">
      <c r="A1303" s="302">
        <f t="shared" si="4"/>
        <v>47475</v>
      </c>
      <c r="B1303" s="241">
        <f t="shared" si="1"/>
        <v>2029</v>
      </c>
      <c r="C1303" s="241">
        <f t="shared" si="2"/>
        <v>12</v>
      </c>
      <c r="D1303" s="301" t="str">
        <f t="shared" si="3"/>
        <v>Sunday</v>
      </c>
      <c r="E1303" s="240"/>
      <c r="F1303" s="240"/>
      <c r="G1303" s="240"/>
      <c r="H1303" s="241"/>
      <c r="I1303" s="301"/>
      <c r="J1303" s="240"/>
      <c r="K1303" s="240"/>
      <c r="L1303" s="240"/>
      <c r="M1303" s="240"/>
      <c r="N1303" s="240"/>
      <c r="O1303" s="240"/>
      <c r="P1303" s="240"/>
      <c r="Q1303" s="240"/>
      <c r="R1303" s="240"/>
      <c r="S1303" s="240"/>
      <c r="T1303" s="240"/>
      <c r="U1303" s="240"/>
      <c r="V1303" s="240"/>
      <c r="W1303" s="240"/>
      <c r="X1303" s="240"/>
      <c r="Y1303" s="240"/>
      <c r="Z1303" s="240"/>
    </row>
    <row r="1304" ht="14.25" customHeight="1">
      <c r="A1304" s="302">
        <f t="shared" si="4"/>
        <v>47476</v>
      </c>
      <c r="B1304" s="241">
        <f t="shared" si="1"/>
        <v>2029</v>
      </c>
      <c r="C1304" s="241">
        <f t="shared" si="2"/>
        <v>12</v>
      </c>
      <c r="D1304" s="301" t="str">
        <f t="shared" si="3"/>
        <v>Monday</v>
      </c>
      <c r="E1304" s="240"/>
      <c r="F1304" s="240"/>
      <c r="G1304" s="240"/>
      <c r="H1304" s="241"/>
      <c r="I1304" s="301"/>
      <c r="J1304" s="240"/>
      <c r="K1304" s="240"/>
      <c r="L1304" s="240"/>
      <c r="M1304" s="240"/>
      <c r="N1304" s="240"/>
      <c r="O1304" s="240"/>
      <c r="P1304" s="240"/>
      <c r="Q1304" s="240"/>
      <c r="R1304" s="240"/>
      <c r="S1304" s="240"/>
      <c r="T1304" s="240"/>
      <c r="U1304" s="240"/>
      <c r="V1304" s="240"/>
      <c r="W1304" s="240"/>
      <c r="X1304" s="240"/>
      <c r="Y1304" s="240"/>
      <c r="Z1304" s="240"/>
    </row>
    <row r="1305" ht="14.25" customHeight="1">
      <c r="A1305" s="302">
        <f t="shared" si="4"/>
        <v>47477</v>
      </c>
      <c r="B1305" s="241">
        <f t="shared" si="1"/>
        <v>2029</v>
      </c>
      <c r="C1305" s="241">
        <f t="shared" si="2"/>
        <v>12</v>
      </c>
      <c r="D1305" s="301" t="str">
        <f t="shared" si="3"/>
        <v>Tuesday</v>
      </c>
      <c r="E1305" s="240"/>
      <c r="F1305" s="240"/>
      <c r="G1305" s="240"/>
      <c r="H1305" s="241"/>
      <c r="I1305" s="301"/>
      <c r="J1305" s="240"/>
      <c r="K1305" s="240"/>
      <c r="L1305" s="240"/>
      <c r="M1305" s="240"/>
      <c r="N1305" s="240"/>
      <c r="O1305" s="240"/>
      <c r="P1305" s="240"/>
      <c r="Q1305" s="240"/>
      <c r="R1305" s="240"/>
      <c r="S1305" s="240"/>
      <c r="T1305" s="240"/>
      <c r="U1305" s="240"/>
      <c r="V1305" s="240"/>
      <c r="W1305" s="240"/>
      <c r="X1305" s="240"/>
      <c r="Y1305" s="240"/>
      <c r="Z1305" s="240"/>
    </row>
    <row r="1306" ht="14.25" customHeight="1">
      <c r="A1306" s="302">
        <f t="shared" si="4"/>
        <v>47478</v>
      </c>
      <c r="B1306" s="241">
        <f t="shared" si="1"/>
        <v>2029</v>
      </c>
      <c r="C1306" s="241">
        <f t="shared" si="2"/>
        <v>12</v>
      </c>
      <c r="D1306" s="301" t="str">
        <f t="shared" si="3"/>
        <v>Wednesday</v>
      </c>
      <c r="E1306" s="240"/>
      <c r="F1306" s="240"/>
      <c r="G1306" s="240"/>
      <c r="H1306" s="241"/>
      <c r="I1306" s="301"/>
      <c r="J1306" s="240"/>
      <c r="K1306" s="240"/>
      <c r="L1306" s="240"/>
      <c r="M1306" s="240"/>
      <c r="N1306" s="240"/>
      <c r="O1306" s="240"/>
      <c r="P1306" s="240"/>
      <c r="Q1306" s="240"/>
      <c r="R1306" s="240"/>
      <c r="S1306" s="240"/>
      <c r="T1306" s="240"/>
      <c r="U1306" s="240"/>
      <c r="V1306" s="240"/>
      <c r="W1306" s="240"/>
      <c r="X1306" s="240"/>
      <c r="Y1306" s="240"/>
      <c r="Z1306" s="240"/>
    </row>
    <row r="1307" ht="14.25" customHeight="1">
      <c r="A1307" s="302">
        <f t="shared" si="4"/>
        <v>47479</v>
      </c>
      <c r="B1307" s="241">
        <f t="shared" si="1"/>
        <v>2029</v>
      </c>
      <c r="C1307" s="241">
        <f t="shared" si="2"/>
        <v>12</v>
      </c>
      <c r="D1307" s="301" t="str">
        <f t="shared" si="3"/>
        <v>Thursday</v>
      </c>
      <c r="E1307" s="240"/>
      <c r="F1307" s="240"/>
      <c r="G1307" s="240"/>
      <c r="H1307" s="241"/>
      <c r="I1307" s="301"/>
      <c r="J1307" s="240"/>
      <c r="K1307" s="240"/>
      <c r="L1307" s="240"/>
      <c r="M1307" s="240"/>
      <c r="N1307" s="240"/>
      <c r="O1307" s="240"/>
      <c r="P1307" s="240"/>
      <c r="Q1307" s="240"/>
      <c r="R1307" s="240"/>
      <c r="S1307" s="240"/>
      <c r="T1307" s="240"/>
      <c r="U1307" s="240"/>
      <c r="V1307" s="240"/>
      <c r="W1307" s="240"/>
      <c r="X1307" s="240"/>
      <c r="Y1307" s="240"/>
      <c r="Z1307" s="240"/>
    </row>
    <row r="1308" ht="14.25" customHeight="1">
      <c r="A1308" s="302">
        <f t="shared" si="4"/>
        <v>47480</v>
      </c>
      <c r="B1308" s="241">
        <f t="shared" si="1"/>
        <v>2029</v>
      </c>
      <c r="C1308" s="241">
        <f t="shared" si="2"/>
        <v>12</v>
      </c>
      <c r="D1308" s="301" t="str">
        <f t="shared" si="3"/>
        <v>Friday</v>
      </c>
      <c r="E1308" s="240"/>
      <c r="F1308" s="240"/>
      <c r="G1308" s="240"/>
      <c r="H1308" s="241"/>
      <c r="I1308" s="301"/>
      <c r="J1308" s="240"/>
      <c r="K1308" s="240"/>
      <c r="L1308" s="240"/>
      <c r="M1308" s="240"/>
      <c r="N1308" s="240"/>
      <c r="O1308" s="240"/>
      <c r="P1308" s="240"/>
      <c r="Q1308" s="240"/>
      <c r="R1308" s="240"/>
      <c r="S1308" s="240"/>
      <c r="T1308" s="240"/>
      <c r="U1308" s="240"/>
      <c r="V1308" s="240"/>
      <c r="W1308" s="240"/>
      <c r="X1308" s="240"/>
      <c r="Y1308" s="240"/>
      <c r="Z1308" s="240"/>
    </row>
    <row r="1309" ht="14.25" customHeight="1">
      <c r="A1309" s="302">
        <f t="shared" si="4"/>
        <v>47481</v>
      </c>
      <c r="B1309" s="241">
        <f t="shared" si="1"/>
        <v>2029</v>
      </c>
      <c r="C1309" s="241">
        <f t="shared" si="2"/>
        <v>12</v>
      </c>
      <c r="D1309" s="301" t="str">
        <f t="shared" si="3"/>
        <v>Saturday</v>
      </c>
      <c r="E1309" s="240"/>
      <c r="F1309" s="240"/>
      <c r="G1309" s="240"/>
      <c r="H1309" s="241"/>
      <c r="I1309" s="301"/>
      <c r="J1309" s="240"/>
      <c r="K1309" s="240"/>
      <c r="L1309" s="240"/>
      <c r="M1309" s="240"/>
      <c r="N1309" s="240"/>
      <c r="O1309" s="240"/>
      <c r="P1309" s="240"/>
      <c r="Q1309" s="240"/>
      <c r="R1309" s="240"/>
      <c r="S1309" s="240"/>
      <c r="T1309" s="240"/>
      <c r="U1309" s="240"/>
      <c r="V1309" s="240"/>
      <c r="W1309" s="240"/>
      <c r="X1309" s="240"/>
      <c r="Y1309" s="240"/>
      <c r="Z1309" s="240"/>
    </row>
    <row r="1310" ht="14.25" customHeight="1">
      <c r="A1310" s="302">
        <f t="shared" si="4"/>
        <v>47482</v>
      </c>
      <c r="B1310" s="241">
        <f t="shared" si="1"/>
        <v>2029</v>
      </c>
      <c r="C1310" s="241">
        <f t="shared" si="2"/>
        <v>12</v>
      </c>
      <c r="D1310" s="301" t="str">
        <f t="shared" si="3"/>
        <v>Sunday</v>
      </c>
      <c r="E1310" s="240"/>
      <c r="F1310" s="240"/>
      <c r="G1310" s="240"/>
      <c r="H1310" s="241"/>
      <c r="I1310" s="301"/>
      <c r="J1310" s="240"/>
      <c r="K1310" s="240"/>
      <c r="L1310" s="240"/>
      <c r="M1310" s="240"/>
      <c r="N1310" s="240"/>
      <c r="O1310" s="240"/>
      <c r="P1310" s="240"/>
      <c r="Q1310" s="240"/>
      <c r="R1310" s="240"/>
      <c r="S1310" s="240"/>
      <c r="T1310" s="240"/>
      <c r="U1310" s="240"/>
      <c r="V1310" s="240"/>
      <c r="W1310" s="240"/>
      <c r="X1310" s="240"/>
      <c r="Y1310" s="240"/>
      <c r="Z1310" s="240"/>
    </row>
    <row r="1311" ht="14.25" customHeight="1">
      <c r="A1311" s="302">
        <f t="shared" si="4"/>
        <v>47483</v>
      </c>
      <c r="B1311" s="241">
        <f t="shared" si="1"/>
        <v>2029</v>
      </c>
      <c r="C1311" s="241">
        <f t="shared" si="2"/>
        <v>12</v>
      </c>
      <c r="D1311" s="301" t="str">
        <f t="shared" si="3"/>
        <v>Monday</v>
      </c>
      <c r="E1311" s="240"/>
      <c r="F1311" s="240"/>
      <c r="G1311" s="240"/>
      <c r="H1311" s="241"/>
      <c r="I1311" s="301"/>
      <c r="J1311" s="240"/>
      <c r="K1311" s="240"/>
      <c r="L1311" s="240"/>
      <c r="M1311" s="240"/>
      <c r="N1311" s="240"/>
      <c r="O1311" s="240"/>
      <c r="P1311" s="240"/>
      <c r="Q1311" s="240"/>
      <c r="R1311" s="240"/>
      <c r="S1311" s="240"/>
      <c r="T1311" s="240"/>
      <c r="U1311" s="240"/>
      <c r="V1311" s="240"/>
      <c r="W1311" s="240"/>
      <c r="X1311" s="240"/>
      <c r="Y1311" s="240"/>
      <c r="Z1311" s="240"/>
    </row>
    <row r="1312" ht="14.25" customHeight="1">
      <c r="A1312" s="302">
        <f t="shared" si="4"/>
        <v>47484</v>
      </c>
      <c r="B1312" s="241">
        <f t="shared" si="1"/>
        <v>2030</v>
      </c>
      <c r="C1312" s="241">
        <f t="shared" si="2"/>
        <v>1</v>
      </c>
      <c r="D1312" s="301" t="str">
        <f t="shared" si="3"/>
        <v>Tuesday</v>
      </c>
      <c r="E1312" s="240"/>
      <c r="F1312" s="240"/>
      <c r="G1312" s="240"/>
      <c r="H1312" s="241"/>
      <c r="I1312" s="301"/>
      <c r="J1312" s="240"/>
      <c r="K1312" s="240"/>
      <c r="L1312" s="240"/>
      <c r="M1312" s="240"/>
      <c r="N1312" s="240"/>
      <c r="O1312" s="240"/>
      <c r="P1312" s="240"/>
      <c r="Q1312" s="240"/>
      <c r="R1312" s="240"/>
      <c r="S1312" s="240"/>
      <c r="T1312" s="240"/>
      <c r="U1312" s="240"/>
      <c r="V1312" s="240"/>
      <c r="W1312" s="240"/>
      <c r="X1312" s="240"/>
      <c r="Y1312" s="240"/>
      <c r="Z1312" s="240"/>
    </row>
    <row r="1313" ht="14.25" customHeight="1">
      <c r="A1313" s="302">
        <f t="shared" si="4"/>
        <v>47485</v>
      </c>
      <c r="B1313" s="241">
        <f t="shared" si="1"/>
        <v>2030</v>
      </c>
      <c r="C1313" s="241">
        <f t="shared" si="2"/>
        <v>1</v>
      </c>
      <c r="D1313" s="301" t="str">
        <f t="shared" si="3"/>
        <v>Wednesday</v>
      </c>
      <c r="E1313" s="240"/>
      <c r="F1313" s="240"/>
      <c r="G1313" s="240"/>
      <c r="H1313" s="241"/>
      <c r="I1313" s="301"/>
      <c r="J1313" s="240"/>
      <c r="K1313" s="240"/>
      <c r="L1313" s="240"/>
      <c r="M1313" s="240"/>
      <c r="N1313" s="240"/>
      <c r="O1313" s="240"/>
      <c r="P1313" s="240"/>
      <c r="Q1313" s="240"/>
      <c r="R1313" s="240"/>
      <c r="S1313" s="240"/>
      <c r="T1313" s="240"/>
      <c r="U1313" s="240"/>
      <c r="V1313" s="240"/>
      <c r="W1313" s="240"/>
      <c r="X1313" s="240"/>
      <c r="Y1313" s="240"/>
      <c r="Z1313" s="240"/>
    </row>
    <row r="1314" ht="14.25" customHeight="1">
      <c r="A1314" s="302">
        <f t="shared" si="4"/>
        <v>47486</v>
      </c>
      <c r="B1314" s="241">
        <f t="shared" si="1"/>
        <v>2030</v>
      </c>
      <c r="C1314" s="241">
        <f t="shared" si="2"/>
        <v>1</v>
      </c>
      <c r="D1314" s="301" t="str">
        <f t="shared" si="3"/>
        <v>Thursday</v>
      </c>
      <c r="E1314" s="240"/>
      <c r="F1314" s="240"/>
      <c r="G1314" s="240"/>
      <c r="H1314" s="241"/>
      <c r="I1314" s="301"/>
      <c r="J1314" s="240"/>
      <c r="K1314" s="240"/>
      <c r="L1314" s="240"/>
      <c r="M1314" s="240"/>
      <c r="N1314" s="240"/>
      <c r="O1314" s="240"/>
      <c r="P1314" s="240"/>
      <c r="Q1314" s="240"/>
      <c r="R1314" s="240"/>
      <c r="S1314" s="240"/>
      <c r="T1314" s="240"/>
      <c r="U1314" s="240"/>
      <c r="V1314" s="240"/>
      <c r="W1314" s="240"/>
      <c r="X1314" s="240"/>
      <c r="Y1314" s="240"/>
      <c r="Z1314" s="240"/>
    </row>
    <row r="1315" ht="14.25" customHeight="1">
      <c r="A1315" s="302">
        <f t="shared" si="4"/>
        <v>47487</v>
      </c>
      <c r="B1315" s="241">
        <f t="shared" si="1"/>
        <v>2030</v>
      </c>
      <c r="C1315" s="241">
        <f t="shared" si="2"/>
        <v>1</v>
      </c>
      <c r="D1315" s="301" t="str">
        <f t="shared" si="3"/>
        <v>Friday</v>
      </c>
      <c r="E1315" s="240"/>
      <c r="F1315" s="240"/>
      <c r="G1315" s="240"/>
      <c r="H1315" s="241"/>
      <c r="I1315" s="301"/>
      <c r="J1315" s="240"/>
      <c r="K1315" s="240"/>
      <c r="L1315" s="240"/>
      <c r="M1315" s="240"/>
      <c r="N1315" s="240"/>
      <c r="O1315" s="240"/>
      <c r="P1315" s="240"/>
      <c r="Q1315" s="240"/>
      <c r="R1315" s="240"/>
      <c r="S1315" s="240"/>
      <c r="T1315" s="240"/>
      <c r="U1315" s="240"/>
      <c r="V1315" s="240"/>
      <c r="W1315" s="240"/>
      <c r="X1315" s="240"/>
      <c r="Y1315" s="240"/>
      <c r="Z1315" s="240"/>
    </row>
    <row r="1316" ht="14.25" customHeight="1">
      <c r="A1316" s="302">
        <f t="shared" si="4"/>
        <v>47488</v>
      </c>
      <c r="B1316" s="241">
        <f t="shared" si="1"/>
        <v>2030</v>
      </c>
      <c r="C1316" s="241">
        <f t="shared" si="2"/>
        <v>1</v>
      </c>
      <c r="D1316" s="301" t="str">
        <f t="shared" si="3"/>
        <v>Saturday</v>
      </c>
      <c r="E1316" s="240"/>
      <c r="F1316" s="240"/>
      <c r="G1316" s="240"/>
      <c r="H1316" s="241"/>
      <c r="I1316" s="301"/>
      <c r="J1316" s="240"/>
      <c r="K1316" s="240"/>
      <c r="L1316" s="240"/>
      <c r="M1316" s="240"/>
      <c r="N1316" s="240"/>
      <c r="O1316" s="240"/>
      <c r="P1316" s="240"/>
      <c r="Q1316" s="240"/>
      <c r="R1316" s="240"/>
      <c r="S1316" s="240"/>
      <c r="T1316" s="240"/>
      <c r="U1316" s="240"/>
      <c r="V1316" s="240"/>
      <c r="W1316" s="240"/>
      <c r="X1316" s="240"/>
      <c r="Y1316" s="240"/>
      <c r="Z1316" s="240"/>
    </row>
    <row r="1317" ht="14.25" customHeight="1">
      <c r="A1317" s="302">
        <f t="shared" si="4"/>
        <v>47489</v>
      </c>
      <c r="B1317" s="241">
        <f t="shared" si="1"/>
        <v>2030</v>
      </c>
      <c r="C1317" s="241">
        <f t="shared" si="2"/>
        <v>1</v>
      </c>
      <c r="D1317" s="301" t="str">
        <f t="shared" si="3"/>
        <v>Sunday</v>
      </c>
      <c r="E1317" s="240"/>
      <c r="F1317" s="240"/>
      <c r="G1317" s="240"/>
      <c r="H1317" s="241"/>
      <c r="I1317" s="301"/>
      <c r="J1317" s="240"/>
      <c r="K1317" s="240"/>
      <c r="L1317" s="240"/>
      <c r="M1317" s="240"/>
      <c r="N1317" s="240"/>
      <c r="O1317" s="240"/>
      <c r="P1317" s="240"/>
      <c r="Q1317" s="240"/>
      <c r="R1317" s="240"/>
      <c r="S1317" s="240"/>
      <c r="T1317" s="240"/>
      <c r="U1317" s="240"/>
      <c r="V1317" s="240"/>
      <c r="W1317" s="240"/>
      <c r="X1317" s="240"/>
      <c r="Y1317" s="240"/>
      <c r="Z1317" s="240"/>
    </row>
    <row r="1318" ht="14.25" customHeight="1">
      <c r="A1318" s="302">
        <f t="shared" si="4"/>
        <v>47490</v>
      </c>
      <c r="B1318" s="241">
        <f t="shared" si="1"/>
        <v>2030</v>
      </c>
      <c r="C1318" s="241">
        <f t="shared" si="2"/>
        <v>1</v>
      </c>
      <c r="D1318" s="301" t="str">
        <f t="shared" si="3"/>
        <v>Monday</v>
      </c>
      <c r="E1318" s="240"/>
      <c r="F1318" s="240"/>
      <c r="G1318" s="240"/>
      <c r="H1318" s="241"/>
      <c r="I1318" s="301"/>
      <c r="J1318" s="240"/>
      <c r="K1318" s="240"/>
      <c r="L1318" s="240"/>
      <c r="M1318" s="240"/>
      <c r="N1318" s="240"/>
      <c r="O1318" s="240"/>
      <c r="P1318" s="240"/>
      <c r="Q1318" s="240"/>
      <c r="R1318" s="240"/>
      <c r="S1318" s="240"/>
      <c r="T1318" s="240"/>
      <c r="U1318" s="240"/>
      <c r="V1318" s="240"/>
      <c r="W1318" s="240"/>
      <c r="X1318" s="240"/>
      <c r="Y1318" s="240"/>
      <c r="Z1318" s="240"/>
    </row>
    <row r="1319" ht="14.25" customHeight="1">
      <c r="A1319" s="302">
        <f t="shared" si="4"/>
        <v>47491</v>
      </c>
      <c r="B1319" s="241">
        <f t="shared" si="1"/>
        <v>2030</v>
      </c>
      <c r="C1319" s="241">
        <f t="shared" si="2"/>
        <v>1</v>
      </c>
      <c r="D1319" s="301" t="str">
        <f t="shared" si="3"/>
        <v>Tuesday</v>
      </c>
      <c r="E1319" s="240"/>
      <c r="F1319" s="240"/>
      <c r="G1319" s="240"/>
      <c r="H1319" s="241"/>
      <c r="I1319" s="301"/>
      <c r="J1319" s="240"/>
      <c r="K1319" s="240"/>
      <c r="L1319" s="240"/>
      <c r="M1319" s="240"/>
      <c r="N1319" s="240"/>
      <c r="O1319" s="240"/>
      <c r="P1319" s="240"/>
      <c r="Q1319" s="240"/>
      <c r="R1319" s="240"/>
      <c r="S1319" s="240"/>
      <c r="T1319" s="240"/>
      <c r="U1319" s="240"/>
      <c r="V1319" s="240"/>
      <c r="W1319" s="240"/>
      <c r="X1319" s="240"/>
      <c r="Y1319" s="240"/>
      <c r="Z1319" s="240"/>
    </row>
    <row r="1320" ht="14.25" customHeight="1">
      <c r="A1320" s="302">
        <f t="shared" si="4"/>
        <v>47492</v>
      </c>
      <c r="B1320" s="241">
        <f t="shared" si="1"/>
        <v>2030</v>
      </c>
      <c r="C1320" s="241">
        <f t="shared" si="2"/>
        <v>1</v>
      </c>
      <c r="D1320" s="301" t="str">
        <f t="shared" si="3"/>
        <v>Wednesday</v>
      </c>
      <c r="E1320" s="240"/>
      <c r="F1320" s="240"/>
      <c r="G1320" s="240"/>
      <c r="H1320" s="241"/>
      <c r="I1320" s="301"/>
      <c r="J1320" s="240"/>
      <c r="K1320" s="240"/>
      <c r="L1320" s="240"/>
      <c r="M1320" s="240"/>
      <c r="N1320" s="240"/>
      <c r="O1320" s="240"/>
      <c r="P1320" s="240"/>
      <c r="Q1320" s="240"/>
      <c r="R1320" s="240"/>
      <c r="S1320" s="240"/>
      <c r="T1320" s="240"/>
      <c r="U1320" s="240"/>
      <c r="V1320" s="240"/>
      <c r="W1320" s="240"/>
      <c r="X1320" s="240"/>
      <c r="Y1320" s="240"/>
      <c r="Z1320" s="240"/>
    </row>
    <row r="1321" ht="14.25" customHeight="1">
      <c r="A1321" s="302">
        <f t="shared" si="4"/>
        <v>47493</v>
      </c>
      <c r="B1321" s="241">
        <f t="shared" si="1"/>
        <v>2030</v>
      </c>
      <c r="C1321" s="241">
        <f t="shared" si="2"/>
        <v>1</v>
      </c>
      <c r="D1321" s="301" t="str">
        <f t="shared" si="3"/>
        <v>Thursday</v>
      </c>
      <c r="E1321" s="240"/>
      <c r="F1321" s="240"/>
      <c r="G1321" s="240"/>
      <c r="H1321" s="241"/>
      <c r="I1321" s="301"/>
      <c r="J1321" s="240"/>
      <c r="K1321" s="240"/>
      <c r="L1321" s="240"/>
      <c r="M1321" s="240"/>
      <c r="N1321" s="240"/>
      <c r="O1321" s="240"/>
      <c r="P1321" s="240"/>
      <c r="Q1321" s="240"/>
      <c r="R1321" s="240"/>
      <c r="S1321" s="240"/>
      <c r="T1321" s="240"/>
      <c r="U1321" s="240"/>
      <c r="V1321" s="240"/>
      <c r="W1321" s="240"/>
      <c r="X1321" s="240"/>
      <c r="Y1321" s="240"/>
      <c r="Z1321" s="240"/>
    </row>
    <row r="1322" ht="14.25" customHeight="1">
      <c r="A1322" s="302">
        <f t="shared" si="4"/>
        <v>47494</v>
      </c>
      <c r="B1322" s="241">
        <f t="shared" si="1"/>
        <v>2030</v>
      </c>
      <c r="C1322" s="241">
        <f t="shared" si="2"/>
        <v>1</v>
      </c>
      <c r="D1322" s="301" t="str">
        <f t="shared" si="3"/>
        <v>Friday</v>
      </c>
      <c r="E1322" s="240"/>
      <c r="F1322" s="240"/>
      <c r="G1322" s="240"/>
      <c r="H1322" s="241"/>
      <c r="I1322" s="301"/>
      <c r="J1322" s="240"/>
      <c r="K1322" s="240"/>
      <c r="L1322" s="240"/>
      <c r="M1322" s="240"/>
      <c r="N1322" s="240"/>
      <c r="O1322" s="240"/>
      <c r="P1322" s="240"/>
      <c r="Q1322" s="240"/>
      <c r="R1322" s="240"/>
      <c r="S1322" s="240"/>
      <c r="T1322" s="240"/>
      <c r="U1322" s="240"/>
      <c r="V1322" s="240"/>
      <c r="W1322" s="240"/>
      <c r="X1322" s="240"/>
      <c r="Y1322" s="240"/>
      <c r="Z1322" s="240"/>
    </row>
    <row r="1323" ht="14.25" customHeight="1">
      <c r="A1323" s="302">
        <f t="shared" si="4"/>
        <v>47495</v>
      </c>
      <c r="B1323" s="241">
        <f t="shared" si="1"/>
        <v>2030</v>
      </c>
      <c r="C1323" s="241">
        <f t="shared" si="2"/>
        <v>1</v>
      </c>
      <c r="D1323" s="301" t="str">
        <f t="shared" si="3"/>
        <v>Saturday</v>
      </c>
      <c r="E1323" s="240"/>
      <c r="F1323" s="240"/>
      <c r="G1323" s="240"/>
      <c r="H1323" s="241"/>
      <c r="I1323" s="301"/>
      <c r="J1323" s="240"/>
      <c r="K1323" s="240"/>
      <c r="L1323" s="240"/>
      <c r="M1323" s="240"/>
      <c r="N1323" s="240"/>
      <c r="O1323" s="240"/>
      <c r="P1323" s="240"/>
      <c r="Q1323" s="240"/>
      <c r="R1323" s="240"/>
      <c r="S1323" s="240"/>
      <c r="T1323" s="240"/>
      <c r="U1323" s="240"/>
      <c r="V1323" s="240"/>
      <c r="W1323" s="240"/>
      <c r="X1323" s="240"/>
      <c r="Y1323" s="240"/>
      <c r="Z1323" s="240"/>
    </row>
    <row r="1324" ht="14.25" customHeight="1">
      <c r="A1324" s="302">
        <f t="shared" si="4"/>
        <v>47496</v>
      </c>
      <c r="B1324" s="241">
        <f t="shared" si="1"/>
        <v>2030</v>
      </c>
      <c r="C1324" s="241">
        <f t="shared" si="2"/>
        <v>1</v>
      </c>
      <c r="D1324" s="301" t="str">
        <f t="shared" si="3"/>
        <v>Sunday</v>
      </c>
      <c r="E1324" s="240"/>
      <c r="F1324" s="240"/>
      <c r="G1324" s="240"/>
      <c r="H1324" s="241"/>
      <c r="I1324" s="301"/>
      <c r="J1324" s="240"/>
      <c r="K1324" s="240"/>
      <c r="L1324" s="240"/>
      <c r="M1324" s="240"/>
      <c r="N1324" s="240"/>
      <c r="O1324" s="240"/>
      <c r="P1324" s="240"/>
      <c r="Q1324" s="240"/>
      <c r="R1324" s="240"/>
      <c r="S1324" s="240"/>
      <c r="T1324" s="240"/>
      <c r="U1324" s="240"/>
      <c r="V1324" s="240"/>
      <c r="W1324" s="240"/>
      <c r="X1324" s="240"/>
      <c r="Y1324" s="240"/>
      <c r="Z1324" s="240"/>
    </row>
    <row r="1325" ht="14.25" customHeight="1">
      <c r="A1325" s="302">
        <f t="shared" si="4"/>
        <v>47497</v>
      </c>
      <c r="B1325" s="241">
        <f t="shared" si="1"/>
        <v>2030</v>
      </c>
      <c r="C1325" s="241">
        <f t="shared" si="2"/>
        <v>1</v>
      </c>
      <c r="D1325" s="301" t="str">
        <f t="shared" si="3"/>
        <v>Monday</v>
      </c>
      <c r="E1325" s="240"/>
      <c r="F1325" s="240"/>
      <c r="G1325" s="240"/>
      <c r="H1325" s="241"/>
      <c r="I1325" s="301"/>
      <c r="J1325" s="240"/>
      <c r="K1325" s="240"/>
      <c r="L1325" s="240"/>
      <c r="M1325" s="240"/>
      <c r="N1325" s="240"/>
      <c r="O1325" s="240"/>
      <c r="P1325" s="240"/>
      <c r="Q1325" s="240"/>
      <c r="R1325" s="240"/>
      <c r="S1325" s="240"/>
      <c r="T1325" s="240"/>
      <c r="U1325" s="240"/>
      <c r="V1325" s="240"/>
      <c r="W1325" s="240"/>
      <c r="X1325" s="240"/>
      <c r="Y1325" s="240"/>
      <c r="Z1325" s="240"/>
    </row>
    <row r="1326" ht="14.25" customHeight="1">
      <c r="A1326" s="302">
        <f t="shared" si="4"/>
        <v>47498</v>
      </c>
      <c r="B1326" s="241">
        <f t="shared" si="1"/>
        <v>2030</v>
      </c>
      <c r="C1326" s="241">
        <f t="shared" si="2"/>
        <v>1</v>
      </c>
      <c r="D1326" s="301" t="str">
        <f t="shared" si="3"/>
        <v>Tuesday</v>
      </c>
      <c r="E1326" s="240"/>
      <c r="F1326" s="240"/>
      <c r="G1326" s="240"/>
      <c r="H1326" s="241"/>
      <c r="I1326" s="301"/>
      <c r="J1326" s="240"/>
      <c r="K1326" s="240"/>
      <c r="L1326" s="240"/>
      <c r="M1326" s="240"/>
      <c r="N1326" s="240"/>
      <c r="O1326" s="240"/>
      <c r="P1326" s="240"/>
      <c r="Q1326" s="240"/>
      <c r="R1326" s="240"/>
      <c r="S1326" s="240"/>
      <c r="T1326" s="240"/>
      <c r="U1326" s="240"/>
      <c r="V1326" s="240"/>
      <c r="W1326" s="240"/>
      <c r="X1326" s="240"/>
      <c r="Y1326" s="240"/>
      <c r="Z1326" s="240"/>
    </row>
    <row r="1327" ht="14.25" customHeight="1">
      <c r="A1327" s="302">
        <f t="shared" si="4"/>
        <v>47499</v>
      </c>
      <c r="B1327" s="241">
        <f t="shared" si="1"/>
        <v>2030</v>
      </c>
      <c r="C1327" s="241">
        <f t="shared" si="2"/>
        <v>1</v>
      </c>
      <c r="D1327" s="301" t="str">
        <f t="shared" si="3"/>
        <v>Wednesday</v>
      </c>
      <c r="E1327" s="240"/>
      <c r="F1327" s="240"/>
      <c r="G1327" s="240"/>
      <c r="H1327" s="241"/>
      <c r="I1327" s="301"/>
      <c r="J1327" s="240"/>
      <c r="K1327" s="240"/>
      <c r="L1327" s="240"/>
      <c r="M1327" s="240"/>
      <c r="N1327" s="240"/>
      <c r="O1327" s="240"/>
      <c r="P1327" s="240"/>
      <c r="Q1327" s="240"/>
      <c r="R1327" s="240"/>
      <c r="S1327" s="240"/>
      <c r="T1327" s="240"/>
      <c r="U1327" s="240"/>
      <c r="V1327" s="240"/>
      <c r="W1327" s="240"/>
      <c r="X1327" s="240"/>
      <c r="Y1327" s="240"/>
      <c r="Z1327" s="240"/>
    </row>
    <row r="1328" ht="14.25" customHeight="1">
      <c r="A1328" s="302">
        <f t="shared" si="4"/>
        <v>47500</v>
      </c>
      <c r="B1328" s="241">
        <f t="shared" si="1"/>
        <v>2030</v>
      </c>
      <c r="C1328" s="241">
        <f t="shared" si="2"/>
        <v>1</v>
      </c>
      <c r="D1328" s="301" t="str">
        <f t="shared" si="3"/>
        <v>Thursday</v>
      </c>
      <c r="E1328" s="240"/>
      <c r="F1328" s="240"/>
      <c r="G1328" s="240"/>
      <c r="H1328" s="241"/>
      <c r="I1328" s="301"/>
      <c r="J1328" s="240"/>
      <c r="K1328" s="240"/>
      <c r="L1328" s="240"/>
      <c r="M1328" s="240"/>
      <c r="N1328" s="240"/>
      <c r="O1328" s="240"/>
      <c r="P1328" s="240"/>
      <c r="Q1328" s="240"/>
      <c r="R1328" s="240"/>
      <c r="S1328" s="240"/>
      <c r="T1328" s="240"/>
      <c r="U1328" s="240"/>
      <c r="V1328" s="240"/>
      <c r="W1328" s="240"/>
      <c r="X1328" s="240"/>
      <c r="Y1328" s="240"/>
      <c r="Z1328" s="240"/>
    </row>
    <row r="1329" ht="14.25" customHeight="1">
      <c r="A1329" s="302">
        <f t="shared" si="4"/>
        <v>47501</v>
      </c>
      <c r="B1329" s="241">
        <f t="shared" si="1"/>
        <v>2030</v>
      </c>
      <c r="C1329" s="241">
        <f t="shared" si="2"/>
        <v>1</v>
      </c>
      <c r="D1329" s="301" t="str">
        <f t="shared" si="3"/>
        <v>Friday</v>
      </c>
      <c r="E1329" s="240"/>
      <c r="F1329" s="240"/>
      <c r="G1329" s="240"/>
      <c r="H1329" s="241"/>
      <c r="I1329" s="301"/>
      <c r="J1329" s="240"/>
      <c r="K1329" s="240"/>
      <c r="L1329" s="240"/>
      <c r="M1329" s="240"/>
      <c r="N1329" s="240"/>
      <c r="O1329" s="240"/>
      <c r="P1329" s="240"/>
      <c r="Q1329" s="240"/>
      <c r="R1329" s="240"/>
      <c r="S1329" s="240"/>
      <c r="T1329" s="240"/>
      <c r="U1329" s="240"/>
      <c r="V1329" s="240"/>
      <c r="W1329" s="240"/>
      <c r="X1329" s="240"/>
      <c r="Y1329" s="240"/>
      <c r="Z1329" s="240"/>
    </row>
    <row r="1330" ht="14.25" customHeight="1">
      <c r="A1330" s="302">
        <f t="shared" si="4"/>
        <v>47502</v>
      </c>
      <c r="B1330" s="241">
        <f t="shared" si="1"/>
        <v>2030</v>
      </c>
      <c r="C1330" s="241">
        <f t="shared" si="2"/>
        <v>1</v>
      </c>
      <c r="D1330" s="301" t="str">
        <f t="shared" si="3"/>
        <v>Saturday</v>
      </c>
      <c r="E1330" s="240"/>
      <c r="F1330" s="240"/>
      <c r="G1330" s="240"/>
      <c r="H1330" s="241"/>
      <c r="I1330" s="301"/>
      <c r="J1330" s="240"/>
      <c r="K1330" s="240"/>
      <c r="L1330" s="240"/>
      <c r="M1330" s="240"/>
      <c r="N1330" s="240"/>
      <c r="O1330" s="240"/>
      <c r="P1330" s="240"/>
      <c r="Q1330" s="240"/>
      <c r="R1330" s="240"/>
      <c r="S1330" s="240"/>
      <c r="T1330" s="240"/>
      <c r="U1330" s="240"/>
      <c r="V1330" s="240"/>
      <c r="W1330" s="240"/>
      <c r="X1330" s="240"/>
      <c r="Y1330" s="240"/>
      <c r="Z1330" s="240"/>
    </row>
    <row r="1331" ht="14.25" customHeight="1">
      <c r="A1331" s="302">
        <f t="shared" si="4"/>
        <v>47503</v>
      </c>
      <c r="B1331" s="241">
        <f t="shared" si="1"/>
        <v>2030</v>
      </c>
      <c r="C1331" s="241">
        <f t="shared" si="2"/>
        <v>1</v>
      </c>
      <c r="D1331" s="301" t="str">
        <f t="shared" si="3"/>
        <v>Sunday</v>
      </c>
      <c r="E1331" s="240"/>
      <c r="F1331" s="240"/>
      <c r="G1331" s="240"/>
      <c r="H1331" s="241"/>
      <c r="I1331" s="301"/>
      <c r="J1331" s="240"/>
      <c r="K1331" s="240"/>
      <c r="L1331" s="240"/>
      <c r="M1331" s="240"/>
      <c r="N1331" s="240"/>
      <c r="O1331" s="240"/>
      <c r="P1331" s="240"/>
      <c r="Q1331" s="240"/>
      <c r="R1331" s="240"/>
      <c r="S1331" s="240"/>
      <c r="T1331" s="240"/>
      <c r="U1331" s="240"/>
      <c r="V1331" s="240"/>
      <c r="W1331" s="240"/>
      <c r="X1331" s="240"/>
      <c r="Y1331" s="240"/>
      <c r="Z1331" s="240"/>
    </row>
    <row r="1332" ht="14.25" customHeight="1">
      <c r="A1332" s="302">
        <f t="shared" si="4"/>
        <v>47504</v>
      </c>
      <c r="B1332" s="241">
        <f t="shared" si="1"/>
        <v>2030</v>
      </c>
      <c r="C1332" s="241">
        <f t="shared" si="2"/>
        <v>1</v>
      </c>
      <c r="D1332" s="301" t="str">
        <f t="shared" si="3"/>
        <v>Monday</v>
      </c>
      <c r="E1332" s="240"/>
      <c r="F1332" s="240"/>
      <c r="G1332" s="240"/>
      <c r="H1332" s="241"/>
      <c r="I1332" s="301"/>
      <c r="J1332" s="240"/>
      <c r="K1332" s="240"/>
      <c r="L1332" s="240"/>
      <c r="M1332" s="240"/>
      <c r="N1332" s="240"/>
      <c r="O1332" s="240"/>
      <c r="P1332" s="240"/>
      <c r="Q1332" s="240"/>
      <c r="R1332" s="240"/>
      <c r="S1332" s="240"/>
      <c r="T1332" s="240"/>
      <c r="U1332" s="240"/>
      <c r="V1332" s="240"/>
      <c r="W1332" s="240"/>
      <c r="X1332" s="240"/>
      <c r="Y1332" s="240"/>
      <c r="Z1332" s="240"/>
    </row>
    <row r="1333" ht="14.25" customHeight="1">
      <c r="A1333" s="302">
        <f t="shared" si="4"/>
        <v>47505</v>
      </c>
      <c r="B1333" s="241">
        <f t="shared" si="1"/>
        <v>2030</v>
      </c>
      <c r="C1333" s="241">
        <f t="shared" si="2"/>
        <v>1</v>
      </c>
      <c r="D1333" s="301" t="str">
        <f t="shared" si="3"/>
        <v>Tuesday</v>
      </c>
      <c r="E1333" s="240"/>
      <c r="F1333" s="240"/>
      <c r="G1333" s="240"/>
      <c r="H1333" s="241"/>
      <c r="I1333" s="301"/>
      <c r="J1333" s="240"/>
      <c r="K1333" s="240"/>
      <c r="L1333" s="240"/>
      <c r="M1333" s="240"/>
      <c r="N1333" s="240"/>
      <c r="O1333" s="240"/>
      <c r="P1333" s="240"/>
      <c r="Q1333" s="240"/>
      <c r="R1333" s="240"/>
      <c r="S1333" s="240"/>
      <c r="T1333" s="240"/>
      <c r="U1333" s="240"/>
      <c r="V1333" s="240"/>
      <c r="W1333" s="240"/>
      <c r="X1333" s="240"/>
      <c r="Y1333" s="240"/>
      <c r="Z1333" s="240"/>
    </row>
    <row r="1334" ht="14.25" customHeight="1">
      <c r="A1334" s="302">
        <f t="shared" si="4"/>
        <v>47506</v>
      </c>
      <c r="B1334" s="241">
        <f t="shared" si="1"/>
        <v>2030</v>
      </c>
      <c r="C1334" s="241">
        <f t="shared" si="2"/>
        <v>1</v>
      </c>
      <c r="D1334" s="301" t="str">
        <f t="shared" si="3"/>
        <v>Wednesday</v>
      </c>
      <c r="E1334" s="240"/>
      <c r="F1334" s="240"/>
      <c r="G1334" s="240"/>
      <c r="H1334" s="241"/>
      <c r="I1334" s="301"/>
      <c r="J1334" s="240"/>
      <c r="K1334" s="240"/>
      <c r="L1334" s="240"/>
      <c r="M1334" s="240"/>
      <c r="N1334" s="240"/>
      <c r="O1334" s="240"/>
      <c r="P1334" s="240"/>
      <c r="Q1334" s="240"/>
      <c r="R1334" s="240"/>
      <c r="S1334" s="240"/>
      <c r="T1334" s="240"/>
      <c r="U1334" s="240"/>
      <c r="V1334" s="240"/>
      <c r="W1334" s="240"/>
      <c r="X1334" s="240"/>
      <c r="Y1334" s="240"/>
      <c r="Z1334" s="240"/>
    </row>
    <row r="1335" ht="14.25" customHeight="1">
      <c r="A1335" s="302">
        <f t="shared" si="4"/>
        <v>47507</v>
      </c>
      <c r="B1335" s="241">
        <f t="shared" si="1"/>
        <v>2030</v>
      </c>
      <c r="C1335" s="241">
        <f t="shared" si="2"/>
        <v>1</v>
      </c>
      <c r="D1335" s="301" t="str">
        <f t="shared" si="3"/>
        <v>Thursday</v>
      </c>
      <c r="E1335" s="240"/>
      <c r="F1335" s="240"/>
      <c r="G1335" s="240"/>
      <c r="H1335" s="241"/>
      <c r="I1335" s="301"/>
      <c r="J1335" s="240"/>
      <c r="K1335" s="240"/>
      <c r="L1335" s="240"/>
      <c r="M1335" s="240"/>
      <c r="N1335" s="240"/>
      <c r="O1335" s="240"/>
      <c r="P1335" s="240"/>
      <c r="Q1335" s="240"/>
      <c r="R1335" s="240"/>
      <c r="S1335" s="240"/>
      <c r="T1335" s="240"/>
      <c r="U1335" s="240"/>
      <c r="V1335" s="240"/>
      <c r="W1335" s="240"/>
      <c r="X1335" s="240"/>
      <c r="Y1335" s="240"/>
      <c r="Z1335" s="240"/>
    </row>
    <row r="1336" ht="14.25" customHeight="1">
      <c r="A1336" s="302">
        <f t="shared" si="4"/>
        <v>47508</v>
      </c>
      <c r="B1336" s="241">
        <f t="shared" si="1"/>
        <v>2030</v>
      </c>
      <c r="C1336" s="241">
        <f t="shared" si="2"/>
        <v>1</v>
      </c>
      <c r="D1336" s="301" t="str">
        <f t="shared" si="3"/>
        <v>Friday</v>
      </c>
      <c r="E1336" s="240"/>
      <c r="F1336" s="240"/>
      <c r="G1336" s="240"/>
      <c r="H1336" s="241"/>
      <c r="I1336" s="301"/>
      <c r="J1336" s="240"/>
      <c r="K1336" s="240"/>
      <c r="L1336" s="240"/>
      <c r="M1336" s="240"/>
      <c r="N1336" s="240"/>
      <c r="O1336" s="240"/>
      <c r="P1336" s="240"/>
      <c r="Q1336" s="240"/>
      <c r="R1336" s="240"/>
      <c r="S1336" s="240"/>
      <c r="T1336" s="240"/>
      <c r="U1336" s="240"/>
      <c r="V1336" s="240"/>
      <c r="W1336" s="240"/>
      <c r="X1336" s="240"/>
      <c r="Y1336" s="240"/>
      <c r="Z1336" s="240"/>
    </row>
    <row r="1337" ht="14.25" customHeight="1">
      <c r="A1337" s="302">
        <f t="shared" si="4"/>
        <v>47509</v>
      </c>
      <c r="B1337" s="241">
        <f t="shared" si="1"/>
        <v>2030</v>
      </c>
      <c r="C1337" s="241">
        <f t="shared" si="2"/>
        <v>1</v>
      </c>
      <c r="D1337" s="301" t="str">
        <f t="shared" si="3"/>
        <v>Saturday</v>
      </c>
      <c r="E1337" s="240"/>
      <c r="F1337" s="240"/>
      <c r="G1337" s="240"/>
      <c r="H1337" s="241"/>
      <c r="I1337" s="301"/>
      <c r="J1337" s="240"/>
      <c r="K1337" s="240"/>
      <c r="L1337" s="240"/>
      <c r="M1337" s="240"/>
      <c r="N1337" s="240"/>
      <c r="O1337" s="240"/>
      <c r="P1337" s="240"/>
      <c r="Q1337" s="240"/>
      <c r="R1337" s="240"/>
      <c r="S1337" s="240"/>
      <c r="T1337" s="240"/>
      <c r="U1337" s="240"/>
      <c r="V1337" s="240"/>
      <c r="W1337" s="240"/>
      <c r="X1337" s="240"/>
      <c r="Y1337" s="240"/>
      <c r="Z1337" s="240"/>
    </row>
    <row r="1338" ht="14.25" customHeight="1">
      <c r="A1338" s="302">
        <f t="shared" si="4"/>
        <v>47510</v>
      </c>
      <c r="B1338" s="241">
        <f t="shared" si="1"/>
        <v>2030</v>
      </c>
      <c r="C1338" s="241">
        <f t="shared" si="2"/>
        <v>1</v>
      </c>
      <c r="D1338" s="301" t="str">
        <f t="shared" si="3"/>
        <v>Sunday</v>
      </c>
      <c r="E1338" s="240"/>
      <c r="F1338" s="240"/>
      <c r="G1338" s="240"/>
      <c r="H1338" s="241"/>
      <c r="I1338" s="301"/>
      <c r="J1338" s="240"/>
      <c r="K1338" s="240"/>
      <c r="L1338" s="240"/>
      <c r="M1338" s="240"/>
      <c r="N1338" s="240"/>
      <c r="O1338" s="240"/>
      <c r="P1338" s="240"/>
      <c r="Q1338" s="240"/>
      <c r="R1338" s="240"/>
      <c r="S1338" s="240"/>
      <c r="T1338" s="240"/>
      <c r="U1338" s="240"/>
      <c r="V1338" s="240"/>
      <c r="W1338" s="240"/>
      <c r="X1338" s="240"/>
      <c r="Y1338" s="240"/>
      <c r="Z1338" s="240"/>
    </row>
    <row r="1339" ht="14.25" customHeight="1">
      <c r="A1339" s="302">
        <f t="shared" si="4"/>
        <v>47511</v>
      </c>
      <c r="B1339" s="241">
        <f t="shared" si="1"/>
        <v>2030</v>
      </c>
      <c r="C1339" s="241">
        <f t="shared" si="2"/>
        <v>1</v>
      </c>
      <c r="D1339" s="301" t="str">
        <f t="shared" si="3"/>
        <v>Monday</v>
      </c>
      <c r="E1339" s="240"/>
      <c r="F1339" s="240"/>
      <c r="G1339" s="240"/>
      <c r="H1339" s="241"/>
      <c r="I1339" s="301"/>
      <c r="J1339" s="240"/>
      <c r="K1339" s="240"/>
      <c r="L1339" s="240"/>
      <c r="M1339" s="240"/>
      <c r="N1339" s="240"/>
      <c r="O1339" s="240"/>
      <c r="P1339" s="240"/>
      <c r="Q1339" s="240"/>
      <c r="R1339" s="240"/>
      <c r="S1339" s="240"/>
      <c r="T1339" s="240"/>
      <c r="U1339" s="240"/>
      <c r="V1339" s="240"/>
      <c r="W1339" s="240"/>
      <c r="X1339" s="240"/>
      <c r="Y1339" s="240"/>
      <c r="Z1339" s="240"/>
    </row>
    <row r="1340" ht="14.25" customHeight="1">
      <c r="A1340" s="302">
        <f t="shared" si="4"/>
        <v>47512</v>
      </c>
      <c r="B1340" s="241">
        <f t="shared" si="1"/>
        <v>2030</v>
      </c>
      <c r="C1340" s="241">
        <f t="shared" si="2"/>
        <v>1</v>
      </c>
      <c r="D1340" s="301" t="str">
        <f t="shared" si="3"/>
        <v>Tuesday</v>
      </c>
      <c r="E1340" s="240"/>
      <c r="F1340" s="240"/>
      <c r="G1340" s="240"/>
      <c r="H1340" s="241"/>
      <c r="I1340" s="301"/>
      <c r="J1340" s="240"/>
      <c r="K1340" s="240"/>
      <c r="L1340" s="240"/>
      <c r="M1340" s="240"/>
      <c r="N1340" s="240"/>
      <c r="O1340" s="240"/>
      <c r="P1340" s="240"/>
      <c r="Q1340" s="240"/>
      <c r="R1340" s="240"/>
      <c r="S1340" s="240"/>
      <c r="T1340" s="240"/>
      <c r="U1340" s="240"/>
      <c r="V1340" s="240"/>
      <c r="W1340" s="240"/>
      <c r="X1340" s="240"/>
      <c r="Y1340" s="240"/>
      <c r="Z1340" s="240"/>
    </row>
    <row r="1341" ht="14.25" customHeight="1">
      <c r="A1341" s="302">
        <f t="shared" si="4"/>
        <v>47513</v>
      </c>
      <c r="B1341" s="241">
        <f t="shared" si="1"/>
        <v>2030</v>
      </c>
      <c r="C1341" s="241">
        <f t="shared" si="2"/>
        <v>1</v>
      </c>
      <c r="D1341" s="301" t="str">
        <f t="shared" si="3"/>
        <v>Wednesday</v>
      </c>
      <c r="E1341" s="240"/>
      <c r="F1341" s="240"/>
      <c r="G1341" s="240"/>
      <c r="H1341" s="241"/>
      <c r="I1341" s="301"/>
      <c r="J1341" s="240"/>
      <c r="K1341" s="240"/>
      <c r="L1341" s="240"/>
      <c r="M1341" s="240"/>
      <c r="N1341" s="240"/>
      <c r="O1341" s="240"/>
      <c r="P1341" s="240"/>
      <c r="Q1341" s="240"/>
      <c r="R1341" s="240"/>
      <c r="S1341" s="240"/>
      <c r="T1341" s="240"/>
      <c r="U1341" s="240"/>
      <c r="V1341" s="240"/>
      <c r="W1341" s="240"/>
      <c r="X1341" s="240"/>
      <c r="Y1341" s="240"/>
      <c r="Z1341" s="240"/>
    </row>
    <row r="1342" ht="14.25" customHeight="1">
      <c r="A1342" s="302">
        <f t="shared" si="4"/>
        <v>47514</v>
      </c>
      <c r="B1342" s="241">
        <f t="shared" si="1"/>
        <v>2030</v>
      </c>
      <c r="C1342" s="241">
        <f t="shared" si="2"/>
        <v>1</v>
      </c>
      <c r="D1342" s="301" t="str">
        <f t="shared" si="3"/>
        <v>Thursday</v>
      </c>
      <c r="E1342" s="240"/>
      <c r="F1342" s="240"/>
      <c r="G1342" s="240"/>
      <c r="H1342" s="241"/>
      <c r="I1342" s="301"/>
      <c r="J1342" s="240"/>
      <c r="K1342" s="240"/>
      <c r="L1342" s="240"/>
      <c r="M1342" s="240"/>
      <c r="N1342" s="240"/>
      <c r="O1342" s="240"/>
      <c r="P1342" s="240"/>
      <c r="Q1342" s="240"/>
      <c r="R1342" s="240"/>
      <c r="S1342" s="240"/>
      <c r="T1342" s="240"/>
      <c r="U1342" s="240"/>
      <c r="V1342" s="240"/>
      <c r="W1342" s="240"/>
      <c r="X1342" s="240"/>
      <c r="Y1342" s="240"/>
      <c r="Z1342" s="240"/>
    </row>
    <row r="1343" ht="14.25" customHeight="1">
      <c r="A1343" s="302">
        <f t="shared" si="4"/>
        <v>47515</v>
      </c>
      <c r="B1343" s="241">
        <f t="shared" si="1"/>
        <v>2030</v>
      </c>
      <c r="C1343" s="241">
        <f t="shared" si="2"/>
        <v>2</v>
      </c>
      <c r="D1343" s="301" t="str">
        <f t="shared" si="3"/>
        <v>Friday</v>
      </c>
      <c r="E1343" s="240"/>
      <c r="F1343" s="240"/>
      <c r="G1343" s="240"/>
      <c r="H1343" s="241"/>
      <c r="I1343" s="301"/>
      <c r="J1343" s="240"/>
      <c r="K1343" s="240"/>
      <c r="L1343" s="240"/>
      <c r="M1343" s="240"/>
      <c r="N1343" s="240"/>
      <c r="O1343" s="240"/>
      <c r="P1343" s="240"/>
      <c r="Q1343" s="240"/>
      <c r="R1343" s="240"/>
      <c r="S1343" s="240"/>
      <c r="T1343" s="240"/>
      <c r="U1343" s="240"/>
      <c r="V1343" s="240"/>
      <c r="W1343" s="240"/>
      <c r="X1343" s="240"/>
      <c r="Y1343" s="240"/>
      <c r="Z1343" s="240"/>
    </row>
    <row r="1344" ht="14.25" customHeight="1">
      <c r="A1344" s="302">
        <f t="shared" si="4"/>
        <v>47516</v>
      </c>
      <c r="B1344" s="241">
        <f t="shared" si="1"/>
        <v>2030</v>
      </c>
      <c r="C1344" s="241">
        <f t="shared" si="2"/>
        <v>2</v>
      </c>
      <c r="D1344" s="301" t="str">
        <f t="shared" si="3"/>
        <v>Saturday</v>
      </c>
      <c r="E1344" s="240"/>
      <c r="F1344" s="240"/>
      <c r="G1344" s="240"/>
      <c r="H1344" s="241"/>
      <c r="I1344" s="301"/>
      <c r="J1344" s="240"/>
      <c r="K1344" s="240"/>
      <c r="L1344" s="240"/>
      <c r="M1344" s="240"/>
      <c r="N1344" s="240"/>
      <c r="O1344" s="240"/>
      <c r="P1344" s="240"/>
      <c r="Q1344" s="240"/>
      <c r="R1344" s="240"/>
      <c r="S1344" s="240"/>
      <c r="T1344" s="240"/>
      <c r="U1344" s="240"/>
      <c r="V1344" s="240"/>
      <c r="W1344" s="240"/>
      <c r="X1344" s="240"/>
      <c r="Y1344" s="240"/>
      <c r="Z1344" s="240"/>
    </row>
    <row r="1345" ht="14.25" customHeight="1">
      <c r="A1345" s="302">
        <f t="shared" si="4"/>
        <v>47517</v>
      </c>
      <c r="B1345" s="241">
        <f t="shared" si="1"/>
        <v>2030</v>
      </c>
      <c r="C1345" s="241">
        <f t="shared" si="2"/>
        <v>2</v>
      </c>
      <c r="D1345" s="301" t="str">
        <f t="shared" si="3"/>
        <v>Sunday</v>
      </c>
      <c r="E1345" s="240"/>
      <c r="F1345" s="240"/>
      <c r="G1345" s="240"/>
      <c r="H1345" s="241"/>
      <c r="I1345" s="301"/>
      <c r="J1345" s="240"/>
      <c r="K1345" s="240"/>
      <c r="L1345" s="240"/>
      <c r="M1345" s="240"/>
      <c r="N1345" s="240"/>
      <c r="O1345" s="240"/>
      <c r="P1345" s="240"/>
      <c r="Q1345" s="240"/>
      <c r="R1345" s="240"/>
      <c r="S1345" s="240"/>
      <c r="T1345" s="240"/>
      <c r="U1345" s="240"/>
      <c r="V1345" s="240"/>
      <c r="W1345" s="240"/>
      <c r="X1345" s="240"/>
      <c r="Y1345" s="240"/>
      <c r="Z1345" s="240"/>
    </row>
    <row r="1346" ht="14.25" customHeight="1">
      <c r="A1346" s="302">
        <f t="shared" si="4"/>
        <v>47518</v>
      </c>
      <c r="B1346" s="241">
        <f t="shared" si="1"/>
        <v>2030</v>
      </c>
      <c r="C1346" s="241">
        <f t="shared" si="2"/>
        <v>2</v>
      </c>
      <c r="D1346" s="301" t="str">
        <f t="shared" si="3"/>
        <v>Monday</v>
      </c>
      <c r="E1346" s="240"/>
      <c r="F1346" s="240"/>
      <c r="G1346" s="240"/>
      <c r="H1346" s="241"/>
      <c r="I1346" s="301"/>
      <c r="J1346" s="240"/>
      <c r="K1346" s="240"/>
      <c r="L1346" s="240"/>
      <c r="M1346" s="240"/>
      <c r="N1346" s="240"/>
      <c r="O1346" s="240"/>
      <c r="P1346" s="240"/>
      <c r="Q1346" s="240"/>
      <c r="R1346" s="240"/>
      <c r="S1346" s="240"/>
      <c r="T1346" s="240"/>
      <c r="U1346" s="240"/>
      <c r="V1346" s="240"/>
      <c r="W1346" s="240"/>
      <c r="X1346" s="240"/>
      <c r="Y1346" s="240"/>
      <c r="Z1346" s="240"/>
    </row>
    <row r="1347" ht="14.25" customHeight="1">
      <c r="A1347" s="302">
        <f t="shared" si="4"/>
        <v>47519</v>
      </c>
      <c r="B1347" s="241">
        <f t="shared" si="1"/>
        <v>2030</v>
      </c>
      <c r="C1347" s="241">
        <f t="shared" si="2"/>
        <v>2</v>
      </c>
      <c r="D1347" s="301" t="str">
        <f t="shared" si="3"/>
        <v>Tuesday</v>
      </c>
      <c r="E1347" s="240"/>
      <c r="F1347" s="240"/>
      <c r="G1347" s="240"/>
      <c r="H1347" s="241"/>
      <c r="I1347" s="301"/>
      <c r="J1347" s="240"/>
      <c r="K1347" s="240"/>
      <c r="L1347" s="240"/>
      <c r="M1347" s="240"/>
      <c r="N1347" s="240"/>
      <c r="O1347" s="240"/>
      <c r="P1347" s="240"/>
      <c r="Q1347" s="240"/>
      <c r="R1347" s="240"/>
      <c r="S1347" s="240"/>
      <c r="T1347" s="240"/>
      <c r="U1347" s="240"/>
      <c r="V1347" s="240"/>
      <c r="W1347" s="240"/>
      <c r="X1347" s="240"/>
      <c r="Y1347" s="240"/>
      <c r="Z1347" s="240"/>
    </row>
    <row r="1348" ht="14.25" customHeight="1">
      <c r="A1348" s="302">
        <f t="shared" si="4"/>
        <v>47520</v>
      </c>
      <c r="B1348" s="241">
        <f t="shared" si="1"/>
        <v>2030</v>
      </c>
      <c r="C1348" s="241">
        <f t="shared" si="2"/>
        <v>2</v>
      </c>
      <c r="D1348" s="301" t="str">
        <f t="shared" si="3"/>
        <v>Wednesday</v>
      </c>
      <c r="E1348" s="240"/>
      <c r="F1348" s="240"/>
      <c r="G1348" s="240"/>
      <c r="H1348" s="241"/>
      <c r="I1348" s="301"/>
      <c r="J1348" s="240"/>
      <c r="K1348" s="240"/>
      <c r="L1348" s="240"/>
      <c r="M1348" s="240"/>
      <c r="N1348" s="240"/>
      <c r="O1348" s="240"/>
      <c r="P1348" s="240"/>
      <c r="Q1348" s="240"/>
      <c r="R1348" s="240"/>
      <c r="S1348" s="240"/>
      <c r="T1348" s="240"/>
      <c r="U1348" s="240"/>
      <c r="V1348" s="240"/>
      <c r="W1348" s="240"/>
      <c r="X1348" s="240"/>
      <c r="Y1348" s="240"/>
      <c r="Z1348" s="240"/>
    </row>
    <row r="1349" ht="14.25" customHeight="1">
      <c r="A1349" s="302">
        <f t="shared" si="4"/>
        <v>47521</v>
      </c>
      <c r="B1349" s="241">
        <f t="shared" si="1"/>
        <v>2030</v>
      </c>
      <c r="C1349" s="241">
        <f t="shared" si="2"/>
        <v>2</v>
      </c>
      <c r="D1349" s="301" t="str">
        <f t="shared" si="3"/>
        <v>Thursday</v>
      </c>
      <c r="E1349" s="240"/>
      <c r="F1349" s="240"/>
      <c r="G1349" s="240"/>
      <c r="H1349" s="241"/>
      <c r="I1349" s="301"/>
      <c r="J1349" s="240"/>
      <c r="K1349" s="240"/>
      <c r="L1349" s="240"/>
      <c r="M1349" s="240"/>
      <c r="N1349" s="240"/>
      <c r="O1349" s="240"/>
      <c r="P1349" s="240"/>
      <c r="Q1349" s="240"/>
      <c r="R1349" s="240"/>
      <c r="S1349" s="240"/>
      <c r="T1349" s="240"/>
      <c r="U1349" s="240"/>
      <c r="V1349" s="240"/>
      <c r="W1349" s="240"/>
      <c r="X1349" s="240"/>
      <c r="Y1349" s="240"/>
      <c r="Z1349" s="240"/>
    </row>
    <row r="1350" ht="14.25" customHeight="1">
      <c r="A1350" s="302">
        <f t="shared" si="4"/>
        <v>47522</v>
      </c>
      <c r="B1350" s="241">
        <f t="shared" si="1"/>
        <v>2030</v>
      </c>
      <c r="C1350" s="241">
        <f t="shared" si="2"/>
        <v>2</v>
      </c>
      <c r="D1350" s="301" t="str">
        <f t="shared" si="3"/>
        <v>Friday</v>
      </c>
      <c r="E1350" s="240"/>
      <c r="F1350" s="240"/>
      <c r="G1350" s="240"/>
      <c r="H1350" s="241"/>
      <c r="I1350" s="301"/>
      <c r="J1350" s="240"/>
      <c r="K1350" s="240"/>
      <c r="L1350" s="240"/>
      <c r="M1350" s="240"/>
      <c r="N1350" s="240"/>
      <c r="O1350" s="240"/>
      <c r="P1350" s="240"/>
      <c r="Q1350" s="240"/>
      <c r="R1350" s="240"/>
      <c r="S1350" s="240"/>
      <c r="T1350" s="240"/>
      <c r="U1350" s="240"/>
      <c r="V1350" s="240"/>
      <c r="W1350" s="240"/>
      <c r="X1350" s="240"/>
      <c r="Y1350" s="240"/>
      <c r="Z1350" s="240"/>
    </row>
    <row r="1351" ht="14.25" customHeight="1">
      <c r="A1351" s="302">
        <f t="shared" si="4"/>
        <v>47523</v>
      </c>
      <c r="B1351" s="241">
        <f t="shared" si="1"/>
        <v>2030</v>
      </c>
      <c r="C1351" s="241">
        <f t="shared" si="2"/>
        <v>2</v>
      </c>
      <c r="D1351" s="301" t="str">
        <f t="shared" si="3"/>
        <v>Saturday</v>
      </c>
      <c r="E1351" s="240"/>
      <c r="F1351" s="240"/>
      <c r="G1351" s="240"/>
      <c r="H1351" s="241"/>
      <c r="I1351" s="301"/>
      <c r="J1351" s="240"/>
      <c r="K1351" s="240"/>
      <c r="L1351" s="240"/>
      <c r="M1351" s="240"/>
      <c r="N1351" s="240"/>
      <c r="O1351" s="240"/>
      <c r="P1351" s="240"/>
      <c r="Q1351" s="240"/>
      <c r="R1351" s="240"/>
      <c r="S1351" s="240"/>
      <c r="T1351" s="240"/>
      <c r="U1351" s="240"/>
      <c r="V1351" s="240"/>
      <c r="W1351" s="240"/>
      <c r="X1351" s="240"/>
      <c r="Y1351" s="240"/>
      <c r="Z1351" s="240"/>
    </row>
    <row r="1352" ht="14.25" customHeight="1">
      <c r="A1352" s="302">
        <f t="shared" si="4"/>
        <v>47524</v>
      </c>
      <c r="B1352" s="241">
        <f t="shared" si="1"/>
        <v>2030</v>
      </c>
      <c r="C1352" s="241">
        <f t="shared" si="2"/>
        <v>2</v>
      </c>
      <c r="D1352" s="301" t="str">
        <f t="shared" si="3"/>
        <v>Sunday</v>
      </c>
      <c r="E1352" s="240"/>
      <c r="F1352" s="240"/>
      <c r="G1352" s="240"/>
      <c r="H1352" s="241"/>
      <c r="I1352" s="301"/>
      <c r="J1352" s="240"/>
      <c r="K1352" s="240"/>
      <c r="L1352" s="240"/>
      <c r="M1352" s="240"/>
      <c r="N1352" s="240"/>
      <c r="O1352" s="240"/>
      <c r="P1352" s="240"/>
      <c r="Q1352" s="240"/>
      <c r="R1352" s="240"/>
      <c r="S1352" s="240"/>
      <c r="T1352" s="240"/>
      <c r="U1352" s="240"/>
      <c r="V1352" s="240"/>
      <c r="W1352" s="240"/>
      <c r="X1352" s="240"/>
      <c r="Y1352" s="240"/>
      <c r="Z1352" s="240"/>
    </row>
    <row r="1353" ht="14.25" customHeight="1">
      <c r="A1353" s="302">
        <f t="shared" si="4"/>
        <v>47525</v>
      </c>
      <c r="B1353" s="241">
        <f t="shared" si="1"/>
        <v>2030</v>
      </c>
      <c r="C1353" s="241">
        <f t="shared" si="2"/>
        <v>2</v>
      </c>
      <c r="D1353" s="301" t="str">
        <f t="shared" si="3"/>
        <v>Monday</v>
      </c>
      <c r="E1353" s="240"/>
      <c r="F1353" s="240"/>
      <c r="G1353" s="240"/>
      <c r="H1353" s="241"/>
      <c r="I1353" s="301"/>
      <c r="J1353" s="240"/>
      <c r="K1353" s="240"/>
      <c r="L1353" s="240"/>
      <c r="M1353" s="240"/>
      <c r="N1353" s="240"/>
      <c r="O1353" s="240"/>
      <c r="P1353" s="240"/>
      <c r="Q1353" s="240"/>
      <c r="R1353" s="240"/>
      <c r="S1353" s="240"/>
      <c r="T1353" s="240"/>
      <c r="U1353" s="240"/>
      <c r="V1353" s="240"/>
      <c r="W1353" s="240"/>
      <c r="X1353" s="240"/>
      <c r="Y1353" s="240"/>
      <c r="Z1353" s="240"/>
    </row>
    <row r="1354" ht="14.25" customHeight="1">
      <c r="A1354" s="302">
        <f t="shared" si="4"/>
        <v>47526</v>
      </c>
      <c r="B1354" s="241">
        <f t="shared" si="1"/>
        <v>2030</v>
      </c>
      <c r="C1354" s="241">
        <f t="shared" si="2"/>
        <v>2</v>
      </c>
      <c r="D1354" s="301" t="str">
        <f t="shared" si="3"/>
        <v>Tuesday</v>
      </c>
      <c r="E1354" s="240"/>
      <c r="F1354" s="240"/>
      <c r="G1354" s="240"/>
      <c r="H1354" s="241"/>
      <c r="I1354" s="301"/>
      <c r="J1354" s="240"/>
      <c r="K1354" s="240"/>
      <c r="L1354" s="240"/>
      <c r="M1354" s="240"/>
      <c r="N1354" s="240"/>
      <c r="O1354" s="240"/>
      <c r="P1354" s="240"/>
      <c r="Q1354" s="240"/>
      <c r="R1354" s="240"/>
      <c r="S1354" s="240"/>
      <c r="T1354" s="240"/>
      <c r="U1354" s="240"/>
      <c r="V1354" s="240"/>
      <c r="W1354" s="240"/>
      <c r="X1354" s="240"/>
      <c r="Y1354" s="240"/>
      <c r="Z1354" s="240"/>
    </row>
    <row r="1355" ht="14.25" customHeight="1">
      <c r="A1355" s="302">
        <f t="shared" si="4"/>
        <v>47527</v>
      </c>
      <c r="B1355" s="241">
        <f t="shared" si="1"/>
        <v>2030</v>
      </c>
      <c r="C1355" s="241">
        <f t="shared" si="2"/>
        <v>2</v>
      </c>
      <c r="D1355" s="301" t="str">
        <f t="shared" si="3"/>
        <v>Wednesday</v>
      </c>
      <c r="E1355" s="240"/>
      <c r="F1355" s="240"/>
      <c r="G1355" s="240"/>
      <c r="H1355" s="241"/>
      <c r="I1355" s="301"/>
      <c r="J1355" s="240"/>
      <c r="K1355" s="240"/>
      <c r="L1355" s="240"/>
      <c r="M1355" s="240"/>
      <c r="N1355" s="240"/>
      <c r="O1355" s="240"/>
      <c r="P1355" s="240"/>
      <c r="Q1355" s="240"/>
      <c r="R1355" s="240"/>
      <c r="S1355" s="240"/>
      <c r="T1355" s="240"/>
      <c r="U1355" s="240"/>
      <c r="V1355" s="240"/>
      <c r="W1355" s="240"/>
      <c r="X1355" s="240"/>
      <c r="Y1355" s="240"/>
      <c r="Z1355" s="240"/>
    </row>
    <row r="1356" ht="14.25" customHeight="1">
      <c r="A1356" s="302">
        <f t="shared" si="4"/>
        <v>47528</v>
      </c>
      <c r="B1356" s="241">
        <f t="shared" si="1"/>
        <v>2030</v>
      </c>
      <c r="C1356" s="241">
        <f t="shared" si="2"/>
        <v>2</v>
      </c>
      <c r="D1356" s="301" t="str">
        <f t="shared" si="3"/>
        <v>Thursday</v>
      </c>
      <c r="E1356" s="240"/>
      <c r="F1356" s="240"/>
      <c r="G1356" s="240"/>
      <c r="H1356" s="241"/>
      <c r="I1356" s="301"/>
      <c r="J1356" s="240"/>
      <c r="K1356" s="240"/>
      <c r="L1356" s="240"/>
      <c r="M1356" s="240"/>
      <c r="N1356" s="240"/>
      <c r="O1356" s="240"/>
      <c r="P1356" s="240"/>
      <c r="Q1356" s="240"/>
      <c r="R1356" s="240"/>
      <c r="S1356" s="240"/>
      <c r="T1356" s="240"/>
      <c r="U1356" s="240"/>
      <c r="V1356" s="240"/>
      <c r="W1356" s="240"/>
      <c r="X1356" s="240"/>
      <c r="Y1356" s="240"/>
      <c r="Z1356" s="240"/>
    </row>
    <row r="1357" ht="14.25" customHeight="1">
      <c r="A1357" s="302">
        <f t="shared" si="4"/>
        <v>47529</v>
      </c>
      <c r="B1357" s="241">
        <f t="shared" si="1"/>
        <v>2030</v>
      </c>
      <c r="C1357" s="241">
        <f t="shared" si="2"/>
        <v>2</v>
      </c>
      <c r="D1357" s="301" t="str">
        <f t="shared" si="3"/>
        <v>Friday</v>
      </c>
      <c r="E1357" s="240"/>
      <c r="F1357" s="240"/>
      <c r="G1357" s="240"/>
      <c r="H1357" s="241"/>
      <c r="I1357" s="301"/>
      <c r="J1357" s="240"/>
      <c r="K1357" s="240"/>
      <c r="L1357" s="240"/>
      <c r="M1357" s="240"/>
      <c r="N1357" s="240"/>
      <c r="O1357" s="240"/>
      <c r="P1357" s="240"/>
      <c r="Q1357" s="240"/>
      <c r="R1357" s="240"/>
      <c r="S1357" s="240"/>
      <c r="T1357" s="240"/>
      <c r="U1357" s="240"/>
      <c r="V1357" s="240"/>
      <c r="W1357" s="240"/>
      <c r="X1357" s="240"/>
      <c r="Y1357" s="240"/>
      <c r="Z1357" s="240"/>
    </row>
    <row r="1358" ht="14.25" customHeight="1">
      <c r="A1358" s="302">
        <f t="shared" si="4"/>
        <v>47530</v>
      </c>
      <c r="B1358" s="241">
        <f t="shared" si="1"/>
        <v>2030</v>
      </c>
      <c r="C1358" s="241">
        <f t="shared" si="2"/>
        <v>2</v>
      </c>
      <c r="D1358" s="301" t="str">
        <f t="shared" si="3"/>
        <v>Saturday</v>
      </c>
      <c r="E1358" s="240"/>
      <c r="F1358" s="240"/>
      <c r="G1358" s="240"/>
      <c r="H1358" s="241"/>
      <c r="I1358" s="301"/>
      <c r="J1358" s="240"/>
      <c r="K1358" s="240"/>
      <c r="L1358" s="240"/>
      <c r="M1358" s="240"/>
      <c r="N1358" s="240"/>
      <c r="O1358" s="240"/>
      <c r="P1358" s="240"/>
      <c r="Q1358" s="240"/>
      <c r="R1358" s="240"/>
      <c r="S1358" s="240"/>
      <c r="T1358" s="240"/>
      <c r="U1358" s="240"/>
      <c r="V1358" s="240"/>
      <c r="W1358" s="240"/>
      <c r="X1358" s="240"/>
      <c r="Y1358" s="240"/>
      <c r="Z1358" s="240"/>
    </row>
    <row r="1359" ht="14.25" customHeight="1">
      <c r="A1359" s="302">
        <f t="shared" si="4"/>
        <v>47531</v>
      </c>
      <c r="B1359" s="241">
        <f t="shared" si="1"/>
        <v>2030</v>
      </c>
      <c r="C1359" s="241">
        <f t="shared" si="2"/>
        <v>2</v>
      </c>
      <c r="D1359" s="301" t="str">
        <f t="shared" si="3"/>
        <v>Sunday</v>
      </c>
      <c r="E1359" s="240"/>
      <c r="F1359" s="240"/>
      <c r="G1359" s="240"/>
      <c r="H1359" s="241"/>
      <c r="I1359" s="301"/>
      <c r="J1359" s="240"/>
      <c r="K1359" s="240"/>
      <c r="L1359" s="240"/>
      <c r="M1359" s="240"/>
      <c r="N1359" s="240"/>
      <c r="O1359" s="240"/>
      <c r="P1359" s="240"/>
      <c r="Q1359" s="240"/>
      <c r="R1359" s="240"/>
      <c r="S1359" s="240"/>
      <c r="T1359" s="240"/>
      <c r="U1359" s="240"/>
      <c r="V1359" s="240"/>
      <c r="W1359" s="240"/>
      <c r="X1359" s="240"/>
      <c r="Y1359" s="240"/>
      <c r="Z1359" s="240"/>
    </row>
    <row r="1360" ht="14.25" customHeight="1">
      <c r="A1360" s="302">
        <f t="shared" si="4"/>
        <v>47532</v>
      </c>
      <c r="B1360" s="241">
        <f t="shared" si="1"/>
        <v>2030</v>
      </c>
      <c r="C1360" s="241">
        <f t="shared" si="2"/>
        <v>2</v>
      </c>
      <c r="D1360" s="301" t="str">
        <f t="shared" si="3"/>
        <v>Monday</v>
      </c>
      <c r="E1360" s="240"/>
      <c r="F1360" s="240"/>
      <c r="G1360" s="240"/>
      <c r="H1360" s="241"/>
      <c r="I1360" s="301"/>
      <c r="J1360" s="240"/>
      <c r="K1360" s="240"/>
      <c r="L1360" s="240"/>
      <c r="M1360" s="240"/>
      <c r="N1360" s="240"/>
      <c r="O1360" s="240"/>
      <c r="P1360" s="240"/>
      <c r="Q1360" s="240"/>
      <c r="R1360" s="240"/>
      <c r="S1360" s="240"/>
      <c r="T1360" s="240"/>
      <c r="U1360" s="240"/>
      <c r="V1360" s="240"/>
      <c r="W1360" s="240"/>
      <c r="X1360" s="240"/>
      <c r="Y1360" s="240"/>
      <c r="Z1360" s="240"/>
    </row>
    <row r="1361" ht="14.25" customHeight="1">
      <c r="A1361" s="302">
        <f t="shared" si="4"/>
        <v>47533</v>
      </c>
      <c r="B1361" s="241">
        <f t="shared" si="1"/>
        <v>2030</v>
      </c>
      <c r="C1361" s="241">
        <f t="shared" si="2"/>
        <v>2</v>
      </c>
      <c r="D1361" s="301" t="str">
        <f t="shared" si="3"/>
        <v>Tuesday</v>
      </c>
      <c r="E1361" s="240"/>
      <c r="F1361" s="240"/>
      <c r="G1361" s="240"/>
      <c r="H1361" s="241"/>
      <c r="I1361" s="301"/>
      <c r="J1361" s="240"/>
      <c r="K1361" s="240"/>
      <c r="L1361" s="240"/>
      <c r="M1361" s="240"/>
      <c r="N1361" s="240"/>
      <c r="O1361" s="240"/>
      <c r="P1361" s="240"/>
      <c r="Q1361" s="240"/>
      <c r="R1361" s="240"/>
      <c r="S1361" s="240"/>
      <c r="T1361" s="240"/>
      <c r="U1361" s="240"/>
      <c r="V1361" s="240"/>
      <c r="W1361" s="240"/>
      <c r="X1361" s="240"/>
      <c r="Y1361" s="240"/>
      <c r="Z1361" s="240"/>
    </row>
    <row r="1362" ht="14.25" customHeight="1">
      <c r="A1362" s="302">
        <f t="shared" si="4"/>
        <v>47534</v>
      </c>
      <c r="B1362" s="241">
        <f t="shared" si="1"/>
        <v>2030</v>
      </c>
      <c r="C1362" s="241">
        <f t="shared" si="2"/>
        <v>2</v>
      </c>
      <c r="D1362" s="301" t="str">
        <f t="shared" si="3"/>
        <v>Wednesday</v>
      </c>
      <c r="E1362" s="240"/>
      <c r="F1362" s="240"/>
      <c r="G1362" s="240"/>
      <c r="H1362" s="241"/>
      <c r="I1362" s="301"/>
      <c r="J1362" s="240"/>
      <c r="K1362" s="240"/>
      <c r="L1362" s="240"/>
      <c r="M1362" s="240"/>
      <c r="N1362" s="240"/>
      <c r="O1362" s="240"/>
      <c r="P1362" s="240"/>
      <c r="Q1362" s="240"/>
      <c r="R1362" s="240"/>
      <c r="S1362" s="240"/>
      <c r="T1362" s="240"/>
      <c r="U1362" s="240"/>
      <c r="V1362" s="240"/>
      <c r="W1362" s="240"/>
      <c r="X1362" s="240"/>
      <c r="Y1362" s="240"/>
      <c r="Z1362" s="240"/>
    </row>
    <row r="1363" ht="14.25" customHeight="1">
      <c r="A1363" s="302">
        <f t="shared" si="4"/>
        <v>47535</v>
      </c>
      <c r="B1363" s="241">
        <f t="shared" si="1"/>
        <v>2030</v>
      </c>
      <c r="C1363" s="241">
        <f t="shared" si="2"/>
        <v>2</v>
      </c>
      <c r="D1363" s="301" t="str">
        <f t="shared" si="3"/>
        <v>Thursday</v>
      </c>
      <c r="E1363" s="240"/>
      <c r="F1363" s="240"/>
      <c r="G1363" s="240"/>
      <c r="H1363" s="241"/>
      <c r="I1363" s="301"/>
      <c r="J1363" s="240"/>
      <c r="K1363" s="240"/>
      <c r="L1363" s="240"/>
      <c r="M1363" s="240"/>
      <c r="N1363" s="240"/>
      <c r="O1363" s="240"/>
      <c r="P1363" s="240"/>
      <c r="Q1363" s="240"/>
      <c r="R1363" s="240"/>
      <c r="S1363" s="240"/>
      <c r="T1363" s="240"/>
      <c r="U1363" s="240"/>
      <c r="V1363" s="240"/>
      <c r="W1363" s="240"/>
      <c r="X1363" s="240"/>
      <c r="Y1363" s="240"/>
      <c r="Z1363" s="240"/>
    </row>
    <row r="1364" ht="14.25" customHeight="1">
      <c r="A1364" s="302">
        <f t="shared" si="4"/>
        <v>47536</v>
      </c>
      <c r="B1364" s="241">
        <f t="shared" si="1"/>
        <v>2030</v>
      </c>
      <c r="C1364" s="241">
        <f t="shared" si="2"/>
        <v>2</v>
      </c>
      <c r="D1364" s="301" t="str">
        <f t="shared" si="3"/>
        <v>Friday</v>
      </c>
      <c r="E1364" s="240"/>
      <c r="F1364" s="240"/>
      <c r="G1364" s="240"/>
      <c r="H1364" s="241"/>
      <c r="I1364" s="301"/>
      <c r="J1364" s="240"/>
      <c r="K1364" s="240"/>
      <c r="L1364" s="240"/>
      <c r="M1364" s="240"/>
      <c r="N1364" s="240"/>
      <c r="O1364" s="240"/>
      <c r="P1364" s="240"/>
      <c r="Q1364" s="240"/>
      <c r="R1364" s="240"/>
      <c r="S1364" s="240"/>
      <c r="T1364" s="240"/>
      <c r="U1364" s="240"/>
      <c r="V1364" s="240"/>
      <c r="W1364" s="240"/>
      <c r="X1364" s="240"/>
      <c r="Y1364" s="240"/>
      <c r="Z1364" s="240"/>
    </row>
    <row r="1365" ht="14.25" customHeight="1">
      <c r="A1365" s="302">
        <f t="shared" si="4"/>
        <v>47537</v>
      </c>
      <c r="B1365" s="241">
        <f t="shared" si="1"/>
        <v>2030</v>
      </c>
      <c r="C1365" s="241">
        <f t="shared" si="2"/>
        <v>2</v>
      </c>
      <c r="D1365" s="301" t="str">
        <f t="shared" si="3"/>
        <v>Saturday</v>
      </c>
      <c r="E1365" s="240"/>
      <c r="F1365" s="240"/>
      <c r="G1365" s="240"/>
      <c r="H1365" s="241"/>
      <c r="I1365" s="301"/>
      <c r="J1365" s="240"/>
      <c r="K1365" s="240"/>
      <c r="L1365" s="240"/>
      <c r="M1365" s="240"/>
      <c r="N1365" s="240"/>
      <c r="O1365" s="240"/>
      <c r="P1365" s="240"/>
      <c r="Q1365" s="240"/>
      <c r="R1365" s="240"/>
      <c r="S1365" s="240"/>
      <c r="T1365" s="240"/>
      <c r="U1365" s="240"/>
      <c r="V1365" s="240"/>
      <c r="W1365" s="240"/>
      <c r="X1365" s="240"/>
      <c r="Y1365" s="240"/>
      <c r="Z1365" s="240"/>
    </row>
    <row r="1366" ht="14.25" customHeight="1">
      <c r="A1366" s="302">
        <f t="shared" si="4"/>
        <v>47538</v>
      </c>
      <c r="B1366" s="241">
        <f t="shared" si="1"/>
        <v>2030</v>
      </c>
      <c r="C1366" s="241">
        <f t="shared" si="2"/>
        <v>2</v>
      </c>
      <c r="D1366" s="301" t="str">
        <f t="shared" si="3"/>
        <v>Sunday</v>
      </c>
      <c r="E1366" s="240"/>
      <c r="F1366" s="240"/>
      <c r="G1366" s="240"/>
      <c r="H1366" s="241"/>
      <c r="I1366" s="301"/>
      <c r="J1366" s="240"/>
      <c r="K1366" s="240"/>
      <c r="L1366" s="240"/>
      <c r="M1366" s="240"/>
      <c r="N1366" s="240"/>
      <c r="O1366" s="240"/>
      <c r="P1366" s="240"/>
      <c r="Q1366" s="240"/>
      <c r="R1366" s="240"/>
      <c r="S1366" s="240"/>
      <c r="T1366" s="240"/>
      <c r="U1366" s="240"/>
      <c r="V1366" s="240"/>
      <c r="W1366" s="240"/>
      <c r="X1366" s="240"/>
      <c r="Y1366" s="240"/>
      <c r="Z1366" s="240"/>
    </row>
    <row r="1367" ht="14.25" customHeight="1">
      <c r="A1367" s="302">
        <f t="shared" si="4"/>
        <v>47539</v>
      </c>
      <c r="B1367" s="241">
        <f t="shared" si="1"/>
        <v>2030</v>
      </c>
      <c r="C1367" s="241">
        <f t="shared" si="2"/>
        <v>2</v>
      </c>
      <c r="D1367" s="301" t="str">
        <f t="shared" si="3"/>
        <v>Monday</v>
      </c>
      <c r="E1367" s="240"/>
      <c r="F1367" s="240"/>
      <c r="G1367" s="240"/>
      <c r="H1367" s="241"/>
      <c r="I1367" s="301"/>
      <c r="J1367" s="240"/>
      <c r="K1367" s="240"/>
      <c r="L1367" s="240"/>
      <c r="M1367" s="240"/>
      <c r="N1367" s="240"/>
      <c r="O1367" s="240"/>
      <c r="P1367" s="240"/>
      <c r="Q1367" s="240"/>
      <c r="R1367" s="240"/>
      <c r="S1367" s="240"/>
      <c r="T1367" s="240"/>
      <c r="U1367" s="240"/>
      <c r="V1367" s="240"/>
      <c r="W1367" s="240"/>
      <c r="X1367" s="240"/>
      <c r="Y1367" s="240"/>
      <c r="Z1367" s="240"/>
    </row>
    <row r="1368" ht="14.25" customHeight="1">
      <c r="A1368" s="302">
        <f t="shared" si="4"/>
        <v>47540</v>
      </c>
      <c r="B1368" s="241">
        <f t="shared" si="1"/>
        <v>2030</v>
      </c>
      <c r="C1368" s="241">
        <f t="shared" si="2"/>
        <v>2</v>
      </c>
      <c r="D1368" s="301" t="str">
        <f t="shared" si="3"/>
        <v>Tuesday</v>
      </c>
      <c r="E1368" s="240"/>
      <c r="F1368" s="240"/>
      <c r="G1368" s="240"/>
      <c r="H1368" s="241"/>
      <c r="I1368" s="301"/>
      <c r="J1368" s="240"/>
      <c r="K1368" s="240"/>
      <c r="L1368" s="240"/>
      <c r="M1368" s="240"/>
      <c r="N1368" s="240"/>
      <c r="O1368" s="240"/>
      <c r="P1368" s="240"/>
      <c r="Q1368" s="240"/>
      <c r="R1368" s="240"/>
      <c r="S1368" s="240"/>
      <c r="T1368" s="240"/>
      <c r="U1368" s="240"/>
      <c r="V1368" s="240"/>
      <c r="W1368" s="240"/>
      <c r="X1368" s="240"/>
      <c r="Y1368" s="240"/>
      <c r="Z1368" s="240"/>
    </row>
    <row r="1369" ht="14.25" customHeight="1">
      <c r="A1369" s="302">
        <f t="shared" si="4"/>
        <v>47541</v>
      </c>
      <c r="B1369" s="241">
        <f t="shared" si="1"/>
        <v>2030</v>
      </c>
      <c r="C1369" s="241">
        <f t="shared" si="2"/>
        <v>2</v>
      </c>
      <c r="D1369" s="301" t="str">
        <f t="shared" si="3"/>
        <v>Wednesday</v>
      </c>
      <c r="E1369" s="240"/>
      <c r="F1369" s="240"/>
      <c r="G1369" s="240"/>
      <c r="H1369" s="241"/>
      <c r="I1369" s="301"/>
      <c r="J1369" s="240"/>
      <c r="K1369" s="240"/>
      <c r="L1369" s="240"/>
      <c r="M1369" s="240"/>
      <c r="N1369" s="240"/>
      <c r="O1369" s="240"/>
      <c r="P1369" s="240"/>
      <c r="Q1369" s="240"/>
      <c r="R1369" s="240"/>
      <c r="S1369" s="240"/>
      <c r="T1369" s="240"/>
      <c r="U1369" s="240"/>
      <c r="V1369" s="240"/>
      <c r="W1369" s="240"/>
      <c r="X1369" s="240"/>
      <c r="Y1369" s="240"/>
      <c r="Z1369" s="240"/>
    </row>
    <row r="1370" ht="14.25" customHeight="1">
      <c r="A1370" s="302">
        <f t="shared" si="4"/>
        <v>47542</v>
      </c>
      <c r="B1370" s="241">
        <f t="shared" si="1"/>
        <v>2030</v>
      </c>
      <c r="C1370" s="241">
        <f t="shared" si="2"/>
        <v>2</v>
      </c>
      <c r="D1370" s="301" t="str">
        <f t="shared" si="3"/>
        <v>Thursday</v>
      </c>
      <c r="E1370" s="240"/>
      <c r="F1370" s="240"/>
      <c r="G1370" s="240"/>
      <c r="H1370" s="241"/>
      <c r="I1370" s="301"/>
      <c r="J1370" s="240"/>
      <c r="K1370" s="240"/>
      <c r="L1370" s="240"/>
      <c r="M1370" s="240"/>
      <c r="N1370" s="240"/>
      <c r="O1370" s="240"/>
      <c r="P1370" s="240"/>
      <c r="Q1370" s="240"/>
      <c r="R1370" s="240"/>
      <c r="S1370" s="240"/>
      <c r="T1370" s="240"/>
      <c r="U1370" s="240"/>
      <c r="V1370" s="240"/>
      <c r="W1370" s="240"/>
      <c r="X1370" s="240"/>
      <c r="Y1370" s="240"/>
      <c r="Z1370" s="240"/>
    </row>
    <row r="1371" ht="14.25" customHeight="1">
      <c r="A1371" s="302">
        <f t="shared" si="4"/>
        <v>47543</v>
      </c>
      <c r="B1371" s="241">
        <f t="shared" si="1"/>
        <v>2030</v>
      </c>
      <c r="C1371" s="241">
        <f t="shared" si="2"/>
        <v>3</v>
      </c>
      <c r="D1371" s="301" t="str">
        <f t="shared" si="3"/>
        <v>Friday</v>
      </c>
      <c r="E1371" s="240"/>
      <c r="F1371" s="240"/>
      <c r="G1371" s="240"/>
      <c r="H1371" s="241"/>
      <c r="I1371" s="301"/>
      <c r="J1371" s="240"/>
      <c r="K1371" s="240"/>
      <c r="L1371" s="240"/>
      <c r="M1371" s="240"/>
      <c r="N1371" s="240"/>
      <c r="O1371" s="240"/>
      <c r="P1371" s="240"/>
      <c r="Q1371" s="240"/>
      <c r="R1371" s="240"/>
      <c r="S1371" s="240"/>
      <c r="T1371" s="240"/>
      <c r="U1371" s="240"/>
      <c r="V1371" s="240"/>
      <c r="W1371" s="240"/>
      <c r="X1371" s="240"/>
      <c r="Y1371" s="240"/>
      <c r="Z1371" s="240"/>
    </row>
    <row r="1372" ht="14.25" customHeight="1">
      <c r="A1372" s="302">
        <f t="shared" si="4"/>
        <v>47544</v>
      </c>
      <c r="B1372" s="241">
        <f t="shared" si="1"/>
        <v>2030</v>
      </c>
      <c r="C1372" s="241">
        <f t="shared" si="2"/>
        <v>3</v>
      </c>
      <c r="D1372" s="301" t="str">
        <f t="shared" si="3"/>
        <v>Saturday</v>
      </c>
      <c r="E1372" s="240"/>
      <c r="F1372" s="240"/>
      <c r="G1372" s="240"/>
      <c r="H1372" s="241"/>
      <c r="I1372" s="301"/>
      <c r="J1372" s="240"/>
      <c r="K1372" s="240"/>
      <c r="L1372" s="240"/>
      <c r="M1372" s="240"/>
      <c r="N1372" s="240"/>
      <c r="O1372" s="240"/>
      <c r="P1372" s="240"/>
      <c r="Q1372" s="240"/>
      <c r="R1372" s="240"/>
      <c r="S1372" s="240"/>
      <c r="T1372" s="240"/>
      <c r="U1372" s="240"/>
      <c r="V1372" s="240"/>
      <c r="W1372" s="240"/>
      <c r="X1372" s="240"/>
      <c r="Y1372" s="240"/>
      <c r="Z1372" s="240"/>
    </row>
    <row r="1373" ht="14.25" customHeight="1">
      <c r="A1373" s="302">
        <f t="shared" si="4"/>
        <v>47545</v>
      </c>
      <c r="B1373" s="241">
        <f t="shared" si="1"/>
        <v>2030</v>
      </c>
      <c r="C1373" s="241">
        <f t="shared" si="2"/>
        <v>3</v>
      </c>
      <c r="D1373" s="301" t="str">
        <f t="shared" si="3"/>
        <v>Sunday</v>
      </c>
      <c r="E1373" s="240"/>
      <c r="F1373" s="240"/>
      <c r="G1373" s="240"/>
      <c r="H1373" s="241"/>
      <c r="I1373" s="301"/>
      <c r="J1373" s="240"/>
      <c r="K1373" s="240"/>
      <c r="L1373" s="240"/>
      <c r="M1373" s="240"/>
      <c r="N1373" s="240"/>
      <c r="O1373" s="240"/>
      <c r="P1373" s="240"/>
      <c r="Q1373" s="240"/>
      <c r="R1373" s="240"/>
      <c r="S1373" s="240"/>
      <c r="T1373" s="240"/>
      <c r="U1373" s="240"/>
      <c r="V1373" s="240"/>
      <c r="W1373" s="240"/>
      <c r="X1373" s="240"/>
      <c r="Y1373" s="240"/>
      <c r="Z1373" s="240"/>
    </row>
    <row r="1374" ht="14.25" customHeight="1">
      <c r="A1374" s="302">
        <f t="shared" si="4"/>
        <v>47546</v>
      </c>
      <c r="B1374" s="241">
        <f t="shared" si="1"/>
        <v>2030</v>
      </c>
      <c r="C1374" s="241">
        <f t="shared" si="2"/>
        <v>3</v>
      </c>
      <c r="D1374" s="301" t="str">
        <f t="shared" si="3"/>
        <v>Monday</v>
      </c>
      <c r="E1374" s="240"/>
      <c r="F1374" s="240"/>
      <c r="G1374" s="240"/>
      <c r="H1374" s="241"/>
      <c r="I1374" s="301"/>
      <c r="J1374" s="240"/>
      <c r="K1374" s="240"/>
      <c r="L1374" s="240"/>
      <c r="M1374" s="240"/>
      <c r="N1374" s="240"/>
      <c r="O1374" s="240"/>
      <c r="P1374" s="240"/>
      <c r="Q1374" s="240"/>
      <c r="R1374" s="240"/>
      <c r="S1374" s="240"/>
      <c r="T1374" s="240"/>
      <c r="U1374" s="240"/>
      <c r="V1374" s="240"/>
      <c r="W1374" s="240"/>
      <c r="X1374" s="240"/>
      <c r="Y1374" s="240"/>
      <c r="Z1374" s="240"/>
    </row>
    <row r="1375" ht="14.25" customHeight="1">
      <c r="A1375" s="302">
        <f t="shared" si="4"/>
        <v>47547</v>
      </c>
      <c r="B1375" s="241">
        <f t="shared" si="1"/>
        <v>2030</v>
      </c>
      <c r="C1375" s="241">
        <f t="shared" si="2"/>
        <v>3</v>
      </c>
      <c r="D1375" s="301" t="str">
        <f t="shared" si="3"/>
        <v>Tuesday</v>
      </c>
      <c r="E1375" s="240"/>
      <c r="F1375" s="240"/>
      <c r="G1375" s="240"/>
      <c r="H1375" s="241"/>
      <c r="I1375" s="301"/>
      <c r="J1375" s="240"/>
      <c r="K1375" s="240"/>
      <c r="L1375" s="240"/>
      <c r="M1375" s="240"/>
      <c r="N1375" s="240"/>
      <c r="O1375" s="240"/>
      <c r="P1375" s="240"/>
      <c r="Q1375" s="240"/>
      <c r="R1375" s="240"/>
      <c r="S1375" s="240"/>
      <c r="T1375" s="240"/>
      <c r="U1375" s="240"/>
      <c r="V1375" s="240"/>
      <c r="W1375" s="240"/>
      <c r="X1375" s="240"/>
      <c r="Y1375" s="240"/>
      <c r="Z1375" s="240"/>
    </row>
    <row r="1376" ht="14.25" customHeight="1">
      <c r="A1376" s="302">
        <f t="shared" si="4"/>
        <v>47548</v>
      </c>
      <c r="B1376" s="241">
        <f t="shared" si="1"/>
        <v>2030</v>
      </c>
      <c r="C1376" s="241">
        <f t="shared" si="2"/>
        <v>3</v>
      </c>
      <c r="D1376" s="301" t="str">
        <f t="shared" si="3"/>
        <v>Wednesday</v>
      </c>
      <c r="E1376" s="240"/>
      <c r="F1376" s="240"/>
      <c r="G1376" s="240"/>
      <c r="H1376" s="241"/>
      <c r="I1376" s="301"/>
      <c r="J1376" s="240"/>
      <c r="K1376" s="240"/>
      <c r="L1376" s="240"/>
      <c r="M1376" s="240"/>
      <c r="N1376" s="240"/>
      <c r="O1376" s="240"/>
      <c r="P1376" s="240"/>
      <c r="Q1376" s="240"/>
      <c r="R1376" s="240"/>
      <c r="S1376" s="240"/>
      <c r="T1376" s="240"/>
      <c r="U1376" s="240"/>
      <c r="V1376" s="240"/>
      <c r="W1376" s="240"/>
      <c r="X1376" s="240"/>
      <c r="Y1376" s="240"/>
      <c r="Z1376" s="240"/>
    </row>
    <row r="1377" ht="14.25" customHeight="1">
      <c r="A1377" s="302">
        <f t="shared" si="4"/>
        <v>47549</v>
      </c>
      <c r="B1377" s="241">
        <f t="shared" si="1"/>
        <v>2030</v>
      </c>
      <c r="C1377" s="241">
        <f t="shared" si="2"/>
        <v>3</v>
      </c>
      <c r="D1377" s="301" t="str">
        <f t="shared" si="3"/>
        <v>Thursday</v>
      </c>
      <c r="E1377" s="240"/>
      <c r="F1377" s="240"/>
      <c r="G1377" s="240"/>
      <c r="H1377" s="241"/>
      <c r="I1377" s="301"/>
      <c r="J1377" s="240"/>
      <c r="K1377" s="240"/>
      <c r="L1377" s="240"/>
      <c r="M1377" s="240"/>
      <c r="N1377" s="240"/>
      <c r="O1377" s="240"/>
      <c r="P1377" s="240"/>
      <c r="Q1377" s="240"/>
      <c r="R1377" s="240"/>
      <c r="S1377" s="240"/>
      <c r="T1377" s="240"/>
      <c r="U1377" s="240"/>
      <c r="V1377" s="240"/>
      <c r="W1377" s="240"/>
      <c r="X1377" s="240"/>
      <c r="Y1377" s="240"/>
      <c r="Z1377" s="240"/>
    </row>
    <row r="1378" ht="14.25" customHeight="1">
      <c r="A1378" s="302">
        <f t="shared" si="4"/>
        <v>47550</v>
      </c>
      <c r="B1378" s="241">
        <f t="shared" si="1"/>
        <v>2030</v>
      </c>
      <c r="C1378" s="241">
        <f t="shared" si="2"/>
        <v>3</v>
      </c>
      <c r="D1378" s="301" t="str">
        <f t="shared" si="3"/>
        <v>Friday</v>
      </c>
      <c r="E1378" s="240"/>
      <c r="F1378" s="240"/>
      <c r="G1378" s="240"/>
      <c r="H1378" s="241"/>
      <c r="I1378" s="301"/>
      <c r="J1378" s="240"/>
      <c r="K1378" s="240"/>
      <c r="L1378" s="240"/>
      <c r="M1378" s="240"/>
      <c r="N1378" s="240"/>
      <c r="O1378" s="240"/>
      <c r="P1378" s="240"/>
      <c r="Q1378" s="240"/>
      <c r="R1378" s="240"/>
      <c r="S1378" s="240"/>
      <c r="T1378" s="240"/>
      <c r="U1378" s="240"/>
      <c r="V1378" s="240"/>
      <c r="W1378" s="240"/>
      <c r="X1378" s="240"/>
      <c r="Y1378" s="240"/>
      <c r="Z1378" s="240"/>
    </row>
    <row r="1379" ht="14.25" customHeight="1">
      <c r="A1379" s="302">
        <f t="shared" si="4"/>
        <v>47551</v>
      </c>
      <c r="B1379" s="241">
        <f t="shared" si="1"/>
        <v>2030</v>
      </c>
      <c r="C1379" s="241">
        <f t="shared" si="2"/>
        <v>3</v>
      </c>
      <c r="D1379" s="301" t="str">
        <f t="shared" si="3"/>
        <v>Saturday</v>
      </c>
      <c r="E1379" s="240"/>
      <c r="F1379" s="240"/>
      <c r="G1379" s="240"/>
      <c r="H1379" s="241"/>
      <c r="I1379" s="301"/>
      <c r="J1379" s="240"/>
      <c r="K1379" s="240"/>
      <c r="L1379" s="240"/>
      <c r="M1379" s="240"/>
      <c r="N1379" s="240"/>
      <c r="O1379" s="240"/>
      <c r="P1379" s="240"/>
      <c r="Q1379" s="240"/>
      <c r="R1379" s="240"/>
      <c r="S1379" s="240"/>
      <c r="T1379" s="240"/>
      <c r="U1379" s="240"/>
      <c r="V1379" s="240"/>
      <c r="W1379" s="240"/>
      <c r="X1379" s="240"/>
      <c r="Y1379" s="240"/>
      <c r="Z1379" s="240"/>
    </row>
    <row r="1380" ht="14.25" customHeight="1">
      <c r="A1380" s="302">
        <f t="shared" si="4"/>
        <v>47552</v>
      </c>
      <c r="B1380" s="241">
        <f t="shared" si="1"/>
        <v>2030</v>
      </c>
      <c r="C1380" s="241">
        <f t="shared" si="2"/>
        <v>3</v>
      </c>
      <c r="D1380" s="301" t="str">
        <f t="shared" si="3"/>
        <v>Sunday</v>
      </c>
      <c r="E1380" s="240"/>
      <c r="F1380" s="240"/>
      <c r="G1380" s="240"/>
      <c r="H1380" s="241"/>
      <c r="I1380" s="301"/>
      <c r="J1380" s="240"/>
      <c r="K1380" s="240"/>
      <c r="L1380" s="240"/>
      <c r="M1380" s="240"/>
      <c r="N1380" s="240"/>
      <c r="O1380" s="240"/>
      <c r="P1380" s="240"/>
      <c r="Q1380" s="240"/>
      <c r="R1380" s="240"/>
      <c r="S1380" s="240"/>
      <c r="T1380" s="240"/>
      <c r="U1380" s="240"/>
      <c r="V1380" s="240"/>
      <c r="W1380" s="240"/>
      <c r="X1380" s="240"/>
      <c r="Y1380" s="240"/>
      <c r="Z1380" s="240"/>
    </row>
    <row r="1381" ht="14.25" customHeight="1">
      <c r="A1381" s="302">
        <f t="shared" si="4"/>
        <v>47553</v>
      </c>
      <c r="B1381" s="241">
        <f t="shared" si="1"/>
        <v>2030</v>
      </c>
      <c r="C1381" s="241">
        <f t="shared" si="2"/>
        <v>3</v>
      </c>
      <c r="D1381" s="301" t="str">
        <f t="shared" si="3"/>
        <v>Monday</v>
      </c>
      <c r="E1381" s="240"/>
      <c r="F1381" s="240"/>
      <c r="G1381" s="240"/>
      <c r="H1381" s="241"/>
      <c r="I1381" s="301"/>
      <c r="J1381" s="240"/>
      <c r="K1381" s="240"/>
      <c r="L1381" s="240"/>
      <c r="M1381" s="240"/>
      <c r="N1381" s="240"/>
      <c r="O1381" s="240"/>
      <c r="P1381" s="240"/>
      <c r="Q1381" s="240"/>
      <c r="R1381" s="240"/>
      <c r="S1381" s="240"/>
      <c r="T1381" s="240"/>
      <c r="U1381" s="240"/>
      <c r="V1381" s="240"/>
      <c r="W1381" s="240"/>
      <c r="X1381" s="240"/>
      <c r="Y1381" s="240"/>
      <c r="Z1381" s="240"/>
    </row>
    <row r="1382" ht="14.25" customHeight="1">
      <c r="A1382" s="302">
        <f t="shared" si="4"/>
        <v>47554</v>
      </c>
      <c r="B1382" s="241">
        <f t="shared" si="1"/>
        <v>2030</v>
      </c>
      <c r="C1382" s="241">
        <f t="shared" si="2"/>
        <v>3</v>
      </c>
      <c r="D1382" s="301" t="str">
        <f t="shared" si="3"/>
        <v>Tuesday</v>
      </c>
      <c r="E1382" s="240"/>
      <c r="F1382" s="240"/>
      <c r="G1382" s="240"/>
      <c r="H1382" s="241"/>
      <c r="I1382" s="301"/>
      <c r="J1382" s="240"/>
      <c r="K1382" s="240"/>
      <c r="L1382" s="240"/>
      <c r="M1382" s="240"/>
      <c r="N1382" s="240"/>
      <c r="O1382" s="240"/>
      <c r="P1382" s="240"/>
      <c r="Q1382" s="240"/>
      <c r="R1382" s="240"/>
      <c r="S1382" s="240"/>
      <c r="T1382" s="240"/>
      <c r="U1382" s="240"/>
      <c r="V1382" s="240"/>
      <c r="W1382" s="240"/>
      <c r="X1382" s="240"/>
      <c r="Y1382" s="240"/>
      <c r="Z1382" s="240"/>
    </row>
    <row r="1383" ht="14.25" customHeight="1">
      <c r="A1383" s="302">
        <f t="shared" si="4"/>
        <v>47555</v>
      </c>
      <c r="B1383" s="241">
        <f t="shared" si="1"/>
        <v>2030</v>
      </c>
      <c r="C1383" s="241">
        <f t="shared" si="2"/>
        <v>3</v>
      </c>
      <c r="D1383" s="301" t="str">
        <f t="shared" si="3"/>
        <v>Wednesday</v>
      </c>
      <c r="E1383" s="240"/>
      <c r="F1383" s="240"/>
      <c r="G1383" s="240"/>
      <c r="H1383" s="241"/>
      <c r="I1383" s="301"/>
      <c r="J1383" s="240"/>
      <c r="K1383" s="240"/>
      <c r="L1383" s="240"/>
      <c r="M1383" s="240"/>
      <c r="N1383" s="240"/>
      <c r="O1383" s="240"/>
      <c r="P1383" s="240"/>
      <c r="Q1383" s="240"/>
      <c r="R1383" s="240"/>
      <c r="S1383" s="240"/>
      <c r="T1383" s="240"/>
      <c r="U1383" s="240"/>
      <c r="V1383" s="240"/>
      <c r="W1383" s="240"/>
      <c r="X1383" s="240"/>
      <c r="Y1383" s="240"/>
      <c r="Z1383" s="240"/>
    </row>
    <row r="1384" ht="14.25" customHeight="1">
      <c r="A1384" s="302">
        <f t="shared" si="4"/>
        <v>47556</v>
      </c>
      <c r="B1384" s="241">
        <f t="shared" si="1"/>
        <v>2030</v>
      </c>
      <c r="C1384" s="241">
        <f t="shared" si="2"/>
        <v>3</v>
      </c>
      <c r="D1384" s="301" t="str">
        <f t="shared" si="3"/>
        <v>Thursday</v>
      </c>
      <c r="E1384" s="240"/>
      <c r="F1384" s="240"/>
      <c r="G1384" s="240"/>
      <c r="H1384" s="241"/>
      <c r="I1384" s="301"/>
      <c r="J1384" s="240"/>
      <c r="K1384" s="240"/>
      <c r="L1384" s="240"/>
      <c r="M1384" s="240"/>
      <c r="N1384" s="240"/>
      <c r="O1384" s="240"/>
      <c r="P1384" s="240"/>
      <c r="Q1384" s="240"/>
      <c r="R1384" s="240"/>
      <c r="S1384" s="240"/>
      <c r="T1384" s="240"/>
      <c r="U1384" s="240"/>
      <c r="V1384" s="240"/>
      <c r="W1384" s="240"/>
      <c r="X1384" s="240"/>
      <c r="Y1384" s="240"/>
      <c r="Z1384" s="240"/>
    </row>
    <row r="1385" ht="14.25" customHeight="1">
      <c r="A1385" s="302">
        <f t="shared" si="4"/>
        <v>47557</v>
      </c>
      <c r="B1385" s="241">
        <f t="shared" si="1"/>
        <v>2030</v>
      </c>
      <c r="C1385" s="241">
        <f t="shared" si="2"/>
        <v>3</v>
      </c>
      <c r="D1385" s="301" t="str">
        <f t="shared" si="3"/>
        <v>Friday</v>
      </c>
      <c r="E1385" s="240"/>
      <c r="F1385" s="240"/>
      <c r="G1385" s="240"/>
      <c r="H1385" s="241"/>
      <c r="I1385" s="301"/>
      <c r="J1385" s="240"/>
      <c r="K1385" s="240"/>
      <c r="L1385" s="240"/>
      <c r="M1385" s="240"/>
      <c r="N1385" s="240"/>
      <c r="O1385" s="240"/>
      <c r="P1385" s="240"/>
      <c r="Q1385" s="240"/>
      <c r="R1385" s="240"/>
      <c r="S1385" s="240"/>
      <c r="T1385" s="240"/>
      <c r="U1385" s="240"/>
      <c r="V1385" s="240"/>
      <c r="W1385" s="240"/>
      <c r="X1385" s="240"/>
      <c r="Y1385" s="240"/>
      <c r="Z1385" s="240"/>
    </row>
    <row r="1386" ht="14.25" customHeight="1">
      <c r="A1386" s="302">
        <f t="shared" si="4"/>
        <v>47558</v>
      </c>
      <c r="B1386" s="241">
        <f t="shared" si="1"/>
        <v>2030</v>
      </c>
      <c r="C1386" s="241">
        <f t="shared" si="2"/>
        <v>3</v>
      </c>
      <c r="D1386" s="301" t="str">
        <f t="shared" si="3"/>
        <v>Saturday</v>
      </c>
      <c r="E1386" s="240"/>
      <c r="F1386" s="240"/>
      <c r="G1386" s="240"/>
      <c r="H1386" s="241"/>
      <c r="I1386" s="301"/>
      <c r="J1386" s="240"/>
      <c r="K1386" s="240"/>
      <c r="L1386" s="240"/>
      <c r="M1386" s="240"/>
      <c r="N1386" s="240"/>
      <c r="O1386" s="240"/>
      <c r="P1386" s="240"/>
      <c r="Q1386" s="240"/>
      <c r="R1386" s="240"/>
      <c r="S1386" s="240"/>
      <c r="T1386" s="240"/>
      <c r="U1386" s="240"/>
      <c r="V1386" s="240"/>
      <c r="W1386" s="240"/>
      <c r="X1386" s="240"/>
      <c r="Y1386" s="240"/>
      <c r="Z1386" s="240"/>
    </row>
    <row r="1387" ht="14.25" customHeight="1">
      <c r="A1387" s="302">
        <f t="shared" si="4"/>
        <v>47559</v>
      </c>
      <c r="B1387" s="241">
        <f t="shared" si="1"/>
        <v>2030</v>
      </c>
      <c r="C1387" s="241">
        <f t="shared" si="2"/>
        <v>3</v>
      </c>
      <c r="D1387" s="301" t="str">
        <f t="shared" si="3"/>
        <v>Sunday</v>
      </c>
      <c r="E1387" s="240"/>
      <c r="F1387" s="240"/>
      <c r="G1387" s="240"/>
      <c r="H1387" s="241"/>
      <c r="I1387" s="301"/>
      <c r="J1387" s="240"/>
      <c r="K1387" s="240"/>
      <c r="L1387" s="240"/>
      <c r="M1387" s="240"/>
      <c r="N1387" s="240"/>
      <c r="O1387" s="240"/>
      <c r="P1387" s="240"/>
      <c r="Q1387" s="240"/>
      <c r="R1387" s="240"/>
      <c r="S1387" s="240"/>
      <c r="T1387" s="240"/>
      <c r="U1387" s="240"/>
      <c r="V1387" s="240"/>
      <c r="W1387" s="240"/>
      <c r="X1387" s="240"/>
      <c r="Y1387" s="240"/>
      <c r="Z1387" s="240"/>
    </row>
    <row r="1388" ht="14.25" customHeight="1">
      <c r="A1388" s="302">
        <f t="shared" si="4"/>
        <v>47560</v>
      </c>
      <c r="B1388" s="241">
        <f t="shared" si="1"/>
        <v>2030</v>
      </c>
      <c r="C1388" s="241">
        <f t="shared" si="2"/>
        <v>3</v>
      </c>
      <c r="D1388" s="301" t="str">
        <f t="shared" si="3"/>
        <v>Monday</v>
      </c>
      <c r="E1388" s="240"/>
      <c r="F1388" s="240"/>
      <c r="G1388" s="240"/>
      <c r="H1388" s="241"/>
      <c r="I1388" s="301"/>
      <c r="J1388" s="240"/>
      <c r="K1388" s="240"/>
      <c r="L1388" s="240"/>
      <c r="M1388" s="240"/>
      <c r="N1388" s="240"/>
      <c r="O1388" s="240"/>
      <c r="P1388" s="240"/>
      <c r="Q1388" s="240"/>
      <c r="R1388" s="240"/>
      <c r="S1388" s="240"/>
      <c r="T1388" s="240"/>
      <c r="U1388" s="240"/>
      <c r="V1388" s="240"/>
      <c r="W1388" s="240"/>
      <c r="X1388" s="240"/>
      <c r="Y1388" s="240"/>
      <c r="Z1388" s="240"/>
    </row>
    <row r="1389" ht="14.25" customHeight="1">
      <c r="A1389" s="302">
        <f t="shared" si="4"/>
        <v>47561</v>
      </c>
      <c r="B1389" s="241">
        <f t="shared" si="1"/>
        <v>2030</v>
      </c>
      <c r="C1389" s="241">
        <f t="shared" si="2"/>
        <v>3</v>
      </c>
      <c r="D1389" s="301" t="str">
        <f t="shared" si="3"/>
        <v>Tuesday</v>
      </c>
      <c r="E1389" s="240"/>
      <c r="F1389" s="240"/>
      <c r="G1389" s="240"/>
      <c r="H1389" s="241"/>
      <c r="I1389" s="301"/>
      <c r="J1389" s="240"/>
      <c r="K1389" s="240"/>
      <c r="L1389" s="240"/>
      <c r="M1389" s="240"/>
      <c r="N1389" s="240"/>
      <c r="O1389" s="240"/>
      <c r="P1389" s="240"/>
      <c r="Q1389" s="240"/>
      <c r="R1389" s="240"/>
      <c r="S1389" s="240"/>
      <c r="T1389" s="240"/>
      <c r="U1389" s="240"/>
      <c r="V1389" s="240"/>
      <c r="W1389" s="240"/>
      <c r="X1389" s="240"/>
      <c r="Y1389" s="240"/>
      <c r="Z1389" s="240"/>
    </row>
    <row r="1390" ht="14.25" customHeight="1">
      <c r="A1390" s="302">
        <f t="shared" si="4"/>
        <v>47562</v>
      </c>
      <c r="B1390" s="241">
        <f t="shared" si="1"/>
        <v>2030</v>
      </c>
      <c r="C1390" s="241">
        <f t="shared" si="2"/>
        <v>3</v>
      </c>
      <c r="D1390" s="301" t="str">
        <f t="shared" si="3"/>
        <v>Wednesday</v>
      </c>
      <c r="E1390" s="240"/>
      <c r="F1390" s="240"/>
      <c r="G1390" s="240"/>
      <c r="H1390" s="241"/>
      <c r="I1390" s="301"/>
      <c r="J1390" s="240"/>
      <c r="K1390" s="240"/>
      <c r="L1390" s="240"/>
      <c r="M1390" s="240"/>
      <c r="N1390" s="240"/>
      <c r="O1390" s="240"/>
      <c r="P1390" s="240"/>
      <c r="Q1390" s="240"/>
      <c r="R1390" s="240"/>
      <c r="S1390" s="240"/>
      <c r="T1390" s="240"/>
      <c r="U1390" s="240"/>
      <c r="V1390" s="240"/>
      <c r="W1390" s="240"/>
      <c r="X1390" s="240"/>
      <c r="Y1390" s="240"/>
      <c r="Z1390" s="240"/>
    </row>
    <row r="1391" ht="14.25" customHeight="1">
      <c r="A1391" s="302">
        <f t="shared" si="4"/>
        <v>47563</v>
      </c>
      <c r="B1391" s="241">
        <f t="shared" si="1"/>
        <v>2030</v>
      </c>
      <c r="C1391" s="241">
        <f t="shared" si="2"/>
        <v>3</v>
      </c>
      <c r="D1391" s="301" t="str">
        <f t="shared" si="3"/>
        <v>Thursday</v>
      </c>
      <c r="E1391" s="240"/>
      <c r="F1391" s="240"/>
      <c r="G1391" s="240"/>
      <c r="H1391" s="241"/>
      <c r="I1391" s="301"/>
      <c r="J1391" s="240"/>
      <c r="K1391" s="240"/>
      <c r="L1391" s="240"/>
      <c r="M1391" s="240"/>
      <c r="N1391" s="240"/>
      <c r="O1391" s="240"/>
      <c r="P1391" s="240"/>
      <c r="Q1391" s="240"/>
      <c r="R1391" s="240"/>
      <c r="S1391" s="240"/>
      <c r="T1391" s="240"/>
      <c r="U1391" s="240"/>
      <c r="V1391" s="240"/>
      <c r="W1391" s="240"/>
      <c r="X1391" s="240"/>
      <c r="Y1391" s="240"/>
      <c r="Z1391" s="240"/>
    </row>
    <row r="1392" ht="14.25" customHeight="1">
      <c r="A1392" s="302">
        <f t="shared" si="4"/>
        <v>47564</v>
      </c>
      <c r="B1392" s="241">
        <f t="shared" si="1"/>
        <v>2030</v>
      </c>
      <c r="C1392" s="241">
        <f t="shared" si="2"/>
        <v>3</v>
      </c>
      <c r="D1392" s="301" t="str">
        <f t="shared" si="3"/>
        <v>Friday</v>
      </c>
      <c r="E1392" s="240"/>
      <c r="F1392" s="240"/>
      <c r="G1392" s="240"/>
      <c r="H1392" s="241"/>
      <c r="I1392" s="301"/>
      <c r="J1392" s="240"/>
      <c r="K1392" s="240"/>
      <c r="L1392" s="240"/>
      <c r="M1392" s="240"/>
      <c r="N1392" s="240"/>
      <c r="O1392" s="240"/>
      <c r="P1392" s="240"/>
      <c r="Q1392" s="240"/>
      <c r="R1392" s="240"/>
      <c r="S1392" s="240"/>
      <c r="T1392" s="240"/>
      <c r="U1392" s="240"/>
      <c r="V1392" s="240"/>
      <c r="W1392" s="240"/>
      <c r="X1392" s="240"/>
      <c r="Y1392" s="240"/>
      <c r="Z1392" s="240"/>
    </row>
    <row r="1393" ht="14.25" customHeight="1">
      <c r="A1393" s="302">
        <f t="shared" si="4"/>
        <v>47565</v>
      </c>
      <c r="B1393" s="241">
        <f t="shared" si="1"/>
        <v>2030</v>
      </c>
      <c r="C1393" s="241">
        <f t="shared" si="2"/>
        <v>3</v>
      </c>
      <c r="D1393" s="301" t="str">
        <f t="shared" si="3"/>
        <v>Saturday</v>
      </c>
      <c r="E1393" s="240"/>
      <c r="F1393" s="240"/>
      <c r="G1393" s="240"/>
      <c r="H1393" s="241"/>
      <c r="I1393" s="301"/>
      <c r="J1393" s="240"/>
      <c r="K1393" s="240"/>
      <c r="L1393" s="240"/>
      <c r="M1393" s="240"/>
      <c r="N1393" s="240"/>
      <c r="O1393" s="240"/>
      <c r="P1393" s="240"/>
      <c r="Q1393" s="240"/>
      <c r="R1393" s="240"/>
      <c r="S1393" s="240"/>
      <c r="T1393" s="240"/>
      <c r="U1393" s="240"/>
      <c r="V1393" s="240"/>
      <c r="W1393" s="240"/>
      <c r="X1393" s="240"/>
      <c r="Y1393" s="240"/>
      <c r="Z1393" s="240"/>
    </row>
    <row r="1394" ht="14.25" customHeight="1">
      <c r="A1394" s="302">
        <f t="shared" si="4"/>
        <v>47566</v>
      </c>
      <c r="B1394" s="241">
        <f t="shared" si="1"/>
        <v>2030</v>
      </c>
      <c r="C1394" s="241">
        <f t="shared" si="2"/>
        <v>3</v>
      </c>
      <c r="D1394" s="301" t="str">
        <f t="shared" si="3"/>
        <v>Sunday</v>
      </c>
      <c r="E1394" s="240"/>
      <c r="F1394" s="240"/>
      <c r="G1394" s="240"/>
      <c r="H1394" s="241"/>
      <c r="I1394" s="301"/>
      <c r="J1394" s="240"/>
      <c r="K1394" s="240"/>
      <c r="L1394" s="240"/>
      <c r="M1394" s="240"/>
      <c r="N1394" s="240"/>
      <c r="O1394" s="240"/>
      <c r="P1394" s="240"/>
      <c r="Q1394" s="240"/>
      <c r="R1394" s="240"/>
      <c r="S1394" s="240"/>
      <c r="T1394" s="240"/>
      <c r="U1394" s="240"/>
      <c r="V1394" s="240"/>
      <c r="W1394" s="240"/>
      <c r="X1394" s="240"/>
      <c r="Y1394" s="240"/>
      <c r="Z1394" s="240"/>
    </row>
    <row r="1395" ht="14.25" customHeight="1">
      <c r="A1395" s="302">
        <f t="shared" si="4"/>
        <v>47567</v>
      </c>
      <c r="B1395" s="241">
        <f t="shared" si="1"/>
        <v>2030</v>
      </c>
      <c r="C1395" s="241">
        <f t="shared" si="2"/>
        <v>3</v>
      </c>
      <c r="D1395" s="301" t="str">
        <f t="shared" si="3"/>
        <v>Monday</v>
      </c>
      <c r="E1395" s="240"/>
      <c r="F1395" s="240"/>
      <c r="G1395" s="240"/>
      <c r="H1395" s="241"/>
      <c r="I1395" s="301"/>
      <c r="J1395" s="240"/>
      <c r="K1395" s="240"/>
      <c r="L1395" s="240"/>
      <c r="M1395" s="240"/>
      <c r="N1395" s="240"/>
      <c r="O1395" s="240"/>
      <c r="P1395" s="240"/>
      <c r="Q1395" s="240"/>
      <c r="R1395" s="240"/>
      <c r="S1395" s="240"/>
      <c r="T1395" s="240"/>
      <c r="U1395" s="240"/>
      <c r="V1395" s="240"/>
      <c r="W1395" s="240"/>
      <c r="X1395" s="240"/>
      <c r="Y1395" s="240"/>
      <c r="Z1395" s="240"/>
    </row>
    <row r="1396" ht="14.25" customHeight="1">
      <c r="A1396" s="302">
        <f t="shared" si="4"/>
        <v>47568</v>
      </c>
      <c r="B1396" s="241">
        <f t="shared" si="1"/>
        <v>2030</v>
      </c>
      <c r="C1396" s="241">
        <f t="shared" si="2"/>
        <v>3</v>
      </c>
      <c r="D1396" s="301" t="str">
        <f t="shared" si="3"/>
        <v>Tuesday</v>
      </c>
      <c r="E1396" s="240"/>
      <c r="F1396" s="240"/>
      <c r="G1396" s="240"/>
      <c r="H1396" s="241"/>
      <c r="I1396" s="301"/>
      <c r="J1396" s="240"/>
      <c r="K1396" s="240"/>
      <c r="L1396" s="240"/>
      <c r="M1396" s="240"/>
      <c r="N1396" s="240"/>
      <c r="O1396" s="240"/>
      <c r="P1396" s="240"/>
      <c r="Q1396" s="240"/>
      <c r="R1396" s="240"/>
      <c r="S1396" s="240"/>
      <c r="T1396" s="240"/>
      <c r="U1396" s="240"/>
      <c r="V1396" s="240"/>
      <c r="W1396" s="240"/>
      <c r="X1396" s="240"/>
      <c r="Y1396" s="240"/>
      <c r="Z1396" s="240"/>
    </row>
    <row r="1397" ht="14.25" customHeight="1">
      <c r="A1397" s="302">
        <f t="shared" si="4"/>
        <v>47569</v>
      </c>
      <c r="B1397" s="241">
        <f t="shared" si="1"/>
        <v>2030</v>
      </c>
      <c r="C1397" s="241">
        <f t="shared" si="2"/>
        <v>3</v>
      </c>
      <c r="D1397" s="301" t="str">
        <f t="shared" si="3"/>
        <v>Wednesday</v>
      </c>
      <c r="E1397" s="240"/>
      <c r="F1397" s="240"/>
      <c r="G1397" s="240"/>
      <c r="H1397" s="241"/>
      <c r="I1397" s="301"/>
      <c r="J1397" s="240"/>
      <c r="K1397" s="240"/>
      <c r="L1397" s="240"/>
      <c r="M1397" s="240"/>
      <c r="N1397" s="240"/>
      <c r="O1397" s="240"/>
      <c r="P1397" s="240"/>
      <c r="Q1397" s="240"/>
      <c r="R1397" s="240"/>
      <c r="S1397" s="240"/>
      <c r="T1397" s="240"/>
      <c r="U1397" s="240"/>
      <c r="V1397" s="240"/>
      <c r="W1397" s="240"/>
      <c r="X1397" s="240"/>
      <c r="Y1397" s="240"/>
      <c r="Z1397" s="240"/>
    </row>
    <row r="1398" ht="14.25" customHeight="1">
      <c r="A1398" s="302">
        <f t="shared" si="4"/>
        <v>47570</v>
      </c>
      <c r="B1398" s="241">
        <f t="shared" si="1"/>
        <v>2030</v>
      </c>
      <c r="C1398" s="241">
        <f t="shared" si="2"/>
        <v>3</v>
      </c>
      <c r="D1398" s="301" t="str">
        <f t="shared" si="3"/>
        <v>Thursday</v>
      </c>
      <c r="E1398" s="240"/>
      <c r="F1398" s="240"/>
      <c r="G1398" s="240"/>
      <c r="H1398" s="241"/>
      <c r="I1398" s="301"/>
      <c r="J1398" s="240"/>
      <c r="K1398" s="240"/>
      <c r="L1398" s="240"/>
      <c r="M1398" s="240"/>
      <c r="N1398" s="240"/>
      <c r="O1398" s="240"/>
      <c r="P1398" s="240"/>
      <c r="Q1398" s="240"/>
      <c r="R1398" s="240"/>
      <c r="S1398" s="240"/>
      <c r="T1398" s="240"/>
      <c r="U1398" s="240"/>
      <c r="V1398" s="240"/>
      <c r="W1398" s="240"/>
      <c r="X1398" s="240"/>
      <c r="Y1398" s="240"/>
      <c r="Z1398" s="240"/>
    </row>
    <row r="1399" ht="14.25" customHeight="1">
      <c r="A1399" s="302">
        <f t="shared" si="4"/>
        <v>47571</v>
      </c>
      <c r="B1399" s="241">
        <f t="shared" si="1"/>
        <v>2030</v>
      </c>
      <c r="C1399" s="241">
        <f t="shared" si="2"/>
        <v>3</v>
      </c>
      <c r="D1399" s="301" t="str">
        <f t="shared" si="3"/>
        <v>Friday</v>
      </c>
      <c r="E1399" s="240"/>
      <c r="F1399" s="240"/>
      <c r="G1399" s="240"/>
      <c r="H1399" s="241"/>
      <c r="I1399" s="301"/>
      <c r="J1399" s="240"/>
      <c r="K1399" s="240"/>
      <c r="L1399" s="240"/>
      <c r="M1399" s="240"/>
      <c r="N1399" s="240"/>
      <c r="O1399" s="240"/>
      <c r="P1399" s="240"/>
      <c r="Q1399" s="240"/>
      <c r="R1399" s="240"/>
      <c r="S1399" s="240"/>
      <c r="T1399" s="240"/>
      <c r="U1399" s="240"/>
      <c r="V1399" s="240"/>
      <c r="W1399" s="240"/>
      <c r="X1399" s="240"/>
      <c r="Y1399" s="240"/>
      <c r="Z1399" s="240"/>
    </row>
    <row r="1400" ht="14.25" customHeight="1">
      <c r="A1400" s="302">
        <f t="shared" si="4"/>
        <v>47572</v>
      </c>
      <c r="B1400" s="241">
        <f t="shared" si="1"/>
        <v>2030</v>
      </c>
      <c r="C1400" s="241">
        <f t="shared" si="2"/>
        <v>3</v>
      </c>
      <c r="D1400" s="301" t="str">
        <f t="shared" si="3"/>
        <v>Saturday</v>
      </c>
      <c r="E1400" s="240"/>
      <c r="F1400" s="240"/>
      <c r="G1400" s="240"/>
      <c r="H1400" s="241"/>
      <c r="I1400" s="301"/>
      <c r="J1400" s="240"/>
      <c r="K1400" s="240"/>
      <c r="L1400" s="240"/>
      <c r="M1400" s="240"/>
      <c r="N1400" s="240"/>
      <c r="O1400" s="240"/>
      <c r="P1400" s="240"/>
      <c r="Q1400" s="240"/>
      <c r="R1400" s="240"/>
      <c r="S1400" s="240"/>
      <c r="T1400" s="240"/>
      <c r="U1400" s="240"/>
      <c r="V1400" s="240"/>
      <c r="W1400" s="240"/>
      <c r="X1400" s="240"/>
      <c r="Y1400" s="240"/>
      <c r="Z1400" s="240"/>
    </row>
    <row r="1401" ht="14.25" customHeight="1">
      <c r="A1401" s="302">
        <f t="shared" si="4"/>
        <v>47573</v>
      </c>
      <c r="B1401" s="241">
        <f t="shared" si="1"/>
        <v>2030</v>
      </c>
      <c r="C1401" s="241">
        <f t="shared" si="2"/>
        <v>3</v>
      </c>
      <c r="D1401" s="301" t="str">
        <f t="shared" si="3"/>
        <v>Sunday</v>
      </c>
      <c r="E1401" s="240"/>
      <c r="F1401" s="240"/>
      <c r="G1401" s="240"/>
      <c r="H1401" s="241"/>
      <c r="I1401" s="301"/>
      <c r="J1401" s="240"/>
      <c r="K1401" s="240"/>
      <c r="L1401" s="240"/>
      <c r="M1401" s="240"/>
      <c r="N1401" s="240"/>
      <c r="O1401" s="240"/>
      <c r="P1401" s="240"/>
      <c r="Q1401" s="240"/>
      <c r="R1401" s="240"/>
      <c r="S1401" s="240"/>
      <c r="T1401" s="240"/>
      <c r="U1401" s="240"/>
      <c r="V1401" s="240"/>
      <c r="W1401" s="240"/>
      <c r="X1401" s="240"/>
      <c r="Y1401" s="240"/>
      <c r="Z1401" s="240"/>
    </row>
    <row r="1402" ht="14.25" customHeight="1">
      <c r="A1402" s="302">
        <f t="shared" si="4"/>
        <v>47574</v>
      </c>
      <c r="B1402" s="241">
        <f t="shared" si="1"/>
        <v>2030</v>
      </c>
      <c r="C1402" s="241">
        <f t="shared" si="2"/>
        <v>4</v>
      </c>
      <c r="D1402" s="301" t="str">
        <f t="shared" si="3"/>
        <v>Monday</v>
      </c>
      <c r="E1402" s="240"/>
      <c r="F1402" s="240"/>
      <c r="G1402" s="240"/>
      <c r="H1402" s="241"/>
      <c r="I1402" s="301"/>
      <c r="J1402" s="240"/>
      <c r="K1402" s="240"/>
      <c r="L1402" s="240"/>
      <c r="M1402" s="240"/>
      <c r="N1402" s="240"/>
      <c r="O1402" s="240"/>
      <c r="P1402" s="240"/>
      <c r="Q1402" s="240"/>
      <c r="R1402" s="240"/>
      <c r="S1402" s="240"/>
      <c r="T1402" s="240"/>
      <c r="U1402" s="240"/>
      <c r="V1402" s="240"/>
      <c r="W1402" s="240"/>
      <c r="X1402" s="240"/>
      <c r="Y1402" s="240"/>
      <c r="Z1402" s="240"/>
    </row>
    <row r="1403" ht="14.25" customHeight="1">
      <c r="A1403" s="302">
        <f t="shared" si="4"/>
        <v>47575</v>
      </c>
      <c r="B1403" s="241">
        <f t="shared" si="1"/>
        <v>2030</v>
      </c>
      <c r="C1403" s="241">
        <f t="shared" si="2"/>
        <v>4</v>
      </c>
      <c r="D1403" s="301" t="str">
        <f t="shared" si="3"/>
        <v>Tuesday</v>
      </c>
      <c r="E1403" s="240"/>
      <c r="F1403" s="240"/>
      <c r="G1403" s="240"/>
      <c r="H1403" s="241"/>
      <c r="I1403" s="301"/>
      <c r="J1403" s="240"/>
      <c r="K1403" s="240"/>
      <c r="L1403" s="240"/>
      <c r="M1403" s="240"/>
      <c r="N1403" s="240"/>
      <c r="O1403" s="240"/>
      <c r="P1403" s="240"/>
      <c r="Q1403" s="240"/>
      <c r="R1403" s="240"/>
      <c r="S1403" s="240"/>
      <c r="T1403" s="240"/>
      <c r="U1403" s="240"/>
      <c r="V1403" s="240"/>
      <c r="W1403" s="240"/>
      <c r="X1403" s="240"/>
      <c r="Y1403" s="240"/>
      <c r="Z1403" s="240"/>
    </row>
    <row r="1404" ht="14.25" customHeight="1">
      <c r="A1404" s="302">
        <f t="shared" si="4"/>
        <v>47576</v>
      </c>
      <c r="B1404" s="241">
        <f t="shared" si="1"/>
        <v>2030</v>
      </c>
      <c r="C1404" s="241">
        <f t="shared" si="2"/>
        <v>4</v>
      </c>
      <c r="D1404" s="301" t="str">
        <f t="shared" si="3"/>
        <v>Wednesday</v>
      </c>
      <c r="E1404" s="240"/>
      <c r="F1404" s="240"/>
      <c r="G1404" s="240"/>
      <c r="H1404" s="241"/>
      <c r="I1404" s="301"/>
      <c r="J1404" s="240"/>
      <c r="K1404" s="240"/>
      <c r="L1404" s="240"/>
      <c r="M1404" s="240"/>
      <c r="N1404" s="240"/>
      <c r="O1404" s="240"/>
      <c r="P1404" s="240"/>
      <c r="Q1404" s="240"/>
      <c r="R1404" s="240"/>
      <c r="S1404" s="240"/>
      <c r="T1404" s="240"/>
      <c r="U1404" s="240"/>
      <c r="V1404" s="240"/>
      <c r="W1404" s="240"/>
      <c r="X1404" s="240"/>
      <c r="Y1404" s="240"/>
      <c r="Z1404" s="240"/>
    </row>
    <row r="1405" ht="14.25" customHeight="1">
      <c r="A1405" s="302">
        <f t="shared" si="4"/>
        <v>47577</v>
      </c>
      <c r="B1405" s="241">
        <f t="shared" si="1"/>
        <v>2030</v>
      </c>
      <c r="C1405" s="241">
        <f t="shared" si="2"/>
        <v>4</v>
      </c>
      <c r="D1405" s="301" t="str">
        <f t="shared" si="3"/>
        <v>Thursday</v>
      </c>
      <c r="E1405" s="240"/>
      <c r="F1405" s="240"/>
      <c r="G1405" s="240"/>
      <c r="H1405" s="241"/>
      <c r="I1405" s="301"/>
      <c r="J1405" s="240"/>
      <c r="K1405" s="240"/>
      <c r="L1405" s="240"/>
      <c r="M1405" s="240"/>
      <c r="N1405" s="240"/>
      <c r="O1405" s="240"/>
      <c r="P1405" s="240"/>
      <c r="Q1405" s="240"/>
      <c r="R1405" s="240"/>
      <c r="S1405" s="240"/>
      <c r="T1405" s="240"/>
      <c r="U1405" s="240"/>
      <c r="V1405" s="240"/>
      <c r="W1405" s="240"/>
      <c r="X1405" s="240"/>
      <c r="Y1405" s="240"/>
      <c r="Z1405" s="240"/>
    </row>
    <row r="1406" ht="14.25" customHeight="1">
      <c r="A1406" s="302">
        <f t="shared" si="4"/>
        <v>47578</v>
      </c>
      <c r="B1406" s="241">
        <f t="shared" si="1"/>
        <v>2030</v>
      </c>
      <c r="C1406" s="241">
        <f t="shared" si="2"/>
        <v>4</v>
      </c>
      <c r="D1406" s="301" t="str">
        <f t="shared" si="3"/>
        <v>Friday</v>
      </c>
      <c r="E1406" s="240"/>
      <c r="F1406" s="240"/>
      <c r="G1406" s="240"/>
      <c r="H1406" s="241"/>
      <c r="I1406" s="301"/>
      <c r="J1406" s="240"/>
      <c r="K1406" s="240"/>
      <c r="L1406" s="240"/>
      <c r="M1406" s="240"/>
      <c r="N1406" s="240"/>
      <c r="O1406" s="240"/>
      <c r="P1406" s="240"/>
      <c r="Q1406" s="240"/>
      <c r="R1406" s="240"/>
      <c r="S1406" s="240"/>
      <c r="T1406" s="240"/>
      <c r="U1406" s="240"/>
      <c r="V1406" s="240"/>
      <c r="W1406" s="240"/>
      <c r="X1406" s="240"/>
      <c r="Y1406" s="240"/>
      <c r="Z1406" s="240"/>
    </row>
    <row r="1407" ht="14.25" customHeight="1">
      <c r="A1407" s="302">
        <f t="shared" si="4"/>
        <v>47579</v>
      </c>
      <c r="B1407" s="241">
        <f t="shared" si="1"/>
        <v>2030</v>
      </c>
      <c r="C1407" s="241">
        <f t="shared" si="2"/>
        <v>4</v>
      </c>
      <c r="D1407" s="301" t="str">
        <f t="shared" si="3"/>
        <v>Saturday</v>
      </c>
      <c r="E1407" s="240"/>
      <c r="F1407" s="240"/>
      <c r="G1407" s="240"/>
      <c r="H1407" s="241"/>
      <c r="I1407" s="301"/>
      <c r="J1407" s="240"/>
      <c r="K1407" s="240"/>
      <c r="L1407" s="240"/>
      <c r="M1407" s="240"/>
      <c r="N1407" s="240"/>
      <c r="O1407" s="240"/>
      <c r="P1407" s="240"/>
      <c r="Q1407" s="240"/>
      <c r="R1407" s="240"/>
      <c r="S1407" s="240"/>
      <c r="T1407" s="240"/>
      <c r="U1407" s="240"/>
      <c r="V1407" s="240"/>
      <c r="W1407" s="240"/>
      <c r="X1407" s="240"/>
      <c r="Y1407" s="240"/>
      <c r="Z1407" s="240"/>
    </row>
    <row r="1408" ht="14.25" customHeight="1">
      <c r="A1408" s="302">
        <f t="shared" si="4"/>
        <v>47580</v>
      </c>
      <c r="B1408" s="241">
        <f t="shared" si="1"/>
        <v>2030</v>
      </c>
      <c r="C1408" s="241">
        <f t="shared" si="2"/>
        <v>4</v>
      </c>
      <c r="D1408" s="301" t="str">
        <f t="shared" si="3"/>
        <v>Sunday</v>
      </c>
      <c r="E1408" s="240"/>
      <c r="F1408" s="240"/>
      <c r="G1408" s="240"/>
      <c r="H1408" s="241"/>
      <c r="I1408" s="301"/>
      <c r="J1408" s="240"/>
      <c r="K1408" s="240"/>
      <c r="L1408" s="240"/>
      <c r="M1408" s="240"/>
      <c r="N1408" s="240"/>
      <c r="O1408" s="240"/>
      <c r="P1408" s="240"/>
      <c r="Q1408" s="240"/>
      <c r="R1408" s="240"/>
      <c r="S1408" s="240"/>
      <c r="T1408" s="240"/>
      <c r="U1408" s="240"/>
      <c r="V1408" s="240"/>
      <c r="W1408" s="240"/>
      <c r="X1408" s="240"/>
      <c r="Y1408" s="240"/>
      <c r="Z1408" s="240"/>
    </row>
    <row r="1409" ht="14.25" customHeight="1">
      <c r="A1409" s="302">
        <f t="shared" si="4"/>
        <v>47581</v>
      </c>
      <c r="B1409" s="241">
        <f t="shared" si="1"/>
        <v>2030</v>
      </c>
      <c r="C1409" s="241">
        <f t="shared" si="2"/>
        <v>4</v>
      </c>
      <c r="D1409" s="301" t="str">
        <f t="shared" si="3"/>
        <v>Monday</v>
      </c>
      <c r="E1409" s="240"/>
      <c r="F1409" s="240"/>
      <c r="G1409" s="240"/>
      <c r="H1409" s="241"/>
      <c r="I1409" s="301"/>
      <c r="J1409" s="240"/>
      <c r="K1409" s="240"/>
      <c r="L1409" s="240"/>
      <c r="M1409" s="240"/>
      <c r="N1409" s="240"/>
      <c r="O1409" s="240"/>
      <c r="P1409" s="240"/>
      <c r="Q1409" s="240"/>
      <c r="R1409" s="240"/>
      <c r="S1409" s="240"/>
      <c r="T1409" s="240"/>
      <c r="U1409" s="240"/>
      <c r="V1409" s="240"/>
      <c r="W1409" s="240"/>
      <c r="X1409" s="240"/>
      <c r="Y1409" s="240"/>
      <c r="Z1409" s="240"/>
    </row>
    <row r="1410" ht="14.25" customHeight="1">
      <c r="A1410" s="302">
        <f t="shared" si="4"/>
        <v>47582</v>
      </c>
      <c r="B1410" s="241">
        <f t="shared" si="1"/>
        <v>2030</v>
      </c>
      <c r="C1410" s="241">
        <f t="shared" si="2"/>
        <v>4</v>
      </c>
      <c r="D1410" s="301" t="str">
        <f t="shared" si="3"/>
        <v>Tuesday</v>
      </c>
      <c r="E1410" s="240"/>
      <c r="F1410" s="240"/>
      <c r="G1410" s="240"/>
      <c r="H1410" s="241"/>
      <c r="I1410" s="301"/>
      <c r="J1410" s="240"/>
      <c r="K1410" s="240"/>
      <c r="L1410" s="240"/>
      <c r="M1410" s="240"/>
      <c r="N1410" s="240"/>
      <c r="O1410" s="240"/>
      <c r="P1410" s="240"/>
      <c r="Q1410" s="240"/>
      <c r="R1410" s="240"/>
      <c r="S1410" s="240"/>
      <c r="T1410" s="240"/>
      <c r="U1410" s="240"/>
      <c r="V1410" s="240"/>
      <c r="W1410" s="240"/>
      <c r="X1410" s="240"/>
      <c r="Y1410" s="240"/>
      <c r="Z1410" s="240"/>
    </row>
    <row r="1411" ht="14.25" customHeight="1">
      <c r="A1411" s="302">
        <f t="shared" si="4"/>
        <v>47583</v>
      </c>
      <c r="B1411" s="241">
        <f t="shared" si="1"/>
        <v>2030</v>
      </c>
      <c r="C1411" s="241">
        <f t="shared" si="2"/>
        <v>4</v>
      </c>
      <c r="D1411" s="301" t="str">
        <f t="shared" si="3"/>
        <v>Wednesday</v>
      </c>
      <c r="E1411" s="240"/>
      <c r="F1411" s="240"/>
      <c r="G1411" s="240"/>
      <c r="H1411" s="241"/>
      <c r="I1411" s="301"/>
      <c r="J1411" s="240"/>
      <c r="K1411" s="240"/>
      <c r="L1411" s="240"/>
      <c r="M1411" s="240"/>
      <c r="N1411" s="240"/>
      <c r="O1411" s="240"/>
      <c r="P1411" s="240"/>
      <c r="Q1411" s="240"/>
      <c r="R1411" s="240"/>
      <c r="S1411" s="240"/>
      <c r="T1411" s="240"/>
      <c r="U1411" s="240"/>
      <c r="V1411" s="240"/>
      <c r="W1411" s="240"/>
      <c r="X1411" s="240"/>
      <c r="Y1411" s="240"/>
      <c r="Z1411" s="240"/>
    </row>
    <row r="1412" ht="14.25" customHeight="1">
      <c r="A1412" s="302">
        <f t="shared" si="4"/>
        <v>47584</v>
      </c>
      <c r="B1412" s="241">
        <f t="shared" si="1"/>
        <v>2030</v>
      </c>
      <c r="C1412" s="241">
        <f t="shared" si="2"/>
        <v>4</v>
      </c>
      <c r="D1412" s="301" t="str">
        <f t="shared" si="3"/>
        <v>Thursday</v>
      </c>
      <c r="E1412" s="240"/>
      <c r="F1412" s="240"/>
      <c r="G1412" s="240"/>
      <c r="H1412" s="241"/>
      <c r="I1412" s="301"/>
      <c r="J1412" s="240"/>
      <c r="K1412" s="240"/>
      <c r="L1412" s="240"/>
      <c r="M1412" s="240"/>
      <c r="N1412" s="240"/>
      <c r="O1412" s="240"/>
      <c r="P1412" s="240"/>
      <c r="Q1412" s="240"/>
      <c r="R1412" s="240"/>
      <c r="S1412" s="240"/>
      <c r="T1412" s="240"/>
      <c r="U1412" s="240"/>
      <c r="V1412" s="240"/>
      <c r="W1412" s="240"/>
      <c r="X1412" s="240"/>
      <c r="Y1412" s="240"/>
      <c r="Z1412" s="240"/>
    </row>
    <row r="1413" ht="14.25" customHeight="1">
      <c r="A1413" s="302">
        <f t="shared" si="4"/>
        <v>47585</v>
      </c>
      <c r="B1413" s="241">
        <f t="shared" si="1"/>
        <v>2030</v>
      </c>
      <c r="C1413" s="241">
        <f t="shared" si="2"/>
        <v>4</v>
      </c>
      <c r="D1413" s="301" t="str">
        <f t="shared" si="3"/>
        <v>Friday</v>
      </c>
      <c r="E1413" s="240"/>
      <c r="F1413" s="240"/>
      <c r="G1413" s="240"/>
      <c r="H1413" s="241"/>
      <c r="I1413" s="301"/>
      <c r="J1413" s="240"/>
      <c r="K1413" s="240"/>
      <c r="L1413" s="240"/>
      <c r="M1413" s="240"/>
      <c r="N1413" s="240"/>
      <c r="O1413" s="240"/>
      <c r="P1413" s="240"/>
      <c r="Q1413" s="240"/>
      <c r="R1413" s="240"/>
      <c r="S1413" s="240"/>
      <c r="T1413" s="240"/>
      <c r="U1413" s="240"/>
      <c r="V1413" s="240"/>
      <c r="W1413" s="240"/>
      <c r="X1413" s="240"/>
      <c r="Y1413" s="240"/>
      <c r="Z1413" s="240"/>
    </row>
    <row r="1414" ht="14.25" customHeight="1">
      <c r="A1414" s="302">
        <f t="shared" si="4"/>
        <v>47586</v>
      </c>
      <c r="B1414" s="241">
        <f t="shared" si="1"/>
        <v>2030</v>
      </c>
      <c r="C1414" s="241">
        <f t="shared" si="2"/>
        <v>4</v>
      </c>
      <c r="D1414" s="301" t="str">
        <f t="shared" si="3"/>
        <v>Saturday</v>
      </c>
      <c r="E1414" s="240"/>
      <c r="F1414" s="240"/>
      <c r="G1414" s="240"/>
      <c r="H1414" s="241"/>
      <c r="I1414" s="301"/>
      <c r="J1414" s="240"/>
      <c r="K1414" s="240"/>
      <c r="L1414" s="240"/>
      <c r="M1414" s="240"/>
      <c r="N1414" s="240"/>
      <c r="O1414" s="240"/>
      <c r="P1414" s="240"/>
      <c r="Q1414" s="240"/>
      <c r="R1414" s="240"/>
      <c r="S1414" s="240"/>
      <c r="T1414" s="240"/>
      <c r="U1414" s="240"/>
      <c r="V1414" s="240"/>
      <c r="W1414" s="240"/>
      <c r="X1414" s="240"/>
      <c r="Y1414" s="240"/>
      <c r="Z1414" s="240"/>
    </row>
    <row r="1415" ht="14.25" customHeight="1">
      <c r="A1415" s="302">
        <f t="shared" si="4"/>
        <v>47587</v>
      </c>
      <c r="B1415" s="241">
        <f t="shared" si="1"/>
        <v>2030</v>
      </c>
      <c r="C1415" s="241">
        <f t="shared" si="2"/>
        <v>4</v>
      </c>
      <c r="D1415" s="301" t="str">
        <f t="shared" si="3"/>
        <v>Sunday</v>
      </c>
      <c r="E1415" s="240"/>
      <c r="F1415" s="240"/>
      <c r="G1415" s="240"/>
      <c r="H1415" s="241"/>
      <c r="I1415" s="301"/>
      <c r="J1415" s="240"/>
      <c r="K1415" s="240"/>
      <c r="L1415" s="240"/>
      <c r="M1415" s="240"/>
      <c r="N1415" s="240"/>
      <c r="O1415" s="240"/>
      <c r="P1415" s="240"/>
      <c r="Q1415" s="240"/>
      <c r="R1415" s="240"/>
      <c r="S1415" s="240"/>
      <c r="T1415" s="240"/>
      <c r="U1415" s="240"/>
      <c r="V1415" s="240"/>
      <c r="W1415" s="240"/>
      <c r="X1415" s="240"/>
      <c r="Y1415" s="240"/>
      <c r="Z1415" s="240"/>
    </row>
    <row r="1416" ht="14.25" customHeight="1">
      <c r="A1416" s="302">
        <f t="shared" si="4"/>
        <v>47588</v>
      </c>
      <c r="B1416" s="241">
        <f t="shared" si="1"/>
        <v>2030</v>
      </c>
      <c r="C1416" s="241">
        <f t="shared" si="2"/>
        <v>4</v>
      </c>
      <c r="D1416" s="301" t="str">
        <f t="shared" si="3"/>
        <v>Monday</v>
      </c>
      <c r="E1416" s="240"/>
      <c r="F1416" s="240"/>
      <c r="G1416" s="240"/>
      <c r="H1416" s="241"/>
      <c r="I1416" s="301"/>
      <c r="J1416" s="240"/>
      <c r="K1416" s="240"/>
      <c r="L1416" s="240"/>
      <c r="M1416" s="240"/>
      <c r="N1416" s="240"/>
      <c r="O1416" s="240"/>
      <c r="P1416" s="240"/>
      <c r="Q1416" s="240"/>
      <c r="R1416" s="240"/>
      <c r="S1416" s="240"/>
      <c r="T1416" s="240"/>
      <c r="U1416" s="240"/>
      <c r="V1416" s="240"/>
      <c r="W1416" s="240"/>
      <c r="X1416" s="240"/>
      <c r="Y1416" s="240"/>
      <c r="Z1416" s="240"/>
    </row>
    <row r="1417" ht="14.25" customHeight="1">
      <c r="A1417" s="302">
        <f t="shared" si="4"/>
        <v>47589</v>
      </c>
      <c r="B1417" s="241">
        <f t="shared" si="1"/>
        <v>2030</v>
      </c>
      <c r="C1417" s="241">
        <f t="shared" si="2"/>
        <v>4</v>
      </c>
      <c r="D1417" s="301" t="str">
        <f t="shared" si="3"/>
        <v>Tuesday</v>
      </c>
      <c r="E1417" s="240"/>
      <c r="F1417" s="240"/>
      <c r="G1417" s="240"/>
      <c r="H1417" s="241"/>
      <c r="I1417" s="301"/>
      <c r="J1417" s="240"/>
      <c r="K1417" s="240"/>
      <c r="L1417" s="240"/>
      <c r="M1417" s="240"/>
      <c r="N1417" s="240"/>
      <c r="O1417" s="240"/>
      <c r="P1417" s="240"/>
      <c r="Q1417" s="240"/>
      <c r="R1417" s="240"/>
      <c r="S1417" s="240"/>
      <c r="T1417" s="240"/>
      <c r="U1417" s="240"/>
      <c r="V1417" s="240"/>
      <c r="W1417" s="240"/>
      <c r="X1417" s="240"/>
      <c r="Y1417" s="240"/>
      <c r="Z1417" s="240"/>
    </row>
    <row r="1418" ht="14.25" customHeight="1">
      <c r="A1418" s="302">
        <f t="shared" si="4"/>
        <v>47590</v>
      </c>
      <c r="B1418" s="241">
        <f t="shared" si="1"/>
        <v>2030</v>
      </c>
      <c r="C1418" s="241">
        <f t="shared" si="2"/>
        <v>4</v>
      </c>
      <c r="D1418" s="301" t="str">
        <f t="shared" si="3"/>
        <v>Wednesday</v>
      </c>
      <c r="E1418" s="240"/>
      <c r="F1418" s="240"/>
      <c r="G1418" s="240"/>
      <c r="H1418" s="241"/>
      <c r="I1418" s="301"/>
      <c r="J1418" s="240"/>
      <c r="K1418" s="240"/>
      <c r="L1418" s="240"/>
      <c r="M1418" s="240"/>
      <c r="N1418" s="240"/>
      <c r="O1418" s="240"/>
      <c r="P1418" s="240"/>
      <c r="Q1418" s="240"/>
      <c r="R1418" s="240"/>
      <c r="S1418" s="240"/>
      <c r="T1418" s="240"/>
      <c r="U1418" s="240"/>
      <c r="V1418" s="240"/>
      <c r="W1418" s="240"/>
      <c r="X1418" s="240"/>
      <c r="Y1418" s="240"/>
      <c r="Z1418" s="240"/>
    </row>
    <row r="1419" ht="14.25" customHeight="1">
      <c r="A1419" s="302">
        <f t="shared" si="4"/>
        <v>47591</v>
      </c>
      <c r="B1419" s="241">
        <f t="shared" si="1"/>
        <v>2030</v>
      </c>
      <c r="C1419" s="241">
        <f t="shared" si="2"/>
        <v>4</v>
      </c>
      <c r="D1419" s="301" t="str">
        <f t="shared" si="3"/>
        <v>Thursday</v>
      </c>
      <c r="E1419" s="240"/>
      <c r="F1419" s="240"/>
      <c r="G1419" s="240"/>
      <c r="H1419" s="241"/>
      <c r="I1419" s="301"/>
      <c r="J1419" s="240"/>
      <c r="K1419" s="240"/>
      <c r="L1419" s="240"/>
      <c r="M1419" s="240"/>
      <c r="N1419" s="240"/>
      <c r="O1419" s="240"/>
      <c r="P1419" s="240"/>
      <c r="Q1419" s="240"/>
      <c r="R1419" s="240"/>
      <c r="S1419" s="240"/>
      <c r="T1419" s="240"/>
      <c r="U1419" s="240"/>
      <c r="V1419" s="240"/>
      <c r="W1419" s="240"/>
      <c r="X1419" s="240"/>
      <c r="Y1419" s="240"/>
      <c r="Z1419" s="240"/>
    </row>
    <row r="1420" ht="14.25" customHeight="1">
      <c r="A1420" s="302">
        <f t="shared" si="4"/>
        <v>47592</v>
      </c>
      <c r="B1420" s="241">
        <f t="shared" si="1"/>
        <v>2030</v>
      </c>
      <c r="C1420" s="241">
        <f t="shared" si="2"/>
        <v>4</v>
      </c>
      <c r="D1420" s="301" t="str">
        <f t="shared" si="3"/>
        <v>Friday</v>
      </c>
      <c r="E1420" s="240"/>
      <c r="F1420" s="240"/>
      <c r="G1420" s="240"/>
      <c r="H1420" s="241"/>
      <c r="I1420" s="301"/>
      <c r="J1420" s="240"/>
      <c r="K1420" s="240"/>
      <c r="L1420" s="240"/>
      <c r="M1420" s="240"/>
      <c r="N1420" s="240"/>
      <c r="O1420" s="240"/>
      <c r="P1420" s="240"/>
      <c r="Q1420" s="240"/>
      <c r="R1420" s="240"/>
      <c r="S1420" s="240"/>
      <c r="T1420" s="240"/>
      <c r="U1420" s="240"/>
      <c r="V1420" s="240"/>
      <c r="W1420" s="240"/>
      <c r="X1420" s="240"/>
      <c r="Y1420" s="240"/>
      <c r="Z1420" s="240"/>
    </row>
    <row r="1421" ht="14.25" customHeight="1">
      <c r="A1421" s="302">
        <f t="shared" si="4"/>
        <v>47593</v>
      </c>
      <c r="B1421" s="241">
        <f t="shared" si="1"/>
        <v>2030</v>
      </c>
      <c r="C1421" s="241">
        <f t="shared" si="2"/>
        <v>4</v>
      </c>
      <c r="D1421" s="301" t="str">
        <f t="shared" si="3"/>
        <v>Saturday</v>
      </c>
      <c r="E1421" s="240"/>
      <c r="F1421" s="240"/>
      <c r="G1421" s="240"/>
      <c r="H1421" s="241"/>
      <c r="I1421" s="301"/>
      <c r="J1421" s="240"/>
      <c r="K1421" s="240"/>
      <c r="L1421" s="240"/>
      <c r="M1421" s="240"/>
      <c r="N1421" s="240"/>
      <c r="O1421" s="240"/>
      <c r="P1421" s="240"/>
      <c r="Q1421" s="240"/>
      <c r="R1421" s="240"/>
      <c r="S1421" s="240"/>
      <c r="T1421" s="240"/>
      <c r="U1421" s="240"/>
      <c r="V1421" s="240"/>
      <c r="W1421" s="240"/>
      <c r="X1421" s="240"/>
      <c r="Y1421" s="240"/>
      <c r="Z1421" s="240"/>
    </row>
    <row r="1422" ht="14.25" customHeight="1">
      <c r="A1422" s="302">
        <f t="shared" si="4"/>
        <v>47594</v>
      </c>
      <c r="B1422" s="241">
        <f t="shared" si="1"/>
        <v>2030</v>
      </c>
      <c r="C1422" s="241">
        <f t="shared" si="2"/>
        <v>4</v>
      </c>
      <c r="D1422" s="301" t="str">
        <f t="shared" si="3"/>
        <v>Sunday</v>
      </c>
      <c r="E1422" s="240"/>
      <c r="F1422" s="240"/>
      <c r="G1422" s="240"/>
      <c r="H1422" s="241"/>
      <c r="I1422" s="301"/>
      <c r="J1422" s="240"/>
      <c r="K1422" s="240"/>
      <c r="L1422" s="240"/>
      <c r="M1422" s="240"/>
      <c r="N1422" s="240"/>
      <c r="O1422" s="240"/>
      <c r="P1422" s="240"/>
      <c r="Q1422" s="240"/>
      <c r="R1422" s="240"/>
      <c r="S1422" s="240"/>
      <c r="T1422" s="240"/>
      <c r="U1422" s="240"/>
      <c r="V1422" s="240"/>
      <c r="W1422" s="240"/>
      <c r="X1422" s="240"/>
      <c r="Y1422" s="240"/>
      <c r="Z1422" s="240"/>
    </row>
    <row r="1423" ht="14.25" customHeight="1">
      <c r="A1423" s="302">
        <f t="shared" si="4"/>
        <v>47595</v>
      </c>
      <c r="B1423" s="241">
        <f t="shared" si="1"/>
        <v>2030</v>
      </c>
      <c r="C1423" s="241">
        <f t="shared" si="2"/>
        <v>4</v>
      </c>
      <c r="D1423" s="301" t="str">
        <f t="shared" si="3"/>
        <v>Monday</v>
      </c>
      <c r="E1423" s="240"/>
      <c r="F1423" s="240"/>
      <c r="G1423" s="240"/>
      <c r="H1423" s="241"/>
      <c r="I1423" s="301"/>
      <c r="J1423" s="240"/>
      <c r="K1423" s="240"/>
      <c r="L1423" s="240"/>
      <c r="M1423" s="240"/>
      <c r="N1423" s="240"/>
      <c r="O1423" s="240"/>
      <c r="P1423" s="240"/>
      <c r="Q1423" s="240"/>
      <c r="R1423" s="240"/>
      <c r="S1423" s="240"/>
      <c r="T1423" s="240"/>
      <c r="U1423" s="240"/>
      <c r="V1423" s="240"/>
      <c r="W1423" s="240"/>
      <c r="X1423" s="240"/>
      <c r="Y1423" s="240"/>
      <c r="Z1423" s="240"/>
    </row>
    <row r="1424" ht="14.25" customHeight="1">
      <c r="A1424" s="302">
        <f t="shared" si="4"/>
        <v>47596</v>
      </c>
      <c r="B1424" s="241">
        <f t="shared" si="1"/>
        <v>2030</v>
      </c>
      <c r="C1424" s="241">
        <f t="shared" si="2"/>
        <v>4</v>
      </c>
      <c r="D1424" s="301" t="str">
        <f t="shared" si="3"/>
        <v>Tuesday</v>
      </c>
      <c r="E1424" s="240"/>
      <c r="F1424" s="240"/>
      <c r="G1424" s="240"/>
      <c r="H1424" s="241"/>
      <c r="I1424" s="301"/>
      <c r="J1424" s="240"/>
      <c r="K1424" s="240"/>
      <c r="L1424" s="240"/>
      <c r="M1424" s="240"/>
      <c r="N1424" s="240"/>
      <c r="O1424" s="240"/>
      <c r="P1424" s="240"/>
      <c r="Q1424" s="240"/>
      <c r="R1424" s="240"/>
      <c r="S1424" s="240"/>
      <c r="T1424" s="240"/>
      <c r="U1424" s="240"/>
      <c r="V1424" s="240"/>
      <c r="W1424" s="240"/>
      <c r="X1424" s="240"/>
      <c r="Y1424" s="240"/>
      <c r="Z1424" s="240"/>
    </row>
    <row r="1425" ht="14.25" customHeight="1">
      <c r="A1425" s="302">
        <f t="shared" si="4"/>
        <v>47597</v>
      </c>
      <c r="B1425" s="241">
        <f t="shared" si="1"/>
        <v>2030</v>
      </c>
      <c r="C1425" s="241">
        <f t="shared" si="2"/>
        <v>4</v>
      </c>
      <c r="D1425" s="301" t="str">
        <f t="shared" si="3"/>
        <v>Wednesday</v>
      </c>
      <c r="E1425" s="240"/>
      <c r="F1425" s="240"/>
      <c r="G1425" s="240"/>
      <c r="H1425" s="241"/>
      <c r="I1425" s="301"/>
      <c r="J1425" s="240"/>
      <c r="K1425" s="240"/>
      <c r="L1425" s="240"/>
      <c r="M1425" s="240"/>
      <c r="N1425" s="240"/>
      <c r="O1425" s="240"/>
      <c r="P1425" s="240"/>
      <c r="Q1425" s="240"/>
      <c r="R1425" s="240"/>
      <c r="S1425" s="240"/>
      <c r="T1425" s="240"/>
      <c r="U1425" s="240"/>
      <c r="V1425" s="240"/>
      <c r="W1425" s="240"/>
      <c r="X1425" s="240"/>
      <c r="Y1425" s="240"/>
      <c r="Z1425" s="240"/>
    </row>
    <row r="1426" ht="14.25" customHeight="1">
      <c r="A1426" s="302">
        <f t="shared" si="4"/>
        <v>47598</v>
      </c>
      <c r="B1426" s="241">
        <f t="shared" si="1"/>
        <v>2030</v>
      </c>
      <c r="C1426" s="241">
        <f t="shared" si="2"/>
        <v>4</v>
      </c>
      <c r="D1426" s="301" t="str">
        <f t="shared" si="3"/>
        <v>Thursday</v>
      </c>
      <c r="E1426" s="240"/>
      <c r="F1426" s="240"/>
      <c r="G1426" s="240"/>
      <c r="H1426" s="241"/>
      <c r="I1426" s="301"/>
      <c r="J1426" s="240"/>
      <c r="K1426" s="240"/>
      <c r="L1426" s="240"/>
      <c r="M1426" s="240"/>
      <c r="N1426" s="240"/>
      <c r="O1426" s="240"/>
      <c r="P1426" s="240"/>
      <c r="Q1426" s="240"/>
      <c r="R1426" s="240"/>
      <c r="S1426" s="240"/>
      <c r="T1426" s="240"/>
      <c r="U1426" s="240"/>
      <c r="V1426" s="240"/>
      <c r="W1426" s="240"/>
      <c r="X1426" s="240"/>
      <c r="Y1426" s="240"/>
      <c r="Z1426" s="240"/>
    </row>
    <row r="1427" ht="14.25" customHeight="1">
      <c r="A1427" s="302">
        <f t="shared" si="4"/>
        <v>47599</v>
      </c>
      <c r="B1427" s="241">
        <f t="shared" si="1"/>
        <v>2030</v>
      </c>
      <c r="C1427" s="241">
        <f t="shared" si="2"/>
        <v>4</v>
      </c>
      <c r="D1427" s="301" t="str">
        <f t="shared" si="3"/>
        <v>Friday</v>
      </c>
      <c r="E1427" s="240"/>
      <c r="F1427" s="240"/>
      <c r="G1427" s="240"/>
      <c r="H1427" s="241"/>
      <c r="I1427" s="301"/>
      <c r="J1427" s="240"/>
      <c r="K1427" s="240"/>
      <c r="L1427" s="240"/>
      <c r="M1427" s="240"/>
      <c r="N1427" s="240"/>
      <c r="O1427" s="240"/>
      <c r="P1427" s="240"/>
      <c r="Q1427" s="240"/>
      <c r="R1427" s="240"/>
      <c r="S1427" s="240"/>
      <c r="T1427" s="240"/>
      <c r="U1427" s="240"/>
      <c r="V1427" s="240"/>
      <c r="W1427" s="240"/>
      <c r="X1427" s="240"/>
      <c r="Y1427" s="240"/>
      <c r="Z1427" s="240"/>
    </row>
    <row r="1428" ht="14.25" customHeight="1">
      <c r="A1428" s="302">
        <f t="shared" si="4"/>
        <v>47600</v>
      </c>
      <c r="B1428" s="241">
        <f t="shared" si="1"/>
        <v>2030</v>
      </c>
      <c r="C1428" s="241">
        <f t="shared" si="2"/>
        <v>4</v>
      </c>
      <c r="D1428" s="301" t="str">
        <f t="shared" si="3"/>
        <v>Saturday</v>
      </c>
      <c r="E1428" s="240"/>
      <c r="F1428" s="240"/>
      <c r="G1428" s="240"/>
      <c r="H1428" s="241"/>
      <c r="I1428" s="301"/>
      <c r="J1428" s="240"/>
      <c r="K1428" s="240"/>
      <c r="L1428" s="240"/>
      <c r="M1428" s="240"/>
      <c r="N1428" s="240"/>
      <c r="O1428" s="240"/>
      <c r="P1428" s="240"/>
      <c r="Q1428" s="240"/>
      <c r="R1428" s="240"/>
      <c r="S1428" s="240"/>
      <c r="T1428" s="240"/>
      <c r="U1428" s="240"/>
      <c r="V1428" s="240"/>
      <c r="W1428" s="240"/>
      <c r="X1428" s="240"/>
      <c r="Y1428" s="240"/>
      <c r="Z1428" s="240"/>
    </row>
    <row r="1429" ht="14.25" customHeight="1">
      <c r="A1429" s="302">
        <f t="shared" si="4"/>
        <v>47601</v>
      </c>
      <c r="B1429" s="241">
        <f t="shared" si="1"/>
        <v>2030</v>
      </c>
      <c r="C1429" s="241">
        <f t="shared" si="2"/>
        <v>4</v>
      </c>
      <c r="D1429" s="301" t="str">
        <f t="shared" si="3"/>
        <v>Sunday</v>
      </c>
      <c r="E1429" s="240"/>
      <c r="F1429" s="240"/>
      <c r="G1429" s="240"/>
      <c r="H1429" s="241"/>
      <c r="I1429" s="301"/>
      <c r="J1429" s="240"/>
      <c r="K1429" s="240"/>
      <c r="L1429" s="240"/>
      <c r="M1429" s="240"/>
      <c r="N1429" s="240"/>
      <c r="O1429" s="240"/>
      <c r="P1429" s="240"/>
      <c r="Q1429" s="240"/>
      <c r="R1429" s="240"/>
      <c r="S1429" s="240"/>
      <c r="T1429" s="240"/>
      <c r="U1429" s="240"/>
      <c r="V1429" s="240"/>
      <c r="W1429" s="240"/>
      <c r="X1429" s="240"/>
      <c r="Y1429" s="240"/>
      <c r="Z1429" s="240"/>
    </row>
    <row r="1430" ht="14.25" customHeight="1">
      <c r="A1430" s="302">
        <f t="shared" si="4"/>
        <v>47602</v>
      </c>
      <c r="B1430" s="241">
        <f t="shared" si="1"/>
        <v>2030</v>
      </c>
      <c r="C1430" s="241">
        <f t="shared" si="2"/>
        <v>4</v>
      </c>
      <c r="D1430" s="301" t="str">
        <f t="shared" si="3"/>
        <v>Monday</v>
      </c>
      <c r="E1430" s="240"/>
      <c r="F1430" s="240"/>
      <c r="G1430" s="240"/>
      <c r="H1430" s="241"/>
      <c r="I1430" s="301"/>
      <c r="J1430" s="240"/>
      <c r="K1430" s="240"/>
      <c r="L1430" s="240"/>
      <c r="M1430" s="240"/>
      <c r="N1430" s="240"/>
      <c r="O1430" s="240"/>
      <c r="P1430" s="240"/>
      <c r="Q1430" s="240"/>
      <c r="R1430" s="240"/>
      <c r="S1430" s="240"/>
      <c r="T1430" s="240"/>
      <c r="U1430" s="240"/>
      <c r="V1430" s="240"/>
      <c r="W1430" s="240"/>
      <c r="X1430" s="240"/>
      <c r="Y1430" s="240"/>
      <c r="Z1430" s="240"/>
    </row>
    <row r="1431" ht="14.25" customHeight="1">
      <c r="A1431" s="302">
        <f t="shared" si="4"/>
        <v>47603</v>
      </c>
      <c r="B1431" s="241">
        <f t="shared" si="1"/>
        <v>2030</v>
      </c>
      <c r="C1431" s="241">
        <f t="shared" si="2"/>
        <v>4</v>
      </c>
      <c r="D1431" s="301" t="str">
        <f t="shared" si="3"/>
        <v>Tuesday</v>
      </c>
      <c r="E1431" s="240"/>
      <c r="F1431" s="240"/>
      <c r="G1431" s="240"/>
      <c r="H1431" s="241"/>
      <c r="I1431" s="301"/>
      <c r="J1431" s="240"/>
      <c r="K1431" s="240"/>
      <c r="L1431" s="240"/>
      <c r="M1431" s="240"/>
      <c r="N1431" s="240"/>
      <c r="O1431" s="240"/>
      <c r="P1431" s="240"/>
      <c r="Q1431" s="240"/>
      <c r="R1431" s="240"/>
      <c r="S1431" s="240"/>
      <c r="T1431" s="240"/>
      <c r="U1431" s="240"/>
      <c r="V1431" s="240"/>
      <c r="W1431" s="240"/>
      <c r="X1431" s="240"/>
      <c r="Y1431" s="240"/>
      <c r="Z1431" s="240"/>
    </row>
    <row r="1432" ht="14.25" customHeight="1">
      <c r="A1432" s="302">
        <f t="shared" si="4"/>
        <v>47604</v>
      </c>
      <c r="B1432" s="241">
        <f t="shared" si="1"/>
        <v>2030</v>
      </c>
      <c r="C1432" s="241">
        <f t="shared" si="2"/>
        <v>5</v>
      </c>
      <c r="D1432" s="301" t="str">
        <f t="shared" si="3"/>
        <v>Wednesday</v>
      </c>
      <c r="E1432" s="240"/>
      <c r="F1432" s="240"/>
      <c r="G1432" s="240"/>
      <c r="H1432" s="241"/>
      <c r="I1432" s="301"/>
      <c r="J1432" s="240"/>
      <c r="K1432" s="240"/>
      <c r="L1432" s="240"/>
      <c r="M1432" s="240"/>
      <c r="N1432" s="240"/>
      <c r="O1432" s="240"/>
      <c r="P1432" s="240"/>
      <c r="Q1432" s="240"/>
      <c r="R1432" s="240"/>
      <c r="S1432" s="240"/>
      <c r="T1432" s="240"/>
      <c r="U1432" s="240"/>
      <c r="V1432" s="240"/>
      <c r="W1432" s="240"/>
      <c r="X1432" s="240"/>
      <c r="Y1432" s="240"/>
      <c r="Z1432" s="240"/>
    </row>
    <row r="1433" ht="14.25" customHeight="1">
      <c r="A1433" s="302">
        <f t="shared" si="4"/>
        <v>47605</v>
      </c>
      <c r="B1433" s="241">
        <f t="shared" si="1"/>
        <v>2030</v>
      </c>
      <c r="C1433" s="241">
        <f t="shared" si="2"/>
        <v>5</v>
      </c>
      <c r="D1433" s="301" t="str">
        <f t="shared" si="3"/>
        <v>Thursday</v>
      </c>
      <c r="E1433" s="240"/>
      <c r="F1433" s="240"/>
      <c r="G1433" s="240"/>
      <c r="H1433" s="241"/>
      <c r="I1433" s="301"/>
      <c r="J1433" s="240"/>
      <c r="K1433" s="240"/>
      <c r="L1433" s="240"/>
      <c r="M1433" s="240"/>
      <c r="N1433" s="240"/>
      <c r="O1433" s="240"/>
      <c r="P1433" s="240"/>
      <c r="Q1433" s="240"/>
      <c r="R1433" s="240"/>
      <c r="S1433" s="240"/>
      <c r="T1433" s="240"/>
      <c r="U1433" s="240"/>
      <c r="V1433" s="240"/>
      <c r="W1433" s="240"/>
      <c r="X1433" s="240"/>
      <c r="Y1433" s="240"/>
      <c r="Z1433" s="240"/>
    </row>
    <row r="1434" ht="14.25" customHeight="1">
      <c r="A1434" s="302">
        <f t="shared" si="4"/>
        <v>47606</v>
      </c>
      <c r="B1434" s="241">
        <f t="shared" si="1"/>
        <v>2030</v>
      </c>
      <c r="C1434" s="241">
        <f t="shared" si="2"/>
        <v>5</v>
      </c>
      <c r="D1434" s="301" t="str">
        <f t="shared" si="3"/>
        <v>Friday</v>
      </c>
      <c r="E1434" s="240"/>
      <c r="F1434" s="240"/>
      <c r="G1434" s="240"/>
      <c r="H1434" s="241"/>
      <c r="I1434" s="301"/>
      <c r="J1434" s="240"/>
      <c r="K1434" s="240"/>
      <c r="L1434" s="240"/>
      <c r="M1434" s="240"/>
      <c r="N1434" s="240"/>
      <c r="O1434" s="240"/>
      <c r="P1434" s="240"/>
      <c r="Q1434" s="240"/>
      <c r="R1434" s="240"/>
      <c r="S1434" s="240"/>
      <c r="T1434" s="240"/>
      <c r="U1434" s="240"/>
      <c r="V1434" s="240"/>
      <c r="W1434" s="240"/>
      <c r="X1434" s="240"/>
      <c r="Y1434" s="240"/>
      <c r="Z1434" s="240"/>
    </row>
    <row r="1435" ht="14.25" customHeight="1">
      <c r="A1435" s="302">
        <f t="shared" si="4"/>
        <v>47607</v>
      </c>
      <c r="B1435" s="241">
        <f t="shared" si="1"/>
        <v>2030</v>
      </c>
      <c r="C1435" s="241">
        <f t="shared" si="2"/>
        <v>5</v>
      </c>
      <c r="D1435" s="301" t="str">
        <f t="shared" si="3"/>
        <v>Saturday</v>
      </c>
      <c r="E1435" s="240"/>
      <c r="F1435" s="240"/>
      <c r="G1435" s="240"/>
      <c r="H1435" s="241"/>
      <c r="I1435" s="301"/>
      <c r="J1435" s="240"/>
      <c r="K1435" s="240"/>
      <c r="L1435" s="240"/>
      <c r="M1435" s="240"/>
      <c r="N1435" s="240"/>
      <c r="O1435" s="240"/>
      <c r="P1435" s="240"/>
      <c r="Q1435" s="240"/>
      <c r="R1435" s="240"/>
      <c r="S1435" s="240"/>
      <c r="T1435" s="240"/>
      <c r="U1435" s="240"/>
      <c r="V1435" s="240"/>
      <c r="W1435" s="240"/>
      <c r="X1435" s="240"/>
      <c r="Y1435" s="240"/>
      <c r="Z1435" s="240"/>
    </row>
    <row r="1436" ht="14.25" customHeight="1">
      <c r="A1436" s="302">
        <f t="shared" si="4"/>
        <v>47608</v>
      </c>
      <c r="B1436" s="241">
        <f t="shared" si="1"/>
        <v>2030</v>
      </c>
      <c r="C1436" s="241">
        <f t="shared" si="2"/>
        <v>5</v>
      </c>
      <c r="D1436" s="301" t="str">
        <f t="shared" si="3"/>
        <v>Sunday</v>
      </c>
      <c r="E1436" s="240"/>
      <c r="F1436" s="240"/>
      <c r="G1436" s="240"/>
      <c r="H1436" s="241"/>
      <c r="I1436" s="301"/>
      <c r="J1436" s="240"/>
      <c r="K1436" s="240"/>
      <c r="L1436" s="240"/>
      <c r="M1436" s="240"/>
      <c r="N1436" s="240"/>
      <c r="O1436" s="240"/>
      <c r="P1436" s="240"/>
      <c r="Q1436" s="240"/>
      <c r="R1436" s="240"/>
      <c r="S1436" s="240"/>
      <c r="T1436" s="240"/>
      <c r="U1436" s="240"/>
      <c r="V1436" s="240"/>
      <c r="W1436" s="240"/>
      <c r="X1436" s="240"/>
      <c r="Y1436" s="240"/>
      <c r="Z1436" s="240"/>
    </row>
    <row r="1437" ht="14.25" customHeight="1">
      <c r="A1437" s="302">
        <f t="shared" si="4"/>
        <v>47609</v>
      </c>
      <c r="B1437" s="241">
        <f t="shared" si="1"/>
        <v>2030</v>
      </c>
      <c r="C1437" s="241">
        <f t="shared" si="2"/>
        <v>5</v>
      </c>
      <c r="D1437" s="301" t="str">
        <f t="shared" si="3"/>
        <v>Monday</v>
      </c>
      <c r="E1437" s="240"/>
      <c r="F1437" s="240"/>
      <c r="G1437" s="240"/>
      <c r="H1437" s="241"/>
      <c r="I1437" s="301"/>
      <c r="J1437" s="240"/>
      <c r="K1437" s="240"/>
      <c r="L1437" s="240"/>
      <c r="M1437" s="240"/>
      <c r="N1437" s="240"/>
      <c r="O1437" s="240"/>
      <c r="P1437" s="240"/>
      <c r="Q1437" s="240"/>
      <c r="R1437" s="240"/>
      <c r="S1437" s="240"/>
      <c r="T1437" s="240"/>
      <c r="U1437" s="240"/>
      <c r="V1437" s="240"/>
      <c r="W1437" s="240"/>
      <c r="X1437" s="240"/>
      <c r="Y1437" s="240"/>
      <c r="Z1437" s="240"/>
    </row>
    <row r="1438" ht="14.25" customHeight="1">
      <c r="A1438" s="302">
        <f t="shared" si="4"/>
        <v>47610</v>
      </c>
      <c r="B1438" s="241">
        <f t="shared" si="1"/>
        <v>2030</v>
      </c>
      <c r="C1438" s="241">
        <f t="shared" si="2"/>
        <v>5</v>
      </c>
      <c r="D1438" s="301" t="str">
        <f t="shared" si="3"/>
        <v>Tuesday</v>
      </c>
      <c r="E1438" s="240"/>
      <c r="F1438" s="240"/>
      <c r="G1438" s="240"/>
      <c r="H1438" s="241"/>
      <c r="I1438" s="301"/>
      <c r="J1438" s="240"/>
      <c r="K1438" s="240"/>
      <c r="L1438" s="240"/>
      <c r="M1438" s="240"/>
      <c r="N1438" s="240"/>
      <c r="O1438" s="240"/>
      <c r="P1438" s="240"/>
      <c r="Q1438" s="240"/>
      <c r="R1438" s="240"/>
      <c r="S1438" s="240"/>
      <c r="T1438" s="240"/>
      <c r="U1438" s="240"/>
      <c r="V1438" s="240"/>
      <c r="W1438" s="240"/>
      <c r="X1438" s="240"/>
      <c r="Y1438" s="240"/>
      <c r="Z1438" s="240"/>
    </row>
    <row r="1439" ht="14.25" customHeight="1">
      <c r="A1439" s="302">
        <f t="shared" si="4"/>
        <v>47611</v>
      </c>
      <c r="B1439" s="241">
        <f t="shared" si="1"/>
        <v>2030</v>
      </c>
      <c r="C1439" s="241">
        <f t="shared" si="2"/>
        <v>5</v>
      </c>
      <c r="D1439" s="301" t="str">
        <f t="shared" si="3"/>
        <v>Wednesday</v>
      </c>
      <c r="E1439" s="240"/>
      <c r="F1439" s="240"/>
      <c r="G1439" s="240"/>
      <c r="H1439" s="241"/>
      <c r="I1439" s="301"/>
      <c r="J1439" s="240"/>
      <c r="K1439" s="240"/>
      <c r="L1439" s="240"/>
      <c r="M1439" s="240"/>
      <c r="N1439" s="240"/>
      <c r="O1439" s="240"/>
      <c r="P1439" s="240"/>
      <c r="Q1439" s="240"/>
      <c r="R1439" s="240"/>
      <c r="S1439" s="240"/>
      <c r="T1439" s="240"/>
      <c r="U1439" s="240"/>
      <c r="V1439" s="240"/>
      <c r="W1439" s="240"/>
      <c r="X1439" s="240"/>
      <c r="Y1439" s="240"/>
      <c r="Z1439" s="240"/>
    </row>
    <row r="1440" ht="14.25" customHeight="1">
      <c r="A1440" s="302">
        <f t="shared" si="4"/>
        <v>47612</v>
      </c>
      <c r="B1440" s="241">
        <f t="shared" si="1"/>
        <v>2030</v>
      </c>
      <c r="C1440" s="241">
        <f t="shared" si="2"/>
        <v>5</v>
      </c>
      <c r="D1440" s="301" t="str">
        <f t="shared" si="3"/>
        <v>Thursday</v>
      </c>
      <c r="E1440" s="240"/>
      <c r="F1440" s="240"/>
      <c r="G1440" s="240"/>
      <c r="H1440" s="241"/>
      <c r="I1440" s="301"/>
      <c r="J1440" s="240"/>
      <c r="K1440" s="240"/>
      <c r="L1440" s="240"/>
      <c r="M1440" s="240"/>
      <c r="N1440" s="240"/>
      <c r="O1440" s="240"/>
      <c r="P1440" s="240"/>
      <c r="Q1440" s="240"/>
      <c r="R1440" s="240"/>
      <c r="S1440" s="240"/>
      <c r="T1440" s="240"/>
      <c r="U1440" s="240"/>
      <c r="V1440" s="240"/>
      <c r="W1440" s="240"/>
      <c r="X1440" s="240"/>
      <c r="Y1440" s="240"/>
      <c r="Z1440" s="240"/>
    </row>
    <row r="1441" ht="14.25" customHeight="1">
      <c r="A1441" s="302">
        <f t="shared" si="4"/>
        <v>47613</v>
      </c>
      <c r="B1441" s="241">
        <f t="shared" si="1"/>
        <v>2030</v>
      </c>
      <c r="C1441" s="241">
        <f t="shared" si="2"/>
        <v>5</v>
      </c>
      <c r="D1441" s="301" t="str">
        <f t="shared" si="3"/>
        <v>Friday</v>
      </c>
      <c r="E1441" s="240"/>
      <c r="F1441" s="240"/>
      <c r="G1441" s="240"/>
      <c r="H1441" s="241"/>
      <c r="I1441" s="301"/>
      <c r="J1441" s="240"/>
      <c r="K1441" s="240"/>
      <c r="L1441" s="240"/>
      <c r="M1441" s="240"/>
      <c r="N1441" s="240"/>
      <c r="O1441" s="240"/>
      <c r="P1441" s="240"/>
      <c r="Q1441" s="240"/>
      <c r="R1441" s="240"/>
      <c r="S1441" s="240"/>
      <c r="T1441" s="240"/>
      <c r="U1441" s="240"/>
      <c r="V1441" s="240"/>
      <c r="W1441" s="240"/>
      <c r="X1441" s="240"/>
      <c r="Y1441" s="240"/>
      <c r="Z1441" s="240"/>
    </row>
    <row r="1442" ht="14.25" customHeight="1">
      <c r="A1442" s="302">
        <f t="shared" si="4"/>
        <v>47614</v>
      </c>
      <c r="B1442" s="241">
        <f t="shared" si="1"/>
        <v>2030</v>
      </c>
      <c r="C1442" s="241">
        <f t="shared" si="2"/>
        <v>5</v>
      </c>
      <c r="D1442" s="301" t="str">
        <f t="shared" si="3"/>
        <v>Saturday</v>
      </c>
      <c r="E1442" s="240"/>
      <c r="F1442" s="240"/>
      <c r="G1442" s="240"/>
      <c r="H1442" s="241"/>
      <c r="I1442" s="301"/>
      <c r="J1442" s="240"/>
      <c r="K1442" s="240"/>
      <c r="L1442" s="240"/>
      <c r="M1442" s="240"/>
      <c r="N1442" s="240"/>
      <c r="O1442" s="240"/>
      <c r="P1442" s="240"/>
      <c r="Q1442" s="240"/>
      <c r="R1442" s="240"/>
      <c r="S1442" s="240"/>
      <c r="T1442" s="240"/>
      <c r="U1442" s="240"/>
      <c r="V1442" s="240"/>
      <c r="W1442" s="240"/>
      <c r="X1442" s="240"/>
      <c r="Y1442" s="240"/>
      <c r="Z1442" s="240"/>
    </row>
    <row r="1443" ht="14.25" customHeight="1">
      <c r="A1443" s="302">
        <f t="shared" si="4"/>
        <v>47615</v>
      </c>
      <c r="B1443" s="241">
        <f t="shared" si="1"/>
        <v>2030</v>
      </c>
      <c r="C1443" s="241">
        <f t="shared" si="2"/>
        <v>5</v>
      </c>
      <c r="D1443" s="301" t="str">
        <f t="shared" si="3"/>
        <v>Sunday</v>
      </c>
      <c r="E1443" s="240"/>
      <c r="F1443" s="240"/>
      <c r="G1443" s="240"/>
      <c r="H1443" s="241"/>
      <c r="I1443" s="301"/>
      <c r="J1443" s="240"/>
      <c r="K1443" s="240"/>
      <c r="L1443" s="240"/>
      <c r="M1443" s="240"/>
      <c r="N1443" s="240"/>
      <c r="O1443" s="240"/>
      <c r="P1443" s="240"/>
      <c r="Q1443" s="240"/>
      <c r="R1443" s="240"/>
      <c r="S1443" s="240"/>
      <c r="T1443" s="240"/>
      <c r="U1443" s="240"/>
      <c r="V1443" s="240"/>
      <c r="W1443" s="240"/>
      <c r="X1443" s="240"/>
      <c r="Y1443" s="240"/>
      <c r="Z1443" s="240"/>
    </row>
    <row r="1444" ht="14.25" customHeight="1">
      <c r="A1444" s="302">
        <f t="shared" si="4"/>
        <v>47616</v>
      </c>
      <c r="B1444" s="241">
        <f t="shared" si="1"/>
        <v>2030</v>
      </c>
      <c r="C1444" s="241">
        <f t="shared" si="2"/>
        <v>5</v>
      </c>
      <c r="D1444" s="301" t="str">
        <f t="shared" si="3"/>
        <v>Monday</v>
      </c>
      <c r="E1444" s="240"/>
      <c r="F1444" s="240"/>
      <c r="G1444" s="240"/>
      <c r="H1444" s="241"/>
      <c r="I1444" s="301"/>
      <c r="J1444" s="240"/>
      <c r="K1444" s="240"/>
      <c r="L1444" s="240"/>
      <c r="M1444" s="240"/>
      <c r="N1444" s="240"/>
      <c r="O1444" s="240"/>
      <c r="P1444" s="240"/>
      <c r="Q1444" s="240"/>
      <c r="R1444" s="240"/>
      <c r="S1444" s="240"/>
      <c r="T1444" s="240"/>
      <c r="U1444" s="240"/>
      <c r="V1444" s="240"/>
      <c r="W1444" s="240"/>
      <c r="X1444" s="240"/>
      <c r="Y1444" s="240"/>
      <c r="Z1444" s="240"/>
    </row>
    <row r="1445" ht="14.25" customHeight="1">
      <c r="A1445" s="302">
        <f t="shared" si="4"/>
        <v>47617</v>
      </c>
      <c r="B1445" s="241">
        <f t="shared" si="1"/>
        <v>2030</v>
      </c>
      <c r="C1445" s="241">
        <f t="shared" si="2"/>
        <v>5</v>
      </c>
      <c r="D1445" s="301" t="str">
        <f t="shared" si="3"/>
        <v>Tuesday</v>
      </c>
      <c r="E1445" s="240"/>
      <c r="F1445" s="240"/>
      <c r="G1445" s="240"/>
      <c r="H1445" s="241"/>
      <c r="I1445" s="301"/>
      <c r="J1445" s="240"/>
      <c r="K1445" s="240"/>
      <c r="L1445" s="240"/>
      <c r="M1445" s="240"/>
      <c r="N1445" s="240"/>
      <c r="O1445" s="240"/>
      <c r="P1445" s="240"/>
      <c r="Q1445" s="240"/>
      <c r="R1445" s="240"/>
      <c r="S1445" s="240"/>
      <c r="T1445" s="240"/>
      <c r="U1445" s="240"/>
      <c r="V1445" s="240"/>
      <c r="W1445" s="240"/>
      <c r="X1445" s="240"/>
      <c r="Y1445" s="240"/>
      <c r="Z1445" s="240"/>
    </row>
    <row r="1446" ht="14.25" customHeight="1">
      <c r="A1446" s="302">
        <f t="shared" si="4"/>
        <v>47618</v>
      </c>
      <c r="B1446" s="241">
        <f t="shared" si="1"/>
        <v>2030</v>
      </c>
      <c r="C1446" s="241">
        <f t="shared" si="2"/>
        <v>5</v>
      </c>
      <c r="D1446" s="301" t="str">
        <f t="shared" si="3"/>
        <v>Wednesday</v>
      </c>
      <c r="E1446" s="240"/>
      <c r="F1446" s="240"/>
      <c r="G1446" s="240"/>
      <c r="H1446" s="241"/>
      <c r="I1446" s="301"/>
      <c r="J1446" s="240"/>
      <c r="K1446" s="240"/>
      <c r="L1446" s="240"/>
      <c r="M1446" s="240"/>
      <c r="N1446" s="240"/>
      <c r="O1446" s="240"/>
      <c r="P1446" s="240"/>
      <c r="Q1446" s="240"/>
      <c r="R1446" s="240"/>
      <c r="S1446" s="240"/>
      <c r="T1446" s="240"/>
      <c r="U1446" s="240"/>
      <c r="V1446" s="240"/>
      <c r="W1446" s="240"/>
      <c r="X1446" s="240"/>
      <c r="Y1446" s="240"/>
      <c r="Z1446" s="240"/>
    </row>
    <row r="1447" ht="14.25" customHeight="1">
      <c r="A1447" s="302">
        <f t="shared" si="4"/>
        <v>47619</v>
      </c>
      <c r="B1447" s="241">
        <f t="shared" si="1"/>
        <v>2030</v>
      </c>
      <c r="C1447" s="241">
        <f t="shared" si="2"/>
        <v>5</v>
      </c>
      <c r="D1447" s="301" t="str">
        <f t="shared" si="3"/>
        <v>Thursday</v>
      </c>
      <c r="E1447" s="240"/>
      <c r="F1447" s="240"/>
      <c r="G1447" s="240"/>
      <c r="H1447" s="241"/>
      <c r="I1447" s="301"/>
      <c r="J1447" s="240"/>
      <c r="K1447" s="240"/>
      <c r="L1447" s="240"/>
      <c r="M1447" s="240"/>
      <c r="N1447" s="240"/>
      <c r="O1447" s="240"/>
      <c r="P1447" s="240"/>
      <c r="Q1447" s="240"/>
      <c r="R1447" s="240"/>
      <c r="S1447" s="240"/>
      <c r="T1447" s="240"/>
      <c r="U1447" s="240"/>
      <c r="V1447" s="240"/>
      <c r="W1447" s="240"/>
      <c r="X1447" s="240"/>
      <c r="Y1447" s="240"/>
      <c r="Z1447" s="240"/>
    </row>
    <row r="1448" ht="14.25" customHeight="1">
      <c r="A1448" s="302">
        <f t="shared" si="4"/>
        <v>47620</v>
      </c>
      <c r="B1448" s="241">
        <f t="shared" si="1"/>
        <v>2030</v>
      </c>
      <c r="C1448" s="241">
        <f t="shared" si="2"/>
        <v>5</v>
      </c>
      <c r="D1448" s="301" t="str">
        <f t="shared" si="3"/>
        <v>Friday</v>
      </c>
      <c r="E1448" s="240"/>
      <c r="F1448" s="240"/>
      <c r="G1448" s="240"/>
      <c r="H1448" s="241"/>
      <c r="I1448" s="301"/>
      <c r="J1448" s="240"/>
      <c r="K1448" s="240"/>
      <c r="L1448" s="240"/>
      <c r="M1448" s="240"/>
      <c r="N1448" s="240"/>
      <c r="O1448" s="240"/>
      <c r="P1448" s="240"/>
      <c r="Q1448" s="240"/>
      <c r="R1448" s="240"/>
      <c r="S1448" s="240"/>
      <c r="T1448" s="240"/>
      <c r="U1448" s="240"/>
      <c r="V1448" s="240"/>
      <c r="W1448" s="240"/>
      <c r="X1448" s="240"/>
      <c r="Y1448" s="240"/>
      <c r="Z1448" s="240"/>
    </row>
    <row r="1449" ht="14.25" customHeight="1">
      <c r="A1449" s="302">
        <f t="shared" si="4"/>
        <v>47621</v>
      </c>
      <c r="B1449" s="241">
        <f t="shared" si="1"/>
        <v>2030</v>
      </c>
      <c r="C1449" s="241">
        <f t="shared" si="2"/>
        <v>5</v>
      </c>
      <c r="D1449" s="301" t="str">
        <f t="shared" si="3"/>
        <v>Saturday</v>
      </c>
      <c r="E1449" s="240"/>
      <c r="F1449" s="240"/>
      <c r="G1449" s="240"/>
      <c r="H1449" s="241"/>
      <c r="I1449" s="301"/>
      <c r="J1449" s="240"/>
      <c r="K1449" s="240"/>
      <c r="L1449" s="240"/>
      <c r="M1449" s="240"/>
      <c r="N1449" s="240"/>
      <c r="O1449" s="240"/>
      <c r="P1449" s="240"/>
      <c r="Q1449" s="240"/>
      <c r="R1449" s="240"/>
      <c r="S1449" s="240"/>
      <c r="T1449" s="240"/>
      <c r="U1449" s="240"/>
      <c r="V1449" s="240"/>
      <c r="W1449" s="240"/>
      <c r="X1449" s="240"/>
      <c r="Y1449" s="240"/>
      <c r="Z1449" s="240"/>
    </row>
    <row r="1450" ht="14.25" customHeight="1">
      <c r="A1450" s="302">
        <f t="shared" si="4"/>
        <v>47622</v>
      </c>
      <c r="B1450" s="241">
        <f t="shared" si="1"/>
        <v>2030</v>
      </c>
      <c r="C1450" s="241">
        <f t="shared" si="2"/>
        <v>5</v>
      </c>
      <c r="D1450" s="301" t="str">
        <f t="shared" si="3"/>
        <v>Sunday</v>
      </c>
      <c r="E1450" s="240"/>
      <c r="F1450" s="240"/>
      <c r="G1450" s="240"/>
      <c r="H1450" s="241"/>
      <c r="I1450" s="301"/>
      <c r="J1450" s="240"/>
      <c r="K1450" s="240"/>
      <c r="L1450" s="240"/>
      <c r="M1450" s="240"/>
      <c r="N1450" s="240"/>
      <c r="O1450" s="240"/>
      <c r="P1450" s="240"/>
      <c r="Q1450" s="240"/>
      <c r="R1450" s="240"/>
      <c r="S1450" s="240"/>
      <c r="T1450" s="240"/>
      <c r="U1450" s="240"/>
      <c r="V1450" s="240"/>
      <c r="W1450" s="240"/>
      <c r="X1450" s="240"/>
      <c r="Y1450" s="240"/>
      <c r="Z1450" s="240"/>
    </row>
    <row r="1451" ht="14.25" customHeight="1">
      <c r="A1451" s="302">
        <f t="shared" si="4"/>
        <v>47623</v>
      </c>
      <c r="B1451" s="241">
        <f t="shared" si="1"/>
        <v>2030</v>
      </c>
      <c r="C1451" s="241">
        <f t="shared" si="2"/>
        <v>5</v>
      </c>
      <c r="D1451" s="301" t="str">
        <f t="shared" si="3"/>
        <v>Monday</v>
      </c>
      <c r="E1451" s="240"/>
      <c r="F1451" s="240"/>
      <c r="G1451" s="240"/>
      <c r="H1451" s="241"/>
      <c r="I1451" s="301"/>
      <c r="J1451" s="240"/>
      <c r="K1451" s="240"/>
      <c r="L1451" s="240"/>
      <c r="M1451" s="240"/>
      <c r="N1451" s="240"/>
      <c r="O1451" s="240"/>
      <c r="P1451" s="240"/>
      <c r="Q1451" s="240"/>
      <c r="R1451" s="240"/>
      <c r="S1451" s="240"/>
      <c r="T1451" s="240"/>
      <c r="U1451" s="240"/>
      <c r="V1451" s="240"/>
      <c r="W1451" s="240"/>
      <c r="X1451" s="240"/>
      <c r="Y1451" s="240"/>
      <c r="Z1451" s="240"/>
    </row>
    <row r="1452" ht="14.25" customHeight="1">
      <c r="A1452" s="302">
        <f t="shared" si="4"/>
        <v>47624</v>
      </c>
      <c r="B1452" s="241">
        <f t="shared" si="1"/>
        <v>2030</v>
      </c>
      <c r="C1452" s="241">
        <f t="shared" si="2"/>
        <v>5</v>
      </c>
      <c r="D1452" s="301" t="str">
        <f t="shared" si="3"/>
        <v>Tuesday</v>
      </c>
      <c r="E1452" s="240"/>
      <c r="F1452" s="240"/>
      <c r="G1452" s="240"/>
      <c r="H1452" s="241"/>
      <c r="I1452" s="301"/>
      <c r="J1452" s="240"/>
      <c r="K1452" s="240"/>
      <c r="L1452" s="240"/>
      <c r="M1452" s="240"/>
      <c r="N1452" s="240"/>
      <c r="O1452" s="240"/>
      <c r="P1452" s="240"/>
      <c r="Q1452" s="240"/>
      <c r="R1452" s="240"/>
      <c r="S1452" s="240"/>
      <c r="T1452" s="240"/>
      <c r="U1452" s="240"/>
      <c r="V1452" s="240"/>
      <c r="W1452" s="240"/>
      <c r="X1452" s="240"/>
      <c r="Y1452" s="240"/>
      <c r="Z1452" s="240"/>
    </row>
    <row r="1453" ht="14.25" customHeight="1">
      <c r="A1453" s="302">
        <f t="shared" si="4"/>
        <v>47625</v>
      </c>
      <c r="B1453" s="241">
        <f t="shared" si="1"/>
        <v>2030</v>
      </c>
      <c r="C1453" s="241">
        <f t="shared" si="2"/>
        <v>5</v>
      </c>
      <c r="D1453" s="301" t="str">
        <f t="shared" si="3"/>
        <v>Wednesday</v>
      </c>
      <c r="E1453" s="240"/>
      <c r="F1453" s="240"/>
      <c r="G1453" s="240"/>
      <c r="H1453" s="241"/>
      <c r="I1453" s="301"/>
      <c r="J1453" s="240"/>
      <c r="K1453" s="240"/>
      <c r="L1453" s="240"/>
      <c r="M1453" s="240"/>
      <c r="N1453" s="240"/>
      <c r="O1453" s="240"/>
      <c r="P1453" s="240"/>
      <c r="Q1453" s="240"/>
      <c r="R1453" s="240"/>
      <c r="S1453" s="240"/>
      <c r="T1453" s="240"/>
      <c r="U1453" s="240"/>
      <c r="V1453" s="240"/>
      <c r="W1453" s="240"/>
      <c r="X1453" s="240"/>
      <c r="Y1453" s="240"/>
      <c r="Z1453" s="240"/>
    </row>
    <row r="1454" ht="14.25" customHeight="1">
      <c r="A1454" s="302">
        <f t="shared" si="4"/>
        <v>47626</v>
      </c>
      <c r="B1454" s="241">
        <f t="shared" si="1"/>
        <v>2030</v>
      </c>
      <c r="C1454" s="241">
        <f t="shared" si="2"/>
        <v>5</v>
      </c>
      <c r="D1454" s="301" t="str">
        <f t="shared" si="3"/>
        <v>Thursday</v>
      </c>
      <c r="E1454" s="240"/>
      <c r="F1454" s="240"/>
      <c r="G1454" s="240"/>
      <c r="H1454" s="241"/>
      <c r="I1454" s="301"/>
      <c r="J1454" s="240"/>
      <c r="K1454" s="240"/>
      <c r="L1454" s="240"/>
      <c r="M1454" s="240"/>
      <c r="N1454" s="240"/>
      <c r="O1454" s="240"/>
      <c r="P1454" s="240"/>
      <c r="Q1454" s="240"/>
      <c r="R1454" s="240"/>
      <c r="S1454" s="240"/>
      <c r="T1454" s="240"/>
      <c r="U1454" s="240"/>
      <c r="V1454" s="240"/>
      <c r="W1454" s="240"/>
      <c r="X1454" s="240"/>
      <c r="Y1454" s="240"/>
      <c r="Z1454" s="240"/>
    </row>
    <row r="1455" ht="14.25" customHeight="1">
      <c r="A1455" s="302">
        <f t="shared" si="4"/>
        <v>47627</v>
      </c>
      <c r="B1455" s="241">
        <f t="shared" si="1"/>
        <v>2030</v>
      </c>
      <c r="C1455" s="241">
        <f t="shared" si="2"/>
        <v>5</v>
      </c>
      <c r="D1455" s="301" t="str">
        <f t="shared" si="3"/>
        <v>Friday</v>
      </c>
      <c r="E1455" s="240"/>
      <c r="F1455" s="240"/>
      <c r="G1455" s="240"/>
      <c r="H1455" s="241"/>
      <c r="I1455" s="301"/>
      <c r="J1455" s="240"/>
      <c r="K1455" s="240"/>
      <c r="L1455" s="240"/>
      <c r="M1455" s="240"/>
      <c r="N1455" s="240"/>
      <c r="O1455" s="240"/>
      <c r="P1455" s="240"/>
      <c r="Q1455" s="240"/>
      <c r="R1455" s="240"/>
      <c r="S1455" s="240"/>
      <c r="T1455" s="240"/>
      <c r="U1455" s="240"/>
      <c r="V1455" s="240"/>
      <c r="W1455" s="240"/>
      <c r="X1455" s="240"/>
      <c r="Y1455" s="240"/>
      <c r="Z1455" s="240"/>
    </row>
    <row r="1456" ht="14.25" customHeight="1">
      <c r="A1456" s="302">
        <f t="shared" si="4"/>
        <v>47628</v>
      </c>
      <c r="B1456" s="241">
        <f t="shared" si="1"/>
        <v>2030</v>
      </c>
      <c r="C1456" s="241">
        <f t="shared" si="2"/>
        <v>5</v>
      </c>
      <c r="D1456" s="301" t="str">
        <f t="shared" si="3"/>
        <v>Saturday</v>
      </c>
      <c r="E1456" s="240"/>
      <c r="F1456" s="240"/>
      <c r="G1456" s="240"/>
      <c r="H1456" s="241"/>
      <c r="I1456" s="301"/>
      <c r="J1456" s="240"/>
      <c r="K1456" s="240"/>
      <c r="L1456" s="240"/>
      <c r="M1456" s="240"/>
      <c r="N1456" s="240"/>
      <c r="O1456" s="240"/>
      <c r="P1456" s="240"/>
      <c r="Q1456" s="240"/>
      <c r="R1456" s="240"/>
      <c r="S1456" s="240"/>
      <c r="T1456" s="240"/>
      <c r="U1456" s="240"/>
      <c r="V1456" s="240"/>
      <c r="W1456" s="240"/>
      <c r="X1456" s="240"/>
      <c r="Y1456" s="240"/>
      <c r="Z1456" s="240"/>
    </row>
    <row r="1457" ht="14.25" customHeight="1">
      <c r="A1457" s="302">
        <f t="shared" si="4"/>
        <v>47629</v>
      </c>
      <c r="B1457" s="241">
        <f t="shared" si="1"/>
        <v>2030</v>
      </c>
      <c r="C1457" s="241">
        <f t="shared" si="2"/>
        <v>5</v>
      </c>
      <c r="D1457" s="301" t="str">
        <f t="shared" si="3"/>
        <v>Sunday</v>
      </c>
      <c r="E1457" s="240"/>
      <c r="F1457" s="240"/>
      <c r="G1457" s="240"/>
      <c r="H1457" s="241"/>
      <c r="I1457" s="301"/>
      <c r="J1457" s="240"/>
      <c r="K1457" s="240"/>
      <c r="L1457" s="240"/>
      <c r="M1457" s="240"/>
      <c r="N1457" s="240"/>
      <c r="O1457" s="240"/>
      <c r="P1457" s="240"/>
      <c r="Q1457" s="240"/>
      <c r="R1457" s="240"/>
      <c r="S1457" s="240"/>
      <c r="T1457" s="240"/>
      <c r="U1457" s="240"/>
      <c r="V1457" s="240"/>
      <c r="W1457" s="240"/>
      <c r="X1457" s="240"/>
      <c r="Y1457" s="240"/>
      <c r="Z1457" s="240"/>
    </row>
    <row r="1458" ht="14.25" customHeight="1">
      <c r="A1458" s="302">
        <f t="shared" si="4"/>
        <v>47630</v>
      </c>
      <c r="B1458" s="241">
        <f t="shared" si="1"/>
        <v>2030</v>
      </c>
      <c r="C1458" s="241">
        <f t="shared" si="2"/>
        <v>5</v>
      </c>
      <c r="D1458" s="301" t="str">
        <f t="shared" si="3"/>
        <v>Monday</v>
      </c>
      <c r="E1458" s="240"/>
      <c r="F1458" s="240"/>
      <c r="G1458" s="240"/>
      <c r="H1458" s="241"/>
      <c r="I1458" s="301"/>
      <c r="J1458" s="240"/>
      <c r="K1458" s="240"/>
      <c r="L1458" s="240"/>
      <c r="M1458" s="240"/>
      <c r="N1458" s="240"/>
      <c r="O1458" s="240"/>
      <c r="P1458" s="240"/>
      <c r="Q1458" s="240"/>
      <c r="R1458" s="240"/>
      <c r="S1458" s="240"/>
      <c r="T1458" s="240"/>
      <c r="U1458" s="240"/>
      <c r="V1458" s="240"/>
      <c r="W1458" s="240"/>
      <c r="X1458" s="240"/>
      <c r="Y1458" s="240"/>
      <c r="Z1458" s="240"/>
    </row>
    <row r="1459" ht="14.25" customHeight="1">
      <c r="A1459" s="302">
        <f t="shared" si="4"/>
        <v>47631</v>
      </c>
      <c r="B1459" s="241">
        <f t="shared" si="1"/>
        <v>2030</v>
      </c>
      <c r="C1459" s="241">
        <f t="shared" si="2"/>
        <v>5</v>
      </c>
      <c r="D1459" s="301" t="str">
        <f t="shared" si="3"/>
        <v>Tuesday</v>
      </c>
      <c r="E1459" s="240"/>
      <c r="F1459" s="240"/>
      <c r="G1459" s="240"/>
      <c r="H1459" s="241"/>
      <c r="I1459" s="301"/>
      <c r="J1459" s="240"/>
      <c r="K1459" s="240"/>
      <c r="L1459" s="240"/>
      <c r="M1459" s="240"/>
      <c r="N1459" s="240"/>
      <c r="O1459" s="240"/>
      <c r="P1459" s="240"/>
      <c r="Q1459" s="240"/>
      <c r="R1459" s="240"/>
      <c r="S1459" s="240"/>
      <c r="T1459" s="240"/>
      <c r="U1459" s="240"/>
      <c r="V1459" s="240"/>
      <c r="W1459" s="240"/>
      <c r="X1459" s="240"/>
      <c r="Y1459" s="240"/>
      <c r="Z1459" s="240"/>
    </row>
    <row r="1460" ht="14.25" customHeight="1">
      <c r="A1460" s="302">
        <f t="shared" si="4"/>
        <v>47632</v>
      </c>
      <c r="B1460" s="241">
        <f t="shared" si="1"/>
        <v>2030</v>
      </c>
      <c r="C1460" s="241">
        <f t="shared" si="2"/>
        <v>5</v>
      </c>
      <c r="D1460" s="301" t="str">
        <f t="shared" si="3"/>
        <v>Wednesday</v>
      </c>
      <c r="E1460" s="240"/>
      <c r="F1460" s="240"/>
      <c r="G1460" s="240"/>
      <c r="H1460" s="241"/>
      <c r="I1460" s="301"/>
      <c r="J1460" s="240"/>
      <c r="K1460" s="240"/>
      <c r="L1460" s="240"/>
      <c r="M1460" s="240"/>
      <c r="N1460" s="240"/>
      <c r="O1460" s="240"/>
      <c r="P1460" s="240"/>
      <c r="Q1460" s="240"/>
      <c r="R1460" s="240"/>
      <c r="S1460" s="240"/>
      <c r="T1460" s="240"/>
      <c r="U1460" s="240"/>
      <c r="V1460" s="240"/>
      <c r="W1460" s="240"/>
      <c r="X1460" s="240"/>
      <c r="Y1460" s="240"/>
      <c r="Z1460" s="240"/>
    </row>
    <row r="1461" ht="14.25" customHeight="1">
      <c r="A1461" s="302">
        <f t="shared" si="4"/>
        <v>47633</v>
      </c>
      <c r="B1461" s="241">
        <f t="shared" si="1"/>
        <v>2030</v>
      </c>
      <c r="C1461" s="241">
        <f t="shared" si="2"/>
        <v>5</v>
      </c>
      <c r="D1461" s="301" t="str">
        <f t="shared" si="3"/>
        <v>Thursday</v>
      </c>
      <c r="E1461" s="240"/>
      <c r="F1461" s="240"/>
      <c r="G1461" s="240"/>
      <c r="H1461" s="241"/>
      <c r="I1461" s="301"/>
      <c r="J1461" s="240"/>
      <c r="K1461" s="240"/>
      <c r="L1461" s="240"/>
      <c r="M1461" s="240"/>
      <c r="N1461" s="240"/>
      <c r="O1461" s="240"/>
      <c r="P1461" s="240"/>
      <c r="Q1461" s="240"/>
      <c r="R1461" s="240"/>
      <c r="S1461" s="240"/>
      <c r="T1461" s="240"/>
      <c r="U1461" s="240"/>
      <c r="V1461" s="240"/>
      <c r="W1461" s="240"/>
      <c r="X1461" s="240"/>
      <c r="Y1461" s="240"/>
      <c r="Z1461" s="240"/>
    </row>
    <row r="1462" ht="14.25" customHeight="1">
      <c r="A1462" s="302">
        <f t="shared" si="4"/>
        <v>47634</v>
      </c>
      <c r="B1462" s="241">
        <f t="shared" si="1"/>
        <v>2030</v>
      </c>
      <c r="C1462" s="241">
        <f t="shared" si="2"/>
        <v>5</v>
      </c>
      <c r="D1462" s="301" t="str">
        <f t="shared" si="3"/>
        <v>Friday</v>
      </c>
      <c r="E1462" s="240"/>
      <c r="F1462" s="240"/>
      <c r="G1462" s="240"/>
      <c r="H1462" s="241"/>
      <c r="I1462" s="301"/>
      <c r="J1462" s="240"/>
      <c r="K1462" s="240"/>
      <c r="L1462" s="240"/>
      <c r="M1462" s="240"/>
      <c r="N1462" s="240"/>
      <c r="O1462" s="240"/>
      <c r="P1462" s="240"/>
      <c r="Q1462" s="240"/>
      <c r="R1462" s="240"/>
      <c r="S1462" s="240"/>
      <c r="T1462" s="240"/>
      <c r="U1462" s="240"/>
      <c r="V1462" s="240"/>
      <c r="W1462" s="240"/>
      <c r="X1462" s="240"/>
      <c r="Y1462" s="240"/>
      <c r="Z1462" s="240"/>
    </row>
    <row r="1463" ht="14.25" customHeight="1">
      <c r="A1463" s="302">
        <f t="shared" si="4"/>
        <v>47635</v>
      </c>
      <c r="B1463" s="241">
        <f t="shared" si="1"/>
        <v>2030</v>
      </c>
      <c r="C1463" s="241">
        <f t="shared" si="2"/>
        <v>6</v>
      </c>
      <c r="D1463" s="301" t="str">
        <f t="shared" si="3"/>
        <v>Saturday</v>
      </c>
      <c r="E1463" s="240"/>
      <c r="F1463" s="240"/>
      <c r="G1463" s="240"/>
      <c r="H1463" s="241"/>
      <c r="I1463" s="301"/>
      <c r="J1463" s="240"/>
      <c r="K1463" s="240"/>
      <c r="L1463" s="240"/>
      <c r="M1463" s="240"/>
      <c r="N1463" s="240"/>
      <c r="O1463" s="240"/>
      <c r="P1463" s="240"/>
      <c r="Q1463" s="240"/>
      <c r="R1463" s="240"/>
      <c r="S1463" s="240"/>
      <c r="T1463" s="240"/>
      <c r="U1463" s="240"/>
      <c r="V1463" s="240"/>
      <c r="W1463" s="240"/>
      <c r="X1463" s="240"/>
      <c r="Y1463" s="240"/>
      <c r="Z1463" s="240"/>
    </row>
    <row r="1464" ht="14.25" customHeight="1">
      <c r="A1464" s="302">
        <f t="shared" si="4"/>
        <v>47636</v>
      </c>
      <c r="B1464" s="241">
        <f t="shared" si="1"/>
        <v>2030</v>
      </c>
      <c r="C1464" s="241">
        <f t="shared" si="2"/>
        <v>6</v>
      </c>
      <c r="D1464" s="301" t="str">
        <f t="shared" si="3"/>
        <v>Sunday</v>
      </c>
      <c r="E1464" s="240"/>
      <c r="F1464" s="240"/>
      <c r="G1464" s="240"/>
      <c r="H1464" s="241"/>
      <c r="I1464" s="301"/>
      <c r="J1464" s="240"/>
      <c r="K1464" s="240"/>
      <c r="L1464" s="240"/>
      <c r="M1464" s="240"/>
      <c r="N1464" s="240"/>
      <c r="O1464" s="240"/>
      <c r="P1464" s="240"/>
      <c r="Q1464" s="240"/>
      <c r="R1464" s="240"/>
      <c r="S1464" s="240"/>
      <c r="T1464" s="240"/>
      <c r="U1464" s="240"/>
      <c r="V1464" s="240"/>
      <c r="W1464" s="240"/>
      <c r="X1464" s="240"/>
      <c r="Y1464" s="240"/>
      <c r="Z1464" s="240"/>
    </row>
    <row r="1465" ht="14.25" customHeight="1">
      <c r="A1465" s="302">
        <f t="shared" si="4"/>
        <v>47637</v>
      </c>
      <c r="B1465" s="241">
        <f t="shared" si="1"/>
        <v>2030</v>
      </c>
      <c r="C1465" s="241">
        <f t="shared" si="2"/>
        <v>6</v>
      </c>
      <c r="D1465" s="301" t="str">
        <f t="shared" si="3"/>
        <v>Monday</v>
      </c>
      <c r="E1465" s="240"/>
      <c r="F1465" s="240"/>
      <c r="G1465" s="240"/>
      <c r="H1465" s="241"/>
      <c r="I1465" s="301"/>
      <c r="J1465" s="240"/>
      <c r="K1465" s="240"/>
      <c r="L1465" s="240"/>
      <c r="M1465" s="240"/>
      <c r="N1465" s="240"/>
      <c r="O1465" s="240"/>
      <c r="P1465" s="240"/>
      <c r="Q1465" s="240"/>
      <c r="R1465" s="240"/>
      <c r="S1465" s="240"/>
      <c r="T1465" s="240"/>
      <c r="U1465" s="240"/>
      <c r="V1465" s="240"/>
      <c r="W1465" s="240"/>
      <c r="X1465" s="240"/>
      <c r="Y1465" s="240"/>
      <c r="Z1465" s="240"/>
    </row>
    <row r="1466" ht="14.25" customHeight="1">
      <c r="A1466" s="302">
        <f t="shared" si="4"/>
        <v>47638</v>
      </c>
      <c r="B1466" s="241">
        <f t="shared" si="1"/>
        <v>2030</v>
      </c>
      <c r="C1466" s="241">
        <f t="shared" si="2"/>
        <v>6</v>
      </c>
      <c r="D1466" s="301" t="str">
        <f t="shared" si="3"/>
        <v>Tuesday</v>
      </c>
      <c r="E1466" s="240"/>
      <c r="F1466" s="240"/>
      <c r="G1466" s="240"/>
      <c r="H1466" s="241"/>
      <c r="I1466" s="301"/>
      <c r="J1466" s="240"/>
      <c r="K1466" s="240"/>
      <c r="L1466" s="240"/>
      <c r="M1466" s="240"/>
      <c r="N1466" s="240"/>
      <c r="O1466" s="240"/>
      <c r="P1466" s="240"/>
      <c r="Q1466" s="240"/>
      <c r="R1466" s="240"/>
      <c r="S1466" s="240"/>
      <c r="T1466" s="240"/>
      <c r="U1466" s="240"/>
      <c r="V1466" s="240"/>
      <c r="W1466" s="240"/>
      <c r="X1466" s="240"/>
      <c r="Y1466" s="240"/>
      <c r="Z1466" s="240"/>
    </row>
    <row r="1467" ht="14.25" customHeight="1">
      <c r="A1467" s="302">
        <f t="shared" si="4"/>
        <v>47639</v>
      </c>
      <c r="B1467" s="241">
        <f t="shared" si="1"/>
        <v>2030</v>
      </c>
      <c r="C1467" s="241">
        <f t="shared" si="2"/>
        <v>6</v>
      </c>
      <c r="D1467" s="301" t="str">
        <f t="shared" si="3"/>
        <v>Wednesday</v>
      </c>
      <c r="E1467" s="240"/>
      <c r="F1467" s="240"/>
      <c r="G1467" s="240"/>
      <c r="H1467" s="241"/>
      <c r="I1467" s="301"/>
      <c r="J1467" s="240"/>
      <c r="K1467" s="240"/>
      <c r="L1467" s="240"/>
      <c r="M1467" s="240"/>
      <c r="N1467" s="240"/>
      <c r="O1467" s="240"/>
      <c r="P1467" s="240"/>
      <c r="Q1467" s="240"/>
      <c r="R1467" s="240"/>
      <c r="S1467" s="240"/>
      <c r="T1467" s="240"/>
      <c r="U1467" s="240"/>
      <c r="V1467" s="240"/>
      <c r="W1467" s="240"/>
      <c r="X1467" s="240"/>
      <c r="Y1467" s="240"/>
      <c r="Z1467" s="240"/>
    </row>
    <row r="1468" ht="14.25" customHeight="1">
      <c r="A1468" s="302">
        <f t="shared" si="4"/>
        <v>47640</v>
      </c>
      <c r="B1468" s="241">
        <f t="shared" si="1"/>
        <v>2030</v>
      </c>
      <c r="C1468" s="241">
        <f t="shared" si="2"/>
        <v>6</v>
      </c>
      <c r="D1468" s="301" t="str">
        <f t="shared" si="3"/>
        <v>Thursday</v>
      </c>
      <c r="E1468" s="240"/>
      <c r="F1468" s="240"/>
      <c r="G1468" s="240"/>
      <c r="H1468" s="241"/>
      <c r="I1468" s="301"/>
      <c r="J1468" s="240"/>
      <c r="K1468" s="240"/>
      <c r="L1468" s="240"/>
      <c r="M1468" s="240"/>
      <c r="N1468" s="240"/>
      <c r="O1468" s="240"/>
      <c r="P1468" s="240"/>
      <c r="Q1468" s="240"/>
      <c r="R1468" s="240"/>
      <c r="S1468" s="240"/>
      <c r="T1468" s="240"/>
      <c r="U1468" s="240"/>
      <c r="V1468" s="240"/>
      <c r="W1468" s="240"/>
      <c r="X1468" s="240"/>
      <c r="Y1468" s="240"/>
      <c r="Z1468" s="240"/>
    </row>
    <row r="1469" ht="14.25" customHeight="1">
      <c r="A1469" s="302">
        <f t="shared" si="4"/>
        <v>47641</v>
      </c>
      <c r="B1469" s="241">
        <f t="shared" si="1"/>
        <v>2030</v>
      </c>
      <c r="C1469" s="241">
        <f t="shared" si="2"/>
        <v>6</v>
      </c>
      <c r="D1469" s="301" t="str">
        <f t="shared" si="3"/>
        <v>Friday</v>
      </c>
      <c r="E1469" s="240"/>
      <c r="F1469" s="240"/>
      <c r="G1469" s="240"/>
      <c r="H1469" s="241"/>
      <c r="I1469" s="301"/>
      <c r="J1469" s="240"/>
      <c r="K1469" s="240"/>
      <c r="L1469" s="240"/>
      <c r="M1469" s="240"/>
      <c r="N1469" s="240"/>
      <c r="O1469" s="240"/>
      <c r="P1469" s="240"/>
      <c r="Q1469" s="240"/>
      <c r="R1469" s="240"/>
      <c r="S1469" s="240"/>
      <c r="T1469" s="240"/>
      <c r="U1469" s="240"/>
      <c r="V1469" s="240"/>
      <c r="W1469" s="240"/>
      <c r="X1469" s="240"/>
      <c r="Y1469" s="240"/>
      <c r="Z1469" s="240"/>
    </row>
    <row r="1470" ht="14.25" customHeight="1">
      <c r="A1470" s="302">
        <f t="shared" si="4"/>
        <v>47642</v>
      </c>
      <c r="B1470" s="241">
        <f t="shared" si="1"/>
        <v>2030</v>
      </c>
      <c r="C1470" s="241">
        <f t="shared" si="2"/>
        <v>6</v>
      </c>
      <c r="D1470" s="301" t="str">
        <f t="shared" si="3"/>
        <v>Saturday</v>
      </c>
      <c r="E1470" s="240"/>
      <c r="F1470" s="240"/>
      <c r="G1470" s="240"/>
      <c r="H1470" s="241"/>
      <c r="I1470" s="301"/>
      <c r="J1470" s="240"/>
      <c r="K1470" s="240"/>
      <c r="L1470" s="240"/>
      <c r="M1470" s="240"/>
      <c r="N1470" s="240"/>
      <c r="O1470" s="240"/>
      <c r="P1470" s="240"/>
      <c r="Q1470" s="240"/>
      <c r="R1470" s="240"/>
      <c r="S1470" s="240"/>
      <c r="T1470" s="240"/>
      <c r="U1470" s="240"/>
      <c r="V1470" s="240"/>
      <c r="W1470" s="240"/>
      <c r="X1470" s="240"/>
      <c r="Y1470" s="240"/>
      <c r="Z1470" s="240"/>
    </row>
    <row r="1471" ht="14.25" customHeight="1">
      <c r="A1471" s="302">
        <f t="shared" si="4"/>
        <v>47643</v>
      </c>
      <c r="B1471" s="241">
        <f t="shared" si="1"/>
        <v>2030</v>
      </c>
      <c r="C1471" s="241">
        <f t="shared" si="2"/>
        <v>6</v>
      </c>
      <c r="D1471" s="301" t="str">
        <f t="shared" si="3"/>
        <v>Sunday</v>
      </c>
      <c r="E1471" s="240"/>
      <c r="F1471" s="240"/>
      <c r="G1471" s="240"/>
      <c r="H1471" s="241"/>
      <c r="I1471" s="301"/>
      <c r="J1471" s="240"/>
      <c r="K1471" s="240"/>
      <c r="L1471" s="240"/>
      <c r="M1471" s="240"/>
      <c r="N1471" s="240"/>
      <c r="O1471" s="240"/>
      <c r="P1471" s="240"/>
      <c r="Q1471" s="240"/>
      <c r="R1471" s="240"/>
      <c r="S1471" s="240"/>
      <c r="T1471" s="240"/>
      <c r="U1471" s="240"/>
      <c r="V1471" s="240"/>
      <c r="W1471" s="240"/>
      <c r="X1471" s="240"/>
      <c r="Y1471" s="240"/>
      <c r="Z1471" s="240"/>
    </row>
    <row r="1472" ht="14.25" customHeight="1">
      <c r="A1472" s="302">
        <f t="shared" si="4"/>
        <v>47644</v>
      </c>
      <c r="B1472" s="241">
        <f t="shared" si="1"/>
        <v>2030</v>
      </c>
      <c r="C1472" s="241">
        <f t="shared" si="2"/>
        <v>6</v>
      </c>
      <c r="D1472" s="301" t="str">
        <f t="shared" si="3"/>
        <v>Monday</v>
      </c>
      <c r="E1472" s="240"/>
      <c r="F1472" s="240"/>
      <c r="G1472" s="240"/>
      <c r="H1472" s="241"/>
      <c r="I1472" s="301"/>
      <c r="J1472" s="240"/>
      <c r="K1472" s="240"/>
      <c r="L1472" s="240"/>
      <c r="M1472" s="240"/>
      <c r="N1472" s="240"/>
      <c r="O1472" s="240"/>
      <c r="P1472" s="240"/>
      <c r="Q1472" s="240"/>
      <c r="R1472" s="240"/>
      <c r="S1472" s="240"/>
      <c r="T1472" s="240"/>
      <c r="U1472" s="240"/>
      <c r="V1472" s="240"/>
      <c r="W1472" s="240"/>
      <c r="X1472" s="240"/>
      <c r="Y1472" s="240"/>
      <c r="Z1472" s="240"/>
    </row>
    <row r="1473" ht="14.25" customHeight="1">
      <c r="A1473" s="302">
        <f t="shared" si="4"/>
        <v>47645</v>
      </c>
      <c r="B1473" s="241">
        <f t="shared" si="1"/>
        <v>2030</v>
      </c>
      <c r="C1473" s="241">
        <f t="shared" si="2"/>
        <v>6</v>
      </c>
      <c r="D1473" s="301" t="str">
        <f t="shared" si="3"/>
        <v>Tuesday</v>
      </c>
      <c r="E1473" s="240"/>
      <c r="F1473" s="240"/>
      <c r="G1473" s="240"/>
      <c r="H1473" s="241"/>
      <c r="I1473" s="301"/>
      <c r="J1473" s="240"/>
      <c r="K1473" s="240"/>
      <c r="L1473" s="240"/>
      <c r="M1473" s="240"/>
      <c r="N1473" s="240"/>
      <c r="O1473" s="240"/>
      <c r="P1473" s="240"/>
      <c r="Q1473" s="240"/>
      <c r="R1473" s="240"/>
      <c r="S1473" s="240"/>
      <c r="T1473" s="240"/>
      <c r="U1473" s="240"/>
      <c r="V1473" s="240"/>
      <c r="W1473" s="240"/>
      <c r="X1473" s="240"/>
      <c r="Y1473" s="240"/>
      <c r="Z1473" s="240"/>
    </row>
    <row r="1474" ht="14.25" customHeight="1">
      <c r="A1474" s="302">
        <f t="shared" si="4"/>
        <v>47646</v>
      </c>
      <c r="B1474" s="241">
        <f t="shared" si="1"/>
        <v>2030</v>
      </c>
      <c r="C1474" s="241">
        <f t="shared" si="2"/>
        <v>6</v>
      </c>
      <c r="D1474" s="301" t="str">
        <f t="shared" si="3"/>
        <v>Wednesday</v>
      </c>
      <c r="E1474" s="240"/>
      <c r="F1474" s="240"/>
      <c r="G1474" s="240"/>
      <c r="H1474" s="241"/>
      <c r="I1474" s="301"/>
      <c r="J1474" s="240"/>
      <c r="K1474" s="240"/>
      <c r="L1474" s="240"/>
      <c r="M1474" s="240"/>
      <c r="N1474" s="240"/>
      <c r="O1474" s="240"/>
      <c r="P1474" s="240"/>
      <c r="Q1474" s="240"/>
      <c r="R1474" s="240"/>
      <c r="S1474" s="240"/>
      <c r="T1474" s="240"/>
      <c r="U1474" s="240"/>
      <c r="V1474" s="240"/>
      <c r="W1474" s="240"/>
      <c r="X1474" s="240"/>
      <c r="Y1474" s="240"/>
      <c r="Z1474" s="240"/>
    </row>
    <row r="1475" ht="14.25" customHeight="1">
      <c r="A1475" s="302">
        <f t="shared" si="4"/>
        <v>47647</v>
      </c>
      <c r="B1475" s="241">
        <f t="shared" si="1"/>
        <v>2030</v>
      </c>
      <c r="C1475" s="241">
        <f t="shared" si="2"/>
        <v>6</v>
      </c>
      <c r="D1475" s="301" t="str">
        <f t="shared" si="3"/>
        <v>Thursday</v>
      </c>
      <c r="E1475" s="240"/>
      <c r="F1475" s="240"/>
      <c r="G1475" s="240"/>
      <c r="H1475" s="241"/>
      <c r="I1475" s="301"/>
      <c r="J1475" s="240"/>
      <c r="K1475" s="240"/>
      <c r="L1475" s="240"/>
      <c r="M1475" s="240"/>
      <c r="N1475" s="240"/>
      <c r="O1475" s="240"/>
      <c r="P1475" s="240"/>
      <c r="Q1475" s="240"/>
      <c r="R1475" s="240"/>
      <c r="S1475" s="240"/>
      <c r="T1475" s="240"/>
      <c r="U1475" s="240"/>
      <c r="V1475" s="240"/>
      <c r="W1475" s="240"/>
      <c r="X1475" s="240"/>
      <c r="Y1475" s="240"/>
      <c r="Z1475" s="240"/>
    </row>
    <row r="1476" ht="14.25" customHeight="1">
      <c r="A1476" s="302">
        <f t="shared" si="4"/>
        <v>47648</v>
      </c>
      <c r="B1476" s="241">
        <f t="shared" si="1"/>
        <v>2030</v>
      </c>
      <c r="C1476" s="241">
        <f t="shared" si="2"/>
        <v>6</v>
      </c>
      <c r="D1476" s="301" t="str">
        <f t="shared" si="3"/>
        <v>Friday</v>
      </c>
      <c r="E1476" s="240"/>
      <c r="F1476" s="240"/>
      <c r="G1476" s="240"/>
      <c r="H1476" s="241"/>
      <c r="I1476" s="301"/>
      <c r="J1476" s="240"/>
      <c r="K1476" s="240"/>
      <c r="L1476" s="240"/>
      <c r="M1476" s="240"/>
      <c r="N1476" s="240"/>
      <c r="O1476" s="240"/>
      <c r="P1476" s="240"/>
      <c r="Q1476" s="240"/>
      <c r="R1476" s="240"/>
      <c r="S1476" s="240"/>
      <c r="T1476" s="240"/>
      <c r="U1476" s="240"/>
      <c r="V1476" s="240"/>
      <c r="W1476" s="240"/>
      <c r="X1476" s="240"/>
      <c r="Y1476" s="240"/>
      <c r="Z1476" s="240"/>
    </row>
    <row r="1477" ht="14.25" customHeight="1">
      <c r="A1477" s="302">
        <f t="shared" si="4"/>
        <v>47649</v>
      </c>
      <c r="B1477" s="241">
        <f t="shared" si="1"/>
        <v>2030</v>
      </c>
      <c r="C1477" s="241">
        <f t="shared" si="2"/>
        <v>6</v>
      </c>
      <c r="D1477" s="301" t="str">
        <f t="shared" si="3"/>
        <v>Saturday</v>
      </c>
      <c r="E1477" s="240"/>
      <c r="F1477" s="240"/>
      <c r="G1477" s="240"/>
      <c r="H1477" s="241"/>
      <c r="I1477" s="301"/>
      <c r="J1477" s="240"/>
      <c r="K1477" s="240"/>
      <c r="L1477" s="240"/>
      <c r="M1477" s="240"/>
      <c r="N1477" s="240"/>
      <c r="O1477" s="240"/>
      <c r="P1477" s="240"/>
      <c r="Q1477" s="240"/>
      <c r="R1477" s="240"/>
      <c r="S1477" s="240"/>
      <c r="T1477" s="240"/>
      <c r="U1477" s="240"/>
      <c r="V1477" s="240"/>
      <c r="W1477" s="240"/>
      <c r="X1477" s="240"/>
      <c r="Y1477" s="240"/>
      <c r="Z1477" s="240"/>
    </row>
    <row r="1478" ht="14.25" customHeight="1">
      <c r="A1478" s="302">
        <f t="shared" si="4"/>
        <v>47650</v>
      </c>
      <c r="B1478" s="241">
        <f t="shared" si="1"/>
        <v>2030</v>
      </c>
      <c r="C1478" s="241">
        <f t="shared" si="2"/>
        <v>6</v>
      </c>
      <c r="D1478" s="301" t="str">
        <f t="shared" si="3"/>
        <v>Sunday</v>
      </c>
      <c r="E1478" s="240"/>
      <c r="F1478" s="240"/>
      <c r="G1478" s="240"/>
      <c r="H1478" s="241"/>
      <c r="I1478" s="301"/>
      <c r="J1478" s="240"/>
      <c r="K1478" s="240"/>
      <c r="L1478" s="240"/>
      <c r="M1478" s="240"/>
      <c r="N1478" s="240"/>
      <c r="O1478" s="240"/>
      <c r="P1478" s="240"/>
      <c r="Q1478" s="240"/>
      <c r="R1478" s="240"/>
      <c r="S1478" s="240"/>
      <c r="T1478" s="240"/>
      <c r="U1478" s="240"/>
      <c r="V1478" s="240"/>
      <c r="W1478" s="240"/>
      <c r="X1478" s="240"/>
      <c r="Y1478" s="240"/>
      <c r="Z1478" s="240"/>
    </row>
    <row r="1479" ht="14.25" customHeight="1">
      <c r="A1479" s="302">
        <f t="shared" si="4"/>
        <v>47651</v>
      </c>
      <c r="B1479" s="241">
        <f t="shared" si="1"/>
        <v>2030</v>
      </c>
      <c r="C1479" s="241">
        <f t="shared" si="2"/>
        <v>6</v>
      </c>
      <c r="D1479" s="301" t="str">
        <f t="shared" si="3"/>
        <v>Monday</v>
      </c>
      <c r="E1479" s="240"/>
      <c r="F1479" s="240"/>
      <c r="G1479" s="240"/>
      <c r="H1479" s="241"/>
      <c r="I1479" s="301"/>
      <c r="J1479" s="240"/>
      <c r="K1479" s="240"/>
      <c r="L1479" s="240"/>
      <c r="M1479" s="240"/>
      <c r="N1479" s="240"/>
      <c r="O1479" s="240"/>
      <c r="P1479" s="240"/>
      <c r="Q1479" s="240"/>
      <c r="R1479" s="240"/>
      <c r="S1479" s="240"/>
      <c r="T1479" s="240"/>
      <c r="U1479" s="240"/>
      <c r="V1479" s="240"/>
      <c r="W1479" s="240"/>
      <c r="X1479" s="240"/>
      <c r="Y1479" s="240"/>
      <c r="Z1479" s="240"/>
    </row>
    <row r="1480" ht="14.25" customHeight="1">
      <c r="A1480" s="302">
        <f t="shared" si="4"/>
        <v>47652</v>
      </c>
      <c r="B1480" s="241">
        <f t="shared" si="1"/>
        <v>2030</v>
      </c>
      <c r="C1480" s="241">
        <f t="shared" si="2"/>
        <v>6</v>
      </c>
      <c r="D1480" s="301" t="str">
        <f t="shared" si="3"/>
        <v>Tuesday</v>
      </c>
      <c r="E1480" s="240"/>
      <c r="F1480" s="240"/>
      <c r="G1480" s="240"/>
      <c r="H1480" s="241"/>
      <c r="I1480" s="301"/>
      <c r="J1480" s="240"/>
      <c r="K1480" s="240"/>
      <c r="L1480" s="240"/>
      <c r="M1480" s="240"/>
      <c r="N1480" s="240"/>
      <c r="O1480" s="240"/>
      <c r="P1480" s="240"/>
      <c r="Q1480" s="240"/>
      <c r="R1480" s="240"/>
      <c r="S1480" s="240"/>
      <c r="T1480" s="240"/>
      <c r="U1480" s="240"/>
      <c r="V1480" s="240"/>
      <c r="W1480" s="240"/>
      <c r="X1480" s="240"/>
      <c r="Y1480" s="240"/>
      <c r="Z1480" s="240"/>
    </row>
    <row r="1481" ht="14.25" customHeight="1">
      <c r="A1481" s="302">
        <f t="shared" si="4"/>
        <v>47653</v>
      </c>
      <c r="B1481" s="241">
        <f t="shared" si="1"/>
        <v>2030</v>
      </c>
      <c r="C1481" s="241">
        <f t="shared" si="2"/>
        <v>6</v>
      </c>
      <c r="D1481" s="301" t="str">
        <f t="shared" si="3"/>
        <v>Wednesday</v>
      </c>
      <c r="E1481" s="240"/>
      <c r="F1481" s="240"/>
      <c r="G1481" s="240"/>
      <c r="H1481" s="241"/>
      <c r="I1481" s="301"/>
      <c r="J1481" s="240"/>
      <c r="K1481" s="240"/>
      <c r="L1481" s="240"/>
      <c r="M1481" s="240"/>
      <c r="N1481" s="240"/>
      <c r="O1481" s="240"/>
      <c r="P1481" s="240"/>
      <c r="Q1481" s="240"/>
      <c r="R1481" s="240"/>
      <c r="S1481" s="240"/>
      <c r="T1481" s="240"/>
      <c r="U1481" s="240"/>
      <c r="V1481" s="240"/>
      <c r="W1481" s="240"/>
      <c r="X1481" s="240"/>
      <c r="Y1481" s="240"/>
      <c r="Z1481" s="240"/>
    </row>
    <row r="1482" ht="14.25" customHeight="1">
      <c r="A1482" s="302">
        <f t="shared" si="4"/>
        <v>47654</v>
      </c>
      <c r="B1482" s="241">
        <f t="shared" si="1"/>
        <v>2030</v>
      </c>
      <c r="C1482" s="241">
        <f t="shared" si="2"/>
        <v>6</v>
      </c>
      <c r="D1482" s="301" t="str">
        <f t="shared" si="3"/>
        <v>Thursday</v>
      </c>
      <c r="E1482" s="240"/>
      <c r="F1482" s="240"/>
      <c r="G1482" s="240"/>
      <c r="H1482" s="241"/>
      <c r="I1482" s="301"/>
      <c r="J1482" s="240"/>
      <c r="K1482" s="240"/>
      <c r="L1482" s="240"/>
      <c r="M1482" s="240"/>
      <c r="N1482" s="240"/>
      <c r="O1482" s="240"/>
      <c r="P1482" s="240"/>
      <c r="Q1482" s="240"/>
      <c r="R1482" s="240"/>
      <c r="S1482" s="240"/>
      <c r="T1482" s="240"/>
      <c r="U1482" s="240"/>
      <c r="V1482" s="240"/>
      <c r="W1482" s="240"/>
      <c r="X1482" s="240"/>
      <c r="Y1482" s="240"/>
      <c r="Z1482" s="240"/>
    </row>
    <row r="1483" ht="14.25" customHeight="1">
      <c r="A1483" s="302">
        <f t="shared" si="4"/>
        <v>47655</v>
      </c>
      <c r="B1483" s="241">
        <f t="shared" si="1"/>
        <v>2030</v>
      </c>
      <c r="C1483" s="241">
        <f t="shared" si="2"/>
        <v>6</v>
      </c>
      <c r="D1483" s="301" t="str">
        <f t="shared" si="3"/>
        <v>Friday</v>
      </c>
      <c r="E1483" s="240"/>
      <c r="F1483" s="240"/>
      <c r="G1483" s="240"/>
      <c r="H1483" s="241"/>
      <c r="I1483" s="301"/>
      <c r="J1483" s="240"/>
      <c r="K1483" s="240"/>
      <c r="L1483" s="240"/>
      <c r="M1483" s="240"/>
      <c r="N1483" s="240"/>
      <c r="O1483" s="240"/>
      <c r="P1483" s="240"/>
      <c r="Q1483" s="240"/>
      <c r="R1483" s="240"/>
      <c r="S1483" s="240"/>
      <c r="T1483" s="240"/>
      <c r="U1483" s="240"/>
      <c r="V1483" s="240"/>
      <c r="W1483" s="240"/>
      <c r="X1483" s="240"/>
      <c r="Y1483" s="240"/>
      <c r="Z1483" s="240"/>
    </row>
    <row r="1484" ht="14.25" customHeight="1">
      <c r="A1484" s="302">
        <f t="shared" si="4"/>
        <v>47656</v>
      </c>
      <c r="B1484" s="241">
        <f t="shared" si="1"/>
        <v>2030</v>
      </c>
      <c r="C1484" s="241">
        <f t="shared" si="2"/>
        <v>6</v>
      </c>
      <c r="D1484" s="301" t="str">
        <f t="shared" si="3"/>
        <v>Saturday</v>
      </c>
      <c r="E1484" s="240"/>
      <c r="F1484" s="240"/>
      <c r="G1484" s="240"/>
      <c r="H1484" s="241"/>
      <c r="I1484" s="301"/>
      <c r="J1484" s="240"/>
      <c r="K1484" s="240"/>
      <c r="L1484" s="240"/>
      <c r="M1484" s="240"/>
      <c r="N1484" s="240"/>
      <c r="O1484" s="240"/>
      <c r="P1484" s="240"/>
      <c r="Q1484" s="240"/>
      <c r="R1484" s="240"/>
      <c r="S1484" s="240"/>
      <c r="T1484" s="240"/>
      <c r="U1484" s="240"/>
      <c r="V1484" s="240"/>
      <c r="W1484" s="240"/>
      <c r="X1484" s="240"/>
      <c r="Y1484" s="240"/>
      <c r="Z1484" s="240"/>
    </row>
    <row r="1485" ht="14.25" customHeight="1">
      <c r="A1485" s="302">
        <f t="shared" si="4"/>
        <v>47657</v>
      </c>
      <c r="B1485" s="241">
        <f t="shared" si="1"/>
        <v>2030</v>
      </c>
      <c r="C1485" s="241">
        <f t="shared" si="2"/>
        <v>6</v>
      </c>
      <c r="D1485" s="301" t="str">
        <f t="shared" si="3"/>
        <v>Sunday</v>
      </c>
      <c r="E1485" s="240"/>
      <c r="F1485" s="240"/>
      <c r="G1485" s="240"/>
      <c r="H1485" s="241"/>
      <c r="I1485" s="301"/>
      <c r="J1485" s="240"/>
      <c r="K1485" s="240"/>
      <c r="L1485" s="240"/>
      <c r="M1485" s="240"/>
      <c r="N1485" s="240"/>
      <c r="O1485" s="240"/>
      <c r="P1485" s="240"/>
      <c r="Q1485" s="240"/>
      <c r="R1485" s="240"/>
      <c r="S1485" s="240"/>
      <c r="T1485" s="240"/>
      <c r="U1485" s="240"/>
      <c r="V1485" s="240"/>
      <c r="W1485" s="240"/>
      <c r="X1485" s="240"/>
      <c r="Y1485" s="240"/>
      <c r="Z1485" s="240"/>
    </row>
    <row r="1486" ht="14.25" customHeight="1">
      <c r="A1486" s="302">
        <f t="shared" si="4"/>
        <v>47658</v>
      </c>
      <c r="B1486" s="241">
        <f t="shared" si="1"/>
        <v>2030</v>
      </c>
      <c r="C1486" s="241">
        <f t="shared" si="2"/>
        <v>6</v>
      </c>
      <c r="D1486" s="301" t="str">
        <f t="shared" si="3"/>
        <v>Monday</v>
      </c>
      <c r="E1486" s="240"/>
      <c r="F1486" s="240"/>
      <c r="G1486" s="240"/>
      <c r="H1486" s="241"/>
      <c r="I1486" s="301"/>
      <c r="J1486" s="240"/>
      <c r="K1486" s="240"/>
      <c r="L1486" s="240"/>
      <c r="M1486" s="240"/>
      <c r="N1486" s="240"/>
      <c r="O1486" s="240"/>
      <c r="P1486" s="240"/>
      <c r="Q1486" s="240"/>
      <c r="R1486" s="240"/>
      <c r="S1486" s="240"/>
      <c r="T1486" s="240"/>
      <c r="U1486" s="240"/>
      <c r="V1486" s="240"/>
      <c r="W1486" s="240"/>
      <c r="X1486" s="240"/>
      <c r="Y1486" s="240"/>
      <c r="Z1486" s="240"/>
    </row>
    <row r="1487" ht="14.25" customHeight="1">
      <c r="A1487" s="302">
        <f t="shared" si="4"/>
        <v>47659</v>
      </c>
      <c r="B1487" s="241">
        <f t="shared" si="1"/>
        <v>2030</v>
      </c>
      <c r="C1487" s="241">
        <f t="shared" si="2"/>
        <v>6</v>
      </c>
      <c r="D1487" s="301" t="str">
        <f t="shared" si="3"/>
        <v>Tuesday</v>
      </c>
      <c r="E1487" s="240"/>
      <c r="F1487" s="240"/>
      <c r="G1487" s="240"/>
      <c r="H1487" s="241"/>
      <c r="I1487" s="301"/>
      <c r="J1487" s="240"/>
      <c r="K1487" s="240"/>
      <c r="L1487" s="240"/>
      <c r="M1487" s="240"/>
      <c r="N1487" s="240"/>
      <c r="O1487" s="240"/>
      <c r="P1487" s="240"/>
      <c r="Q1487" s="240"/>
      <c r="R1487" s="240"/>
      <c r="S1487" s="240"/>
      <c r="T1487" s="240"/>
      <c r="U1487" s="240"/>
      <c r="V1487" s="240"/>
      <c r="W1487" s="240"/>
      <c r="X1487" s="240"/>
      <c r="Y1487" s="240"/>
      <c r="Z1487" s="240"/>
    </row>
    <row r="1488" ht="14.25" customHeight="1">
      <c r="A1488" s="302">
        <f t="shared" si="4"/>
        <v>47660</v>
      </c>
      <c r="B1488" s="241">
        <f t="shared" si="1"/>
        <v>2030</v>
      </c>
      <c r="C1488" s="241">
        <f t="shared" si="2"/>
        <v>6</v>
      </c>
      <c r="D1488" s="301" t="str">
        <f t="shared" si="3"/>
        <v>Wednesday</v>
      </c>
      <c r="E1488" s="240"/>
      <c r="F1488" s="240"/>
      <c r="G1488" s="240"/>
      <c r="H1488" s="241"/>
      <c r="I1488" s="301"/>
      <c r="J1488" s="240"/>
      <c r="K1488" s="240"/>
      <c r="L1488" s="240"/>
      <c r="M1488" s="240"/>
      <c r="N1488" s="240"/>
      <c r="O1488" s="240"/>
      <c r="P1488" s="240"/>
      <c r="Q1488" s="240"/>
      <c r="R1488" s="240"/>
      <c r="S1488" s="240"/>
      <c r="T1488" s="240"/>
      <c r="U1488" s="240"/>
      <c r="V1488" s="240"/>
      <c r="W1488" s="240"/>
      <c r="X1488" s="240"/>
      <c r="Y1488" s="240"/>
      <c r="Z1488" s="240"/>
    </row>
    <row r="1489" ht="14.25" customHeight="1">
      <c r="A1489" s="302">
        <f t="shared" si="4"/>
        <v>47661</v>
      </c>
      <c r="B1489" s="241">
        <f t="shared" si="1"/>
        <v>2030</v>
      </c>
      <c r="C1489" s="241">
        <f t="shared" si="2"/>
        <v>6</v>
      </c>
      <c r="D1489" s="301" t="str">
        <f t="shared" si="3"/>
        <v>Thursday</v>
      </c>
      <c r="E1489" s="240"/>
      <c r="F1489" s="240"/>
      <c r="G1489" s="240"/>
      <c r="H1489" s="241"/>
      <c r="I1489" s="301"/>
      <c r="J1489" s="240"/>
      <c r="K1489" s="240"/>
      <c r="L1489" s="240"/>
      <c r="M1489" s="240"/>
      <c r="N1489" s="240"/>
      <c r="O1489" s="240"/>
      <c r="P1489" s="240"/>
      <c r="Q1489" s="240"/>
      <c r="R1489" s="240"/>
      <c r="S1489" s="240"/>
      <c r="T1489" s="240"/>
      <c r="U1489" s="240"/>
      <c r="V1489" s="240"/>
      <c r="W1489" s="240"/>
      <c r="X1489" s="240"/>
      <c r="Y1489" s="240"/>
      <c r="Z1489" s="240"/>
    </row>
    <row r="1490" ht="14.25" customHeight="1">
      <c r="A1490" s="302">
        <f t="shared" si="4"/>
        <v>47662</v>
      </c>
      <c r="B1490" s="241">
        <f t="shared" si="1"/>
        <v>2030</v>
      </c>
      <c r="C1490" s="241">
        <f t="shared" si="2"/>
        <v>6</v>
      </c>
      <c r="D1490" s="301" t="str">
        <f t="shared" si="3"/>
        <v>Friday</v>
      </c>
      <c r="E1490" s="240"/>
      <c r="F1490" s="240"/>
      <c r="G1490" s="240"/>
      <c r="H1490" s="241"/>
      <c r="I1490" s="301"/>
      <c r="J1490" s="240"/>
      <c r="K1490" s="240"/>
      <c r="L1490" s="240"/>
      <c r="M1490" s="240"/>
      <c r="N1490" s="240"/>
      <c r="O1490" s="240"/>
      <c r="P1490" s="240"/>
      <c r="Q1490" s="240"/>
      <c r="R1490" s="240"/>
      <c r="S1490" s="240"/>
      <c r="T1490" s="240"/>
      <c r="U1490" s="240"/>
      <c r="V1490" s="240"/>
      <c r="W1490" s="240"/>
      <c r="X1490" s="240"/>
      <c r="Y1490" s="240"/>
      <c r="Z1490" s="240"/>
    </row>
    <row r="1491" ht="14.25" customHeight="1">
      <c r="A1491" s="302">
        <f t="shared" si="4"/>
        <v>47663</v>
      </c>
      <c r="B1491" s="241">
        <f t="shared" si="1"/>
        <v>2030</v>
      </c>
      <c r="C1491" s="241">
        <f t="shared" si="2"/>
        <v>6</v>
      </c>
      <c r="D1491" s="301" t="str">
        <f t="shared" si="3"/>
        <v>Saturday</v>
      </c>
      <c r="E1491" s="240"/>
      <c r="F1491" s="240"/>
      <c r="G1491" s="240"/>
      <c r="H1491" s="241"/>
      <c r="I1491" s="301"/>
      <c r="J1491" s="240"/>
      <c r="K1491" s="240"/>
      <c r="L1491" s="240"/>
      <c r="M1491" s="240"/>
      <c r="N1491" s="240"/>
      <c r="O1491" s="240"/>
      <c r="P1491" s="240"/>
      <c r="Q1491" s="240"/>
      <c r="R1491" s="240"/>
      <c r="S1491" s="240"/>
      <c r="T1491" s="240"/>
      <c r="U1491" s="240"/>
      <c r="V1491" s="240"/>
      <c r="W1491" s="240"/>
      <c r="X1491" s="240"/>
      <c r="Y1491" s="240"/>
      <c r="Z1491" s="240"/>
    </row>
    <row r="1492" ht="14.25" customHeight="1">
      <c r="A1492" s="302">
        <f t="shared" si="4"/>
        <v>47664</v>
      </c>
      <c r="B1492" s="241">
        <f t="shared" si="1"/>
        <v>2030</v>
      </c>
      <c r="C1492" s="241">
        <f t="shared" si="2"/>
        <v>6</v>
      </c>
      <c r="D1492" s="301" t="str">
        <f t="shared" si="3"/>
        <v>Sunday</v>
      </c>
      <c r="E1492" s="240"/>
      <c r="F1492" s="240"/>
      <c r="G1492" s="240"/>
      <c r="H1492" s="241"/>
      <c r="I1492" s="301"/>
      <c r="J1492" s="240"/>
      <c r="K1492" s="240"/>
      <c r="L1492" s="240"/>
      <c r="M1492" s="240"/>
      <c r="N1492" s="240"/>
      <c r="O1492" s="240"/>
      <c r="P1492" s="240"/>
      <c r="Q1492" s="240"/>
      <c r="R1492" s="240"/>
      <c r="S1492" s="240"/>
      <c r="T1492" s="240"/>
      <c r="U1492" s="240"/>
      <c r="V1492" s="240"/>
      <c r="W1492" s="240"/>
      <c r="X1492" s="240"/>
      <c r="Y1492" s="240"/>
      <c r="Z1492" s="240"/>
    </row>
    <row r="1493" ht="14.25" customHeight="1">
      <c r="A1493" s="302">
        <f t="shared" si="4"/>
        <v>47665</v>
      </c>
      <c r="B1493" s="241">
        <f t="shared" si="1"/>
        <v>2030</v>
      </c>
      <c r="C1493" s="241">
        <f t="shared" si="2"/>
        <v>7</v>
      </c>
      <c r="D1493" s="301" t="str">
        <f t="shared" si="3"/>
        <v>Monday</v>
      </c>
      <c r="E1493" s="240"/>
      <c r="F1493" s="240"/>
      <c r="G1493" s="240"/>
      <c r="H1493" s="241"/>
      <c r="I1493" s="301"/>
      <c r="J1493" s="240"/>
      <c r="K1493" s="240"/>
      <c r="L1493" s="240"/>
      <c r="M1493" s="240"/>
      <c r="N1493" s="240"/>
      <c r="O1493" s="240"/>
      <c r="P1493" s="240"/>
      <c r="Q1493" s="240"/>
      <c r="R1493" s="240"/>
      <c r="S1493" s="240"/>
      <c r="T1493" s="240"/>
      <c r="U1493" s="240"/>
      <c r="V1493" s="240"/>
      <c r="W1493" s="240"/>
      <c r="X1493" s="240"/>
      <c r="Y1493" s="240"/>
      <c r="Z1493" s="240"/>
    </row>
    <row r="1494" ht="14.25" customHeight="1">
      <c r="A1494" s="302">
        <f t="shared" si="4"/>
        <v>47666</v>
      </c>
      <c r="B1494" s="241">
        <f t="shared" si="1"/>
        <v>2030</v>
      </c>
      <c r="C1494" s="241">
        <f t="shared" si="2"/>
        <v>7</v>
      </c>
      <c r="D1494" s="301" t="str">
        <f t="shared" si="3"/>
        <v>Tuesday</v>
      </c>
      <c r="E1494" s="240"/>
      <c r="F1494" s="240"/>
      <c r="G1494" s="240"/>
      <c r="H1494" s="241"/>
      <c r="I1494" s="301"/>
      <c r="J1494" s="240"/>
      <c r="K1494" s="240"/>
      <c r="L1494" s="240"/>
      <c r="M1494" s="240"/>
      <c r="N1494" s="240"/>
      <c r="O1494" s="240"/>
      <c r="P1494" s="240"/>
      <c r="Q1494" s="240"/>
      <c r="R1494" s="240"/>
      <c r="S1494" s="240"/>
      <c r="T1494" s="240"/>
      <c r="U1494" s="240"/>
      <c r="V1494" s="240"/>
      <c r="W1494" s="240"/>
      <c r="X1494" s="240"/>
      <c r="Y1494" s="240"/>
      <c r="Z1494" s="240"/>
    </row>
    <row r="1495" ht="14.25" customHeight="1">
      <c r="A1495" s="302">
        <f t="shared" si="4"/>
        <v>47667</v>
      </c>
      <c r="B1495" s="241">
        <f t="shared" si="1"/>
        <v>2030</v>
      </c>
      <c r="C1495" s="241">
        <f t="shared" si="2"/>
        <v>7</v>
      </c>
      <c r="D1495" s="301" t="str">
        <f t="shared" si="3"/>
        <v>Wednesday</v>
      </c>
      <c r="E1495" s="240"/>
      <c r="F1495" s="240"/>
      <c r="G1495" s="240"/>
      <c r="H1495" s="241"/>
      <c r="I1495" s="301"/>
      <c r="J1495" s="240"/>
      <c r="K1495" s="240"/>
      <c r="L1495" s="240"/>
      <c r="M1495" s="240"/>
      <c r="N1495" s="240"/>
      <c r="O1495" s="240"/>
      <c r="P1495" s="240"/>
      <c r="Q1495" s="240"/>
      <c r="R1495" s="240"/>
      <c r="S1495" s="240"/>
      <c r="T1495" s="240"/>
      <c r="U1495" s="240"/>
      <c r="V1495" s="240"/>
      <c r="W1495" s="240"/>
      <c r="X1495" s="240"/>
      <c r="Y1495" s="240"/>
      <c r="Z1495" s="240"/>
    </row>
    <row r="1496" ht="14.25" customHeight="1">
      <c r="A1496" s="302">
        <f t="shared" si="4"/>
        <v>47668</v>
      </c>
      <c r="B1496" s="241">
        <f t="shared" si="1"/>
        <v>2030</v>
      </c>
      <c r="C1496" s="241">
        <f t="shared" si="2"/>
        <v>7</v>
      </c>
      <c r="D1496" s="301" t="str">
        <f t="shared" si="3"/>
        <v>Thursday</v>
      </c>
      <c r="E1496" s="240"/>
      <c r="F1496" s="240"/>
      <c r="G1496" s="240"/>
      <c r="H1496" s="241"/>
      <c r="I1496" s="301"/>
      <c r="J1496" s="240"/>
      <c r="K1496" s="240"/>
      <c r="L1496" s="240"/>
      <c r="M1496" s="240"/>
      <c r="N1496" s="240"/>
      <c r="O1496" s="240"/>
      <c r="P1496" s="240"/>
      <c r="Q1496" s="240"/>
      <c r="R1496" s="240"/>
      <c r="S1496" s="240"/>
      <c r="T1496" s="240"/>
      <c r="U1496" s="240"/>
      <c r="V1496" s="240"/>
      <c r="W1496" s="240"/>
      <c r="X1496" s="240"/>
      <c r="Y1496" s="240"/>
      <c r="Z1496" s="240"/>
    </row>
    <row r="1497" ht="14.25" customHeight="1">
      <c r="A1497" s="302">
        <f t="shared" si="4"/>
        <v>47669</v>
      </c>
      <c r="B1497" s="241">
        <f t="shared" si="1"/>
        <v>2030</v>
      </c>
      <c r="C1497" s="241">
        <f t="shared" si="2"/>
        <v>7</v>
      </c>
      <c r="D1497" s="301" t="str">
        <f t="shared" si="3"/>
        <v>Friday</v>
      </c>
      <c r="E1497" s="240"/>
      <c r="F1497" s="240"/>
      <c r="G1497" s="240"/>
      <c r="H1497" s="241"/>
      <c r="I1497" s="301"/>
      <c r="J1497" s="240"/>
      <c r="K1497" s="240"/>
      <c r="L1497" s="240"/>
      <c r="M1497" s="240"/>
      <c r="N1497" s="240"/>
      <c r="O1497" s="240"/>
      <c r="P1497" s="240"/>
      <c r="Q1497" s="240"/>
      <c r="R1497" s="240"/>
      <c r="S1497" s="240"/>
      <c r="T1497" s="240"/>
      <c r="U1497" s="240"/>
      <c r="V1497" s="240"/>
      <c r="W1497" s="240"/>
      <c r="X1497" s="240"/>
      <c r="Y1497" s="240"/>
      <c r="Z1497" s="240"/>
    </row>
    <row r="1498" ht="14.25" customHeight="1">
      <c r="A1498" s="302">
        <f t="shared" si="4"/>
        <v>47670</v>
      </c>
      <c r="B1498" s="241">
        <f t="shared" si="1"/>
        <v>2030</v>
      </c>
      <c r="C1498" s="241">
        <f t="shared" si="2"/>
        <v>7</v>
      </c>
      <c r="D1498" s="301" t="str">
        <f t="shared" si="3"/>
        <v>Saturday</v>
      </c>
      <c r="E1498" s="240"/>
      <c r="F1498" s="240"/>
      <c r="G1498" s="240"/>
      <c r="H1498" s="241"/>
      <c r="I1498" s="301"/>
      <c r="J1498" s="240"/>
      <c r="K1498" s="240"/>
      <c r="L1498" s="240"/>
      <c r="M1498" s="240"/>
      <c r="N1498" s="240"/>
      <c r="O1498" s="240"/>
      <c r="P1498" s="240"/>
      <c r="Q1498" s="240"/>
      <c r="R1498" s="240"/>
      <c r="S1498" s="240"/>
      <c r="T1498" s="240"/>
      <c r="U1498" s="240"/>
      <c r="V1498" s="240"/>
      <c r="W1498" s="240"/>
      <c r="X1498" s="240"/>
      <c r="Y1498" s="240"/>
      <c r="Z1498" s="240"/>
    </row>
    <row r="1499" ht="14.25" customHeight="1">
      <c r="A1499" s="302">
        <f t="shared" si="4"/>
        <v>47671</v>
      </c>
      <c r="B1499" s="241">
        <f t="shared" si="1"/>
        <v>2030</v>
      </c>
      <c r="C1499" s="241">
        <f t="shared" si="2"/>
        <v>7</v>
      </c>
      <c r="D1499" s="301" t="str">
        <f t="shared" si="3"/>
        <v>Sunday</v>
      </c>
      <c r="E1499" s="240"/>
      <c r="F1499" s="240"/>
      <c r="G1499" s="240"/>
      <c r="H1499" s="241"/>
      <c r="I1499" s="301"/>
      <c r="J1499" s="240"/>
      <c r="K1499" s="240"/>
      <c r="L1499" s="240"/>
      <c r="M1499" s="240"/>
      <c r="N1499" s="240"/>
      <c r="O1499" s="240"/>
      <c r="P1499" s="240"/>
      <c r="Q1499" s="240"/>
      <c r="R1499" s="240"/>
      <c r="S1499" s="240"/>
      <c r="T1499" s="240"/>
      <c r="U1499" s="240"/>
      <c r="V1499" s="240"/>
      <c r="W1499" s="240"/>
      <c r="X1499" s="240"/>
      <c r="Y1499" s="240"/>
      <c r="Z1499" s="240"/>
    </row>
    <row r="1500" ht="14.25" customHeight="1">
      <c r="A1500" s="302">
        <f t="shared" si="4"/>
        <v>47672</v>
      </c>
      <c r="B1500" s="241">
        <f t="shared" si="1"/>
        <v>2030</v>
      </c>
      <c r="C1500" s="241">
        <f t="shared" si="2"/>
        <v>7</v>
      </c>
      <c r="D1500" s="301" t="str">
        <f t="shared" si="3"/>
        <v>Monday</v>
      </c>
      <c r="E1500" s="240"/>
      <c r="F1500" s="240"/>
      <c r="G1500" s="240"/>
      <c r="H1500" s="241"/>
      <c r="I1500" s="301"/>
      <c r="J1500" s="240"/>
      <c r="K1500" s="240"/>
      <c r="L1500" s="240"/>
      <c r="M1500" s="240"/>
      <c r="N1500" s="240"/>
      <c r="O1500" s="240"/>
      <c r="P1500" s="240"/>
      <c r="Q1500" s="240"/>
      <c r="R1500" s="240"/>
      <c r="S1500" s="240"/>
      <c r="T1500" s="240"/>
      <c r="U1500" s="240"/>
      <c r="V1500" s="240"/>
      <c r="W1500" s="240"/>
      <c r="X1500" s="240"/>
      <c r="Y1500" s="240"/>
      <c r="Z1500" s="240"/>
    </row>
    <row r="1501" ht="14.25" customHeight="1">
      <c r="A1501" s="302">
        <f t="shared" si="4"/>
        <v>47673</v>
      </c>
      <c r="B1501" s="241">
        <f t="shared" si="1"/>
        <v>2030</v>
      </c>
      <c r="C1501" s="241">
        <f t="shared" si="2"/>
        <v>7</v>
      </c>
      <c r="D1501" s="301" t="str">
        <f t="shared" si="3"/>
        <v>Tuesday</v>
      </c>
      <c r="E1501" s="240"/>
      <c r="F1501" s="240"/>
      <c r="G1501" s="240"/>
      <c r="H1501" s="241"/>
      <c r="I1501" s="301"/>
      <c r="J1501" s="240"/>
      <c r="K1501" s="240"/>
      <c r="L1501" s="240"/>
      <c r="M1501" s="240"/>
      <c r="N1501" s="240"/>
      <c r="O1501" s="240"/>
      <c r="P1501" s="240"/>
      <c r="Q1501" s="240"/>
      <c r="R1501" s="240"/>
      <c r="S1501" s="240"/>
      <c r="T1501" s="240"/>
      <c r="U1501" s="240"/>
      <c r="V1501" s="240"/>
      <c r="W1501" s="240"/>
      <c r="X1501" s="240"/>
      <c r="Y1501" s="240"/>
      <c r="Z1501" s="240"/>
    </row>
    <row r="1502" ht="14.25" customHeight="1">
      <c r="A1502" s="302">
        <f t="shared" si="4"/>
        <v>47674</v>
      </c>
      <c r="B1502" s="241">
        <f t="shared" si="1"/>
        <v>2030</v>
      </c>
      <c r="C1502" s="241">
        <f t="shared" si="2"/>
        <v>7</v>
      </c>
      <c r="D1502" s="301" t="str">
        <f t="shared" si="3"/>
        <v>Wednesday</v>
      </c>
      <c r="E1502" s="240"/>
      <c r="F1502" s="240"/>
      <c r="G1502" s="240"/>
      <c r="H1502" s="241"/>
      <c r="I1502" s="301"/>
      <c r="J1502" s="240"/>
      <c r="K1502" s="240"/>
      <c r="L1502" s="240"/>
      <c r="M1502" s="240"/>
      <c r="N1502" s="240"/>
      <c r="O1502" s="240"/>
      <c r="P1502" s="240"/>
      <c r="Q1502" s="240"/>
      <c r="R1502" s="240"/>
      <c r="S1502" s="240"/>
      <c r="T1502" s="240"/>
      <c r="U1502" s="240"/>
      <c r="V1502" s="240"/>
      <c r="W1502" s="240"/>
      <c r="X1502" s="240"/>
      <c r="Y1502" s="240"/>
      <c r="Z1502" s="240"/>
    </row>
    <row r="1503" ht="14.25" customHeight="1">
      <c r="A1503" s="302">
        <f t="shared" si="4"/>
        <v>47675</v>
      </c>
      <c r="B1503" s="241">
        <f t="shared" si="1"/>
        <v>2030</v>
      </c>
      <c r="C1503" s="241">
        <f t="shared" si="2"/>
        <v>7</v>
      </c>
      <c r="D1503" s="301" t="str">
        <f t="shared" si="3"/>
        <v>Thursday</v>
      </c>
      <c r="E1503" s="240"/>
      <c r="F1503" s="240"/>
      <c r="G1503" s="240"/>
      <c r="H1503" s="241"/>
      <c r="I1503" s="301"/>
      <c r="J1503" s="240"/>
      <c r="K1503" s="240"/>
      <c r="L1503" s="240"/>
      <c r="M1503" s="240"/>
      <c r="N1503" s="240"/>
      <c r="O1503" s="240"/>
      <c r="P1503" s="240"/>
      <c r="Q1503" s="240"/>
      <c r="R1503" s="240"/>
      <c r="S1503" s="240"/>
      <c r="T1503" s="240"/>
      <c r="U1503" s="240"/>
      <c r="V1503" s="240"/>
      <c r="W1503" s="240"/>
      <c r="X1503" s="240"/>
      <c r="Y1503" s="240"/>
      <c r="Z1503" s="240"/>
    </row>
    <row r="1504" ht="14.25" customHeight="1">
      <c r="A1504" s="302">
        <f t="shared" si="4"/>
        <v>47676</v>
      </c>
      <c r="B1504" s="241">
        <f t="shared" si="1"/>
        <v>2030</v>
      </c>
      <c r="C1504" s="241">
        <f t="shared" si="2"/>
        <v>7</v>
      </c>
      <c r="D1504" s="301" t="str">
        <f t="shared" si="3"/>
        <v>Friday</v>
      </c>
      <c r="E1504" s="240"/>
      <c r="F1504" s="240"/>
      <c r="G1504" s="240"/>
      <c r="H1504" s="241"/>
      <c r="I1504" s="301"/>
      <c r="J1504" s="240"/>
      <c r="K1504" s="240"/>
      <c r="L1504" s="240"/>
      <c r="M1504" s="240"/>
      <c r="N1504" s="240"/>
      <c r="O1504" s="240"/>
      <c r="P1504" s="240"/>
      <c r="Q1504" s="240"/>
      <c r="R1504" s="240"/>
      <c r="S1504" s="240"/>
      <c r="T1504" s="240"/>
      <c r="U1504" s="240"/>
      <c r="V1504" s="240"/>
      <c r="W1504" s="240"/>
      <c r="X1504" s="240"/>
      <c r="Y1504" s="240"/>
      <c r="Z1504" s="240"/>
    </row>
    <row r="1505" ht="14.25" customHeight="1">
      <c r="A1505" s="302">
        <f t="shared" si="4"/>
        <v>47677</v>
      </c>
      <c r="B1505" s="241">
        <f t="shared" si="1"/>
        <v>2030</v>
      </c>
      <c r="C1505" s="241">
        <f t="shared" si="2"/>
        <v>7</v>
      </c>
      <c r="D1505" s="301" t="str">
        <f t="shared" si="3"/>
        <v>Saturday</v>
      </c>
      <c r="E1505" s="240"/>
      <c r="F1505" s="240"/>
      <c r="G1505" s="240"/>
      <c r="H1505" s="241"/>
      <c r="I1505" s="301"/>
      <c r="J1505" s="240"/>
      <c r="K1505" s="240"/>
      <c r="L1505" s="240"/>
      <c r="M1505" s="240"/>
      <c r="N1505" s="240"/>
      <c r="O1505" s="240"/>
      <c r="P1505" s="240"/>
      <c r="Q1505" s="240"/>
      <c r="R1505" s="240"/>
      <c r="S1505" s="240"/>
      <c r="T1505" s="240"/>
      <c r="U1505" s="240"/>
      <c r="V1505" s="240"/>
      <c r="W1505" s="240"/>
      <c r="X1505" s="240"/>
      <c r="Y1505" s="240"/>
      <c r="Z1505" s="240"/>
    </row>
    <row r="1506" ht="14.25" customHeight="1">
      <c r="A1506" s="302">
        <f t="shared" si="4"/>
        <v>47678</v>
      </c>
      <c r="B1506" s="241">
        <f t="shared" si="1"/>
        <v>2030</v>
      </c>
      <c r="C1506" s="241">
        <f t="shared" si="2"/>
        <v>7</v>
      </c>
      <c r="D1506" s="301" t="str">
        <f t="shared" si="3"/>
        <v>Sunday</v>
      </c>
      <c r="E1506" s="240"/>
      <c r="F1506" s="240"/>
      <c r="G1506" s="240"/>
      <c r="H1506" s="241"/>
      <c r="I1506" s="301"/>
      <c r="J1506" s="240"/>
      <c r="K1506" s="240"/>
      <c r="L1506" s="240"/>
      <c r="M1506" s="240"/>
      <c r="N1506" s="240"/>
      <c r="O1506" s="240"/>
      <c r="P1506" s="240"/>
      <c r="Q1506" s="240"/>
      <c r="R1506" s="240"/>
      <c r="S1506" s="240"/>
      <c r="T1506" s="240"/>
      <c r="U1506" s="240"/>
      <c r="V1506" s="240"/>
      <c r="W1506" s="240"/>
      <c r="X1506" s="240"/>
      <c r="Y1506" s="240"/>
      <c r="Z1506" s="240"/>
    </row>
    <row r="1507" ht="14.25" customHeight="1">
      <c r="A1507" s="302">
        <f t="shared" si="4"/>
        <v>47679</v>
      </c>
      <c r="B1507" s="241">
        <f t="shared" si="1"/>
        <v>2030</v>
      </c>
      <c r="C1507" s="241">
        <f t="shared" si="2"/>
        <v>7</v>
      </c>
      <c r="D1507" s="301" t="str">
        <f t="shared" si="3"/>
        <v>Monday</v>
      </c>
      <c r="E1507" s="240"/>
      <c r="F1507" s="240"/>
      <c r="G1507" s="240"/>
      <c r="H1507" s="241"/>
      <c r="I1507" s="301"/>
      <c r="J1507" s="240"/>
      <c r="K1507" s="240"/>
      <c r="L1507" s="240"/>
      <c r="M1507" s="240"/>
      <c r="N1507" s="240"/>
      <c r="O1507" s="240"/>
      <c r="P1507" s="240"/>
      <c r="Q1507" s="240"/>
      <c r="R1507" s="240"/>
      <c r="S1507" s="240"/>
      <c r="T1507" s="240"/>
      <c r="U1507" s="240"/>
      <c r="V1507" s="240"/>
      <c r="W1507" s="240"/>
      <c r="X1507" s="240"/>
      <c r="Y1507" s="240"/>
      <c r="Z1507" s="240"/>
    </row>
    <row r="1508" ht="14.25" customHeight="1">
      <c r="A1508" s="302">
        <f t="shared" si="4"/>
        <v>47680</v>
      </c>
      <c r="B1508" s="241">
        <f t="shared" si="1"/>
        <v>2030</v>
      </c>
      <c r="C1508" s="241">
        <f t="shared" si="2"/>
        <v>7</v>
      </c>
      <c r="D1508" s="301" t="str">
        <f t="shared" si="3"/>
        <v>Tuesday</v>
      </c>
      <c r="E1508" s="240"/>
      <c r="F1508" s="240"/>
      <c r="G1508" s="240"/>
      <c r="H1508" s="241"/>
      <c r="I1508" s="301"/>
      <c r="J1508" s="240"/>
      <c r="K1508" s="240"/>
      <c r="L1508" s="240"/>
      <c r="M1508" s="240"/>
      <c r="N1508" s="240"/>
      <c r="O1508" s="240"/>
      <c r="P1508" s="240"/>
      <c r="Q1508" s="240"/>
      <c r="R1508" s="240"/>
      <c r="S1508" s="240"/>
      <c r="T1508" s="240"/>
      <c r="U1508" s="240"/>
      <c r="V1508" s="240"/>
      <c r="W1508" s="240"/>
      <c r="X1508" s="240"/>
      <c r="Y1508" s="240"/>
      <c r="Z1508" s="240"/>
    </row>
    <row r="1509" ht="14.25" customHeight="1">
      <c r="A1509" s="302">
        <f t="shared" si="4"/>
        <v>47681</v>
      </c>
      <c r="B1509" s="241">
        <f t="shared" si="1"/>
        <v>2030</v>
      </c>
      <c r="C1509" s="241">
        <f t="shared" si="2"/>
        <v>7</v>
      </c>
      <c r="D1509" s="301" t="str">
        <f t="shared" si="3"/>
        <v>Wednesday</v>
      </c>
      <c r="E1509" s="240"/>
      <c r="F1509" s="240"/>
      <c r="G1509" s="240"/>
      <c r="H1509" s="241"/>
      <c r="I1509" s="301"/>
      <c r="J1509" s="240"/>
      <c r="K1509" s="240"/>
      <c r="L1509" s="240"/>
      <c r="M1509" s="240"/>
      <c r="N1509" s="240"/>
      <c r="O1509" s="240"/>
      <c r="P1509" s="240"/>
      <c r="Q1509" s="240"/>
      <c r="R1509" s="240"/>
      <c r="S1509" s="240"/>
      <c r="T1509" s="240"/>
      <c r="U1509" s="240"/>
      <c r="V1509" s="240"/>
      <c r="W1509" s="240"/>
      <c r="X1509" s="240"/>
      <c r="Y1509" s="240"/>
      <c r="Z1509" s="240"/>
    </row>
    <row r="1510" ht="14.25" customHeight="1">
      <c r="A1510" s="302">
        <f t="shared" si="4"/>
        <v>47682</v>
      </c>
      <c r="B1510" s="241">
        <f t="shared" si="1"/>
        <v>2030</v>
      </c>
      <c r="C1510" s="241">
        <f t="shared" si="2"/>
        <v>7</v>
      </c>
      <c r="D1510" s="301" t="str">
        <f t="shared" si="3"/>
        <v>Thursday</v>
      </c>
      <c r="E1510" s="240"/>
      <c r="F1510" s="240"/>
      <c r="G1510" s="240"/>
      <c r="H1510" s="241"/>
      <c r="I1510" s="301"/>
      <c r="J1510" s="240"/>
      <c r="K1510" s="240"/>
      <c r="L1510" s="240"/>
      <c r="M1510" s="240"/>
      <c r="N1510" s="240"/>
      <c r="O1510" s="240"/>
      <c r="P1510" s="240"/>
      <c r="Q1510" s="240"/>
      <c r="R1510" s="240"/>
      <c r="S1510" s="240"/>
      <c r="T1510" s="240"/>
      <c r="U1510" s="240"/>
      <c r="V1510" s="240"/>
      <c r="W1510" s="240"/>
      <c r="X1510" s="240"/>
      <c r="Y1510" s="240"/>
      <c r="Z1510" s="240"/>
    </row>
    <row r="1511" ht="14.25" customHeight="1">
      <c r="A1511" s="302">
        <f t="shared" si="4"/>
        <v>47683</v>
      </c>
      <c r="B1511" s="241">
        <f t="shared" si="1"/>
        <v>2030</v>
      </c>
      <c r="C1511" s="241">
        <f t="shared" si="2"/>
        <v>7</v>
      </c>
      <c r="D1511" s="301" t="str">
        <f t="shared" si="3"/>
        <v>Friday</v>
      </c>
      <c r="E1511" s="240"/>
      <c r="F1511" s="240"/>
      <c r="G1511" s="240"/>
      <c r="H1511" s="241"/>
      <c r="I1511" s="301"/>
      <c r="J1511" s="240"/>
      <c r="K1511" s="240"/>
      <c r="L1511" s="240"/>
      <c r="M1511" s="240"/>
      <c r="N1511" s="240"/>
      <c r="O1511" s="240"/>
      <c r="P1511" s="240"/>
      <c r="Q1511" s="240"/>
      <c r="R1511" s="240"/>
      <c r="S1511" s="240"/>
      <c r="T1511" s="240"/>
      <c r="U1511" s="240"/>
      <c r="V1511" s="240"/>
      <c r="W1511" s="240"/>
      <c r="X1511" s="240"/>
      <c r="Y1511" s="240"/>
      <c r="Z1511" s="240"/>
    </row>
    <row r="1512" ht="14.25" customHeight="1">
      <c r="A1512" s="302">
        <f t="shared" si="4"/>
        <v>47684</v>
      </c>
      <c r="B1512" s="241">
        <f t="shared" si="1"/>
        <v>2030</v>
      </c>
      <c r="C1512" s="241">
        <f t="shared" si="2"/>
        <v>7</v>
      </c>
      <c r="D1512" s="301" t="str">
        <f t="shared" si="3"/>
        <v>Saturday</v>
      </c>
      <c r="E1512" s="240"/>
      <c r="F1512" s="240"/>
      <c r="G1512" s="240"/>
      <c r="H1512" s="241"/>
      <c r="I1512" s="301"/>
      <c r="J1512" s="240"/>
      <c r="K1512" s="240"/>
      <c r="L1512" s="240"/>
      <c r="M1512" s="240"/>
      <c r="N1512" s="240"/>
      <c r="O1512" s="240"/>
      <c r="P1512" s="240"/>
      <c r="Q1512" s="240"/>
      <c r="R1512" s="240"/>
      <c r="S1512" s="240"/>
      <c r="T1512" s="240"/>
      <c r="U1512" s="240"/>
      <c r="V1512" s="240"/>
      <c r="W1512" s="240"/>
      <c r="X1512" s="240"/>
      <c r="Y1512" s="240"/>
      <c r="Z1512" s="240"/>
    </row>
    <row r="1513" ht="14.25" customHeight="1">
      <c r="A1513" s="302">
        <f t="shared" si="4"/>
        <v>47685</v>
      </c>
      <c r="B1513" s="241">
        <f t="shared" si="1"/>
        <v>2030</v>
      </c>
      <c r="C1513" s="241">
        <f t="shared" si="2"/>
        <v>7</v>
      </c>
      <c r="D1513" s="301" t="str">
        <f t="shared" si="3"/>
        <v>Sunday</v>
      </c>
      <c r="E1513" s="240"/>
      <c r="F1513" s="240"/>
      <c r="G1513" s="240"/>
      <c r="H1513" s="241"/>
      <c r="I1513" s="301"/>
      <c r="J1513" s="240"/>
      <c r="K1513" s="240"/>
      <c r="L1513" s="240"/>
      <c r="M1513" s="240"/>
      <c r="N1513" s="240"/>
      <c r="O1513" s="240"/>
      <c r="P1513" s="240"/>
      <c r="Q1513" s="240"/>
      <c r="R1513" s="240"/>
      <c r="S1513" s="240"/>
      <c r="T1513" s="240"/>
      <c r="U1513" s="240"/>
      <c r="V1513" s="240"/>
      <c r="W1513" s="240"/>
      <c r="X1513" s="240"/>
      <c r="Y1513" s="240"/>
      <c r="Z1513" s="240"/>
    </row>
    <row r="1514" ht="14.25" customHeight="1">
      <c r="A1514" s="302">
        <f t="shared" si="4"/>
        <v>47686</v>
      </c>
      <c r="B1514" s="241">
        <f t="shared" si="1"/>
        <v>2030</v>
      </c>
      <c r="C1514" s="241">
        <f t="shared" si="2"/>
        <v>7</v>
      </c>
      <c r="D1514" s="301" t="str">
        <f t="shared" si="3"/>
        <v>Monday</v>
      </c>
      <c r="E1514" s="240"/>
      <c r="F1514" s="240"/>
      <c r="G1514" s="240"/>
      <c r="H1514" s="241"/>
      <c r="I1514" s="301"/>
      <c r="J1514" s="240"/>
      <c r="K1514" s="240"/>
      <c r="L1514" s="240"/>
      <c r="M1514" s="240"/>
      <c r="N1514" s="240"/>
      <c r="O1514" s="240"/>
      <c r="P1514" s="240"/>
      <c r="Q1514" s="240"/>
      <c r="R1514" s="240"/>
      <c r="S1514" s="240"/>
      <c r="T1514" s="240"/>
      <c r="U1514" s="240"/>
      <c r="V1514" s="240"/>
      <c r="W1514" s="240"/>
      <c r="X1514" s="240"/>
      <c r="Y1514" s="240"/>
      <c r="Z1514" s="240"/>
    </row>
    <row r="1515" ht="14.25" customHeight="1">
      <c r="A1515" s="302">
        <f t="shared" si="4"/>
        <v>47687</v>
      </c>
      <c r="B1515" s="241">
        <f t="shared" si="1"/>
        <v>2030</v>
      </c>
      <c r="C1515" s="241">
        <f t="shared" si="2"/>
        <v>7</v>
      </c>
      <c r="D1515" s="301" t="str">
        <f t="shared" si="3"/>
        <v>Tuesday</v>
      </c>
      <c r="E1515" s="240"/>
      <c r="F1515" s="240"/>
      <c r="G1515" s="240"/>
      <c r="H1515" s="241"/>
      <c r="I1515" s="301"/>
      <c r="J1515" s="240"/>
      <c r="K1515" s="240"/>
      <c r="L1515" s="240"/>
      <c r="M1515" s="240"/>
      <c r="N1515" s="240"/>
      <c r="O1515" s="240"/>
      <c r="P1515" s="240"/>
      <c r="Q1515" s="240"/>
      <c r="R1515" s="240"/>
      <c r="S1515" s="240"/>
      <c r="T1515" s="240"/>
      <c r="U1515" s="240"/>
      <c r="V1515" s="240"/>
      <c r="W1515" s="240"/>
      <c r="X1515" s="240"/>
      <c r="Y1515" s="240"/>
      <c r="Z1515" s="240"/>
    </row>
    <row r="1516" ht="14.25" customHeight="1">
      <c r="A1516" s="302">
        <f t="shared" si="4"/>
        <v>47688</v>
      </c>
      <c r="B1516" s="241">
        <f t="shared" si="1"/>
        <v>2030</v>
      </c>
      <c r="C1516" s="241">
        <f t="shared" si="2"/>
        <v>7</v>
      </c>
      <c r="D1516" s="301" t="str">
        <f t="shared" si="3"/>
        <v>Wednesday</v>
      </c>
      <c r="E1516" s="240"/>
      <c r="F1516" s="240"/>
      <c r="G1516" s="240"/>
      <c r="H1516" s="241"/>
      <c r="I1516" s="301"/>
      <c r="J1516" s="240"/>
      <c r="K1516" s="240"/>
      <c r="L1516" s="240"/>
      <c r="M1516" s="240"/>
      <c r="N1516" s="240"/>
      <c r="O1516" s="240"/>
      <c r="P1516" s="240"/>
      <c r="Q1516" s="240"/>
      <c r="R1516" s="240"/>
      <c r="S1516" s="240"/>
      <c r="T1516" s="240"/>
      <c r="U1516" s="240"/>
      <c r="V1516" s="240"/>
      <c r="W1516" s="240"/>
      <c r="X1516" s="240"/>
      <c r="Y1516" s="240"/>
      <c r="Z1516" s="240"/>
    </row>
    <row r="1517" ht="14.25" customHeight="1">
      <c r="A1517" s="302">
        <f t="shared" si="4"/>
        <v>47689</v>
      </c>
      <c r="B1517" s="241">
        <f t="shared" si="1"/>
        <v>2030</v>
      </c>
      <c r="C1517" s="241">
        <f t="shared" si="2"/>
        <v>7</v>
      </c>
      <c r="D1517" s="301" t="str">
        <f t="shared" si="3"/>
        <v>Thursday</v>
      </c>
      <c r="E1517" s="240"/>
      <c r="F1517" s="240"/>
      <c r="G1517" s="240"/>
      <c r="H1517" s="241"/>
      <c r="I1517" s="301"/>
      <c r="J1517" s="240"/>
      <c r="K1517" s="240"/>
      <c r="L1517" s="240"/>
      <c r="M1517" s="240"/>
      <c r="N1517" s="240"/>
      <c r="O1517" s="240"/>
      <c r="P1517" s="240"/>
      <c r="Q1517" s="240"/>
      <c r="R1517" s="240"/>
      <c r="S1517" s="240"/>
      <c r="T1517" s="240"/>
      <c r="U1517" s="240"/>
      <c r="V1517" s="240"/>
      <c r="W1517" s="240"/>
      <c r="X1517" s="240"/>
      <c r="Y1517" s="240"/>
      <c r="Z1517" s="240"/>
    </row>
    <row r="1518" ht="14.25" customHeight="1">
      <c r="A1518" s="302">
        <f t="shared" si="4"/>
        <v>47690</v>
      </c>
      <c r="B1518" s="241">
        <f t="shared" si="1"/>
        <v>2030</v>
      </c>
      <c r="C1518" s="241">
        <f t="shared" si="2"/>
        <v>7</v>
      </c>
      <c r="D1518" s="301" t="str">
        <f t="shared" si="3"/>
        <v>Friday</v>
      </c>
      <c r="E1518" s="240"/>
      <c r="F1518" s="240"/>
      <c r="G1518" s="240"/>
      <c r="H1518" s="241"/>
      <c r="I1518" s="301"/>
      <c r="J1518" s="240"/>
      <c r="K1518" s="240"/>
      <c r="L1518" s="240"/>
      <c r="M1518" s="240"/>
      <c r="N1518" s="240"/>
      <c r="O1518" s="240"/>
      <c r="P1518" s="240"/>
      <c r="Q1518" s="240"/>
      <c r="R1518" s="240"/>
      <c r="S1518" s="240"/>
      <c r="T1518" s="240"/>
      <c r="U1518" s="240"/>
      <c r="V1518" s="240"/>
      <c r="W1518" s="240"/>
      <c r="X1518" s="240"/>
      <c r="Y1518" s="240"/>
      <c r="Z1518" s="240"/>
    </row>
    <row r="1519" ht="14.25" customHeight="1">
      <c r="A1519" s="302">
        <f t="shared" si="4"/>
        <v>47691</v>
      </c>
      <c r="B1519" s="241">
        <f t="shared" si="1"/>
        <v>2030</v>
      </c>
      <c r="C1519" s="241">
        <f t="shared" si="2"/>
        <v>7</v>
      </c>
      <c r="D1519" s="301" t="str">
        <f t="shared" si="3"/>
        <v>Saturday</v>
      </c>
      <c r="E1519" s="240"/>
      <c r="F1519" s="240"/>
      <c r="G1519" s="240"/>
      <c r="H1519" s="241"/>
      <c r="I1519" s="301"/>
      <c r="J1519" s="240"/>
      <c r="K1519" s="240"/>
      <c r="L1519" s="240"/>
      <c r="M1519" s="240"/>
      <c r="N1519" s="240"/>
      <c r="O1519" s="240"/>
      <c r="P1519" s="240"/>
      <c r="Q1519" s="240"/>
      <c r="R1519" s="240"/>
      <c r="S1519" s="240"/>
      <c r="T1519" s="240"/>
      <c r="U1519" s="240"/>
      <c r="V1519" s="240"/>
      <c r="W1519" s="240"/>
      <c r="X1519" s="240"/>
      <c r="Y1519" s="240"/>
      <c r="Z1519" s="240"/>
    </row>
    <row r="1520" ht="14.25" customHeight="1">
      <c r="A1520" s="302">
        <f t="shared" si="4"/>
        <v>47692</v>
      </c>
      <c r="B1520" s="241">
        <f t="shared" si="1"/>
        <v>2030</v>
      </c>
      <c r="C1520" s="241">
        <f t="shared" si="2"/>
        <v>7</v>
      </c>
      <c r="D1520" s="301" t="str">
        <f t="shared" si="3"/>
        <v>Sunday</v>
      </c>
      <c r="E1520" s="240"/>
      <c r="F1520" s="240"/>
      <c r="G1520" s="240"/>
      <c r="H1520" s="241"/>
      <c r="I1520" s="301"/>
      <c r="J1520" s="240"/>
      <c r="K1520" s="240"/>
      <c r="L1520" s="240"/>
      <c r="M1520" s="240"/>
      <c r="N1520" s="240"/>
      <c r="O1520" s="240"/>
      <c r="P1520" s="240"/>
      <c r="Q1520" s="240"/>
      <c r="R1520" s="240"/>
      <c r="S1520" s="240"/>
      <c r="T1520" s="240"/>
      <c r="U1520" s="240"/>
      <c r="V1520" s="240"/>
      <c r="W1520" s="240"/>
      <c r="X1520" s="240"/>
      <c r="Y1520" s="240"/>
      <c r="Z1520" s="240"/>
    </row>
    <row r="1521" ht="14.25" customHeight="1">
      <c r="A1521" s="302">
        <f t="shared" si="4"/>
        <v>47693</v>
      </c>
      <c r="B1521" s="241">
        <f t="shared" si="1"/>
        <v>2030</v>
      </c>
      <c r="C1521" s="241">
        <f t="shared" si="2"/>
        <v>7</v>
      </c>
      <c r="D1521" s="301" t="str">
        <f t="shared" si="3"/>
        <v>Monday</v>
      </c>
      <c r="E1521" s="240"/>
      <c r="F1521" s="240"/>
      <c r="G1521" s="240"/>
      <c r="H1521" s="241"/>
      <c r="I1521" s="301"/>
      <c r="J1521" s="240"/>
      <c r="K1521" s="240"/>
      <c r="L1521" s="240"/>
      <c r="M1521" s="240"/>
      <c r="N1521" s="240"/>
      <c r="O1521" s="240"/>
      <c r="P1521" s="240"/>
      <c r="Q1521" s="240"/>
      <c r="R1521" s="240"/>
      <c r="S1521" s="240"/>
      <c r="T1521" s="240"/>
      <c r="U1521" s="240"/>
      <c r="V1521" s="240"/>
      <c r="W1521" s="240"/>
      <c r="X1521" s="240"/>
      <c r="Y1521" s="240"/>
      <c r="Z1521" s="240"/>
    </row>
    <row r="1522" ht="14.25" customHeight="1">
      <c r="A1522" s="302">
        <f t="shared" si="4"/>
        <v>47694</v>
      </c>
      <c r="B1522" s="241">
        <f t="shared" si="1"/>
        <v>2030</v>
      </c>
      <c r="C1522" s="241">
        <f t="shared" si="2"/>
        <v>7</v>
      </c>
      <c r="D1522" s="301" t="str">
        <f t="shared" si="3"/>
        <v>Tuesday</v>
      </c>
      <c r="E1522" s="240"/>
      <c r="F1522" s="240"/>
      <c r="G1522" s="240"/>
      <c r="H1522" s="241"/>
      <c r="I1522" s="301"/>
      <c r="J1522" s="240"/>
      <c r="K1522" s="240"/>
      <c r="L1522" s="240"/>
      <c r="M1522" s="240"/>
      <c r="N1522" s="240"/>
      <c r="O1522" s="240"/>
      <c r="P1522" s="240"/>
      <c r="Q1522" s="240"/>
      <c r="R1522" s="240"/>
      <c r="S1522" s="240"/>
      <c r="T1522" s="240"/>
      <c r="U1522" s="240"/>
      <c r="V1522" s="240"/>
      <c r="W1522" s="240"/>
      <c r="X1522" s="240"/>
      <c r="Y1522" s="240"/>
      <c r="Z1522" s="240"/>
    </row>
    <row r="1523" ht="14.25" customHeight="1">
      <c r="A1523" s="302">
        <f t="shared" si="4"/>
        <v>47695</v>
      </c>
      <c r="B1523" s="241">
        <f t="shared" si="1"/>
        <v>2030</v>
      </c>
      <c r="C1523" s="241">
        <f t="shared" si="2"/>
        <v>7</v>
      </c>
      <c r="D1523" s="301" t="str">
        <f t="shared" si="3"/>
        <v>Wednesday</v>
      </c>
      <c r="E1523" s="240"/>
      <c r="F1523" s="240"/>
      <c r="G1523" s="240"/>
      <c r="H1523" s="241"/>
      <c r="I1523" s="301"/>
      <c r="J1523" s="240"/>
      <c r="K1523" s="240"/>
      <c r="L1523" s="240"/>
      <c r="M1523" s="240"/>
      <c r="N1523" s="240"/>
      <c r="O1523" s="240"/>
      <c r="P1523" s="240"/>
      <c r="Q1523" s="240"/>
      <c r="R1523" s="240"/>
      <c r="S1523" s="240"/>
      <c r="T1523" s="240"/>
      <c r="U1523" s="240"/>
      <c r="V1523" s="240"/>
      <c r="W1523" s="240"/>
      <c r="X1523" s="240"/>
      <c r="Y1523" s="240"/>
      <c r="Z1523" s="240"/>
    </row>
    <row r="1524" ht="14.25" customHeight="1">
      <c r="A1524" s="302">
        <f t="shared" si="4"/>
        <v>47696</v>
      </c>
      <c r="B1524" s="241">
        <f t="shared" si="1"/>
        <v>2030</v>
      </c>
      <c r="C1524" s="241">
        <f t="shared" si="2"/>
        <v>8</v>
      </c>
      <c r="D1524" s="301" t="str">
        <f t="shared" si="3"/>
        <v>Thursday</v>
      </c>
      <c r="E1524" s="240"/>
      <c r="F1524" s="240"/>
      <c r="G1524" s="240"/>
      <c r="H1524" s="241"/>
      <c r="I1524" s="301"/>
      <c r="J1524" s="240"/>
      <c r="K1524" s="240"/>
      <c r="L1524" s="240"/>
      <c r="M1524" s="240"/>
      <c r="N1524" s="240"/>
      <c r="O1524" s="240"/>
      <c r="P1524" s="240"/>
      <c r="Q1524" s="240"/>
      <c r="R1524" s="240"/>
      <c r="S1524" s="240"/>
      <c r="T1524" s="240"/>
      <c r="U1524" s="240"/>
      <c r="V1524" s="240"/>
      <c r="W1524" s="240"/>
      <c r="X1524" s="240"/>
      <c r="Y1524" s="240"/>
      <c r="Z1524" s="240"/>
    </row>
    <row r="1525" ht="14.25" customHeight="1">
      <c r="A1525" s="302">
        <f t="shared" si="4"/>
        <v>47697</v>
      </c>
      <c r="B1525" s="241">
        <f t="shared" si="1"/>
        <v>2030</v>
      </c>
      <c r="C1525" s="241">
        <f t="shared" si="2"/>
        <v>8</v>
      </c>
      <c r="D1525" s="301" t="str">
        <f t="shared" si="3"/>
        <v>Friday</v>
      </c>
      <c r="E1525" s="240"/>
      <c r="F1525" s="240"/>
      <c r="G1525" s="240"/>
      <c r="H1525" s="241"/>
      <c r="I1525" s="301"/>
      <c r="J1525" s="240"/>
      <c r="K1525" s="240"/>
      <c r="L1525" s="240"/>
      <c r="M1525" s="240"/>
      <c r="N1525" s="240"/>
      <c r="O1525" s="240"/>
      <c r="P1525" s="240"/>
      <c r="Q1525" s="240"/>
      <c r="R1525" s="240"/>
      <c r="S1525" s="240"/>
      <c r="T1525" s="240"/>
      <c r="U1525" s="240"/>
      <c r="V1525" s="240"/>
      <c r="W1525" s="240"/>
      <c r="X1525" s="240"/>
      <c r="Y1525" s="240"/>
      <c r="Z1525" s="240"/>
    </row>
    <row r="1526" ht="14.25" customHeight="1">
      <c r="A1526" s="302">
        <f t="shared" si="4"/>
        <v>47698</v>
      </c>
      <c r="B1526" s="241">
        <f t="shared" si="1"/>
        <v>2030</v>
      </c>
      <c r="C1526" s="241">
        <f t="shared" si="2"/>
        <v>8</v>
      </c>
      <c r="D1526" s="301" t="str">
        <f t="shared" si="3"/>
        <v>Saturday</v>
      </c>
      <c r="E1526" s="240"/>
      <c r="F1526" s="240"/>
      <c r="G1526" s="240"/>
      <c r="H1526" s="241"/>
      <c r="I1526" s="301"/>
      <c r="J1526" s="240"/>
      <c r="K1526" s="240"/>
      <c r="L1526" s="240"/>
      <c r="M1526" s="240"/>
      <c r="N1526" s="240"/>
      <c r="O1526" s="240"/>
      <c r="P1526" s="240"/>
      <c r="Q1526" s="240"/>
      <c r="R1526" s="240"/>
      <c r="S1526" s="240"/>
      <c r="T1526" s="240"/>
      <c r="U1526" s="240"/>
      <c r="V1526" s="240"/>
      <c r="W1526" s="240"/>
      <c r="X1526" s="240"/>
      <c r="Y1526" s="240"/>
      <c r="Z1526" s="240"/>
    </row>
    <row r="1527" ht="14.25" customHeight="1">
      <c r="A1527" s="302">
        <f t="shared" si="4"/>
        <v>47699</v>
      </c>
      <c r="B1527" s="241">
        <f t="shared" si="1"/>
        <v>2030</v>
      </c>
      <c r="C1527" s="241">
        <f t="shared" si="2"/>
        <v>8</v>
      </c>
      <c r="D1527" s="301" t="str">
        <f t="shared" si="3"/>
        <v>Sunday</v>
      </c>
      <c r="E1527" s="240"/>
      <c r="F1527" s="240"/>
      <c r="G1527" s="240"/>
      <c r="H1527" s="241"/>
      <c r="I1527" s="301"/>
      <c r="J1527" s="240"/>
      <c r="K1527" s="240"/>
      <c r="L1527" s="240"/>
      <c r="M1527" s="240"/>
      <c r="N1527" s="240"/>
      <c r="O1527" s="240"/>
      <c r="P1527" s="240"/>
      <c r="Q1527" s="240"/>
      <c r="R1527" s="240"/>
      <c r="S1527" s="240"/>
      <c r="T1527" s="240"/>
      <c r="U1527" s="240"/>
      <c r="V1527" s="240"/>
      <c r="W1527" s="240"/>
      <c r="X1527" s="240"/>
      <c r="Y1527" s="240"/>
      <c r="Z1527" s="240"/>
    </row>
    <row r="1528" ht="14.25" customHeight="1">
      <c r="A1528" s="302">
        <f t="shared" si="4"/>
        <v>47700</v>
      </c>
      <c r="B1528" s="241">
        <f t="shared" si="1"/>
        <v>2030</v>
      </c>
      <c r="C1528" s="241">
        <f t="shared" si="2"/>
        <v>8</v>
      </c>
      <c r="D1528" s="301" t="str">
        <f t="shared" si="3"/>
        <v>Monday</v>
      </c>
      <c r="E1528" s="240"/>
      <c r="F1528" s="240"/>
      <c r="G1528" s="240"/>
      <c r="H1528" s="241"/>
      <c r="I1528" s="301"/>
      <c r="J1528" s="240"/>
      <c r="K1528" s="240"/>
      <c r="L1528" s="240"/>
      <c r="M1528" s="240"/>
      <c r="N1528" s="240"/>
      <c r="O1528" s="240"/>
      <c r="P1528" s="240"/>
      <c r="Q1528" s="240"/>
      <c r="R1528" s="240"/>
      <c r="S1528" s="240"/>
      <c r="T1528" s="240"/>
      <c r="U1528" s="240"/>
      <c r="V1528" s="240"/>
      <c r="W1528" s="240"/>
      <c r="X1528" s="240"/>
      <c r="Y1528" s="240"/>
      <c r="Z1528" s="240"/>
    </row>
    <row r="1529" ht="14.25" customHeight="1">
      <c r="A1529" s="302">
        <f t="shared" si="4"/>
        <v>47701</v>
      </c>
      <c r="B1529" s="241">
        <f t="shared" si="1"/>
        <v>2030</v>
      </c>
      <c r="C1529" s="241">
        <f t="shared" si="2"/>
        <v>8</v>
      </c>
      <c r="D1529" s="301" t="str">
        <f t="shared" si="3"/>
        <v>Tuesday</v>
      </c>
      <c r="E1529" s="240"/>
      <c r="F1529" s="240"/>
      <c r="G1529" s="240"/>
      <c r="H1529" s="241"/>
      <c r="I1529" s="301"/>
      <c r="J1529" s="240"/>
      <c r="K1529" s="240"/>
      <c r="L1529" s="240"/>
      <c r="M1529" s="240"/>
      <c r="N1529" s="240"/>
      <c r="O1529" s="240"/>
      <c r="P1529" s="240"/>
      <c r="Q1529" s="240"/>
      <c r="R1529" s="240"/>
      <c r="S1529" s="240"/>
      <c r="T1529" s="240"/>
      <c r="U1529" s="240"/>
      <c r="V1529" s="240"/>
      <c r="W1529" s="240"/>
      <c r="X1529" s="240"/>
      <c r="Y1529" s="240"/>
      <c r="Z1529" s="240"/>
    </row>
    <row r="1530" ht="14.25" customHeight="1">
      <c r="A1530" s="302">
        <f t="shared" si="4"/>
        <v>47702</v>
      </c>
      <c r="B1530" s="241">
        <f t="shared" si="1"/>
        <v>2030</v>
      </c>
      <c r="C1530" s="241">
        <f t="shared" si="2"/>
        <v>8</v>
      </c>
      <c r="D1530" s="301" t="str">
        <f t="shared" si="3"/>
        <v>Wednesday</v>
      </c>
      <c r="E1530" s="240"/>
      <c r="F1530" s="240"/>
      <c r="G1530" s="240"/>
      <c r="H1530" s="241"/>
      <c r="I1530" s="301"/>
      <c r="J1530" s="240"/>
      <c r="K1530" s="240"/>
      <c r="L1530" s="240"/>
      <c r="M1530" s="240"/>
      <c r="N1530" s="240"/>
      <c r="O1530" s="240"/>
      <c r="P1530" s="240"/>
      <c r="Q1530" s="240"/>
      <c r="R1530" s="240"/>
      <c r="S1530" s="240"/>
      <c r="T1530" s="240"/>
      <c r="U1530" s="240"/>
      <c r="V1530" s="240"/>
      <c r="W1530" s="240"/>
      <c r="X1530" s="240"/>
      <c r="Y1530" s="240"/>
      <c r="Z1530" s="240"/>
    </row>
    <row r="1531" ht="14.25" customHeight="1">
      <c r="A1531" s="302">
        <f t="shared" si="4"/>
        <v>47703</v>
      </c>
      <c r="B1531" s="241">
        <f t="shared" si="1"/>
        <v>2030</v>
      </c>
      <c r="C1531" s="241">
        <f t="shared" si="2"/>
        <v>8</v>
      </c>
      <c r="D1531" s="301" t="str">
        <f t="shared" si="3"/>
        <v>Thursday</v>
      </c>
      <c r="E1531" s="240"/>
      <c r="F1531" s="240"/>
      <c r="G1531" s="240"/>
      <c r="H1531" s="241"/>
      <c r="I1531" s="301"/>
      <c r="J1531" s="240"/>
      <c r="K1531" s="240"/>
      <c r="L1531" s="240"/>
      <c r="M1531" s="240"/>
      <c r="N1531" s="240"/>
      <c r="O1531" s="240"/>
      <c r="P1531" s="240"/>
      <c r="Q1531" s="240"/>
      <c r="R1531" s="240"/>
      <c r="S1531" s="240"/>
      <c r="T1531" s="240"/>
      <c r="U1531" s="240"/>
      <c r="V1531" s="240"/>
      <c r="W1531" s="240"/>
      <c r="X1531" s="240"/>
      <c r="Y1531" s="240"/>
      <c r="Z1531" s="240"/>
    </row>
    <row r="1532" ht="14.25" customHeight="1">
      <c r="A1532" s="302">
        <f t="shared" si="4"/>
        <v>47704</v>
      </c>
      <c r="B1532" s="241">
        <f t="shared" si="1"/>
        <v>2030</v>
      </c>
      <c r="C1532" s="241">
        <f t="shared" si="2"/>
        <v>8</v>
      </c>
      <c r="D1532" s="301" t="str">
        <f t="shared" si="3"/>
        <v>Friday</v>
      </c>
      <c r="E1532" s="240"/>
      <c r="F1532" s="240"/>
      <c r="G1532" s="240"/>
      <c r="H1532" s="241"/>
      <c r="I1532" s="301"/>
      <c r="J1532" s="240"/>
      <c r="K1532" s="240"/>
      <c r="L1532" s="240"/>
      <c r="M1532" s="240"/>
      <c r="N1532" s="240"/>
      <c r="O1532" s="240"/>
      <c r="P1532" s="240"/>
      <c r="Q1532" s="240"/>
      <c r="R1532" s="240"/>
      <c r="S1532" s="240"/>
      <c r="T1532" s="240"/>
      <c r="U1532" s="240"/>
      <c r="V1532" s="240"/>
      <c r="W1532" s="240"/>
      <c r="X1532" s="240"/>
      <c r="Y1532" s="240"/>
      <c r="Z1532" s="240"/>
    </row>
    <row r="1533" ht="14.25" customHeight="1">
      <c r="A1533" s="302">
        <f t="shared" si="4"/>
        <v>47705</v>
      </c>
      <c r="B1533" s="241">
        <f t="shared" si="1"/>
        <v>2030</v>
      </c>
      <c r="C1533" s="241">
        <f t="shared" si="2"/>
        <v>8</v>
      </c>
      <c r="D1533" s="301" t="str">
        <f t="shared" si="3"/>
        <v>Saturday</v>
      </c>
      <c r="E1533" s="240"/>
      <c r="F1533" s="240"/>
      <c r="G1533" s="240"/>
      <c r="H1533" s="241"/>
      <c r="I1533" s="301"/>
      <c r="J1533" s="240"/>
      <c r="K1533" s="240"/>
      <c r="L1533" s="240"/>
      <c r="M1533" s="240"/>
      <c r="N1533" s="240"/>
      <c r="O1533" s="240"/>
      <c r="P1533" s="240"/>
      <c r="Q1533" s="240"/>
      <c r="R1533" s="240"/>
      <c r="S1533" s="240"/>
      <c r="T1533" s="240"/>
      <c r="U1533" s="240"/>
      <c r="V1533" s="240"/>
      <c r="W1533" s="240"/>
      <c r="X1533" s="240"/>
      <c r="Y1533" s="240"/>
      <c r="Z1533" s="240"/>
    </row>
    <row r="1534" ht="14.25" customHeight="1">
      <c r="A1534" s="302">
        <f t="shared" si="4"/>
        <v>47706</v>
      </c>
      <c r="B1534" s="241">
        <f t="shared" si="1"/>
        <v>2030</v>
      </c>
      <c r="C1534" s="241">
        <f t="shared" si="2"/>
        <v>8</v>
      </c>
      <c r="D1534" s="301" t="str">
        <f t="shared" si="3"/>
        <v>Sunday</v>
      </c>
      <c r="E1534" s="240"/>
      <c r="F1534" s="240"/>
      <c r="G1534" s="240"/>
      <c r="H1534" s="241"/>
      <c r="I1534" s="301"/>
      <c r="J1534" s="240"/>
      <c r="K1534" s="240"/>
      <c r="L1534" s="240"/>
      <c r="M1534" s="240"/>
      <c r="N1534" s="240"/>
      <c r="O1534" s="240"/>
      <c r="P1534" s="240"/>
      <c r="Q1534" s="240"/>
      <c r="R1534" s="240"/>
      <c r="S1534" s="240"/>
      <c r="T1534" s="240"/>
      <c r="U1534" s="240"/>
      <c r="V1534" s="240"/>
      <c r="W1534" s="240"/>
      <c r="X1534" s="240"/>
      <c r="Y1534" s="240"/>
      <c r="Z1534" s="240"/>
    </row>
    <row r="1535" ht="14.25" customHeight="1">
      <c r="A1535" s="302">
        <f t="shared" si="4"/>
        <v>47707</v>
      </c>
      <c r="B1535" s="241">
        <f t="shared" si="1"/>
        <v>2030</v>
      </c>
      <c r="C1535" s="241">
        <f t="shared" si="2"/>
        <v>8</v>
      </c>
      <c r="D1535" s="301" t="str">
        <f t="shared" si="3"/>
        <v>Monday</v>
      </c>
      <c r="E1535" s="240"/>
      <c r="F1535" s="240"/>
      <c r="G1535" s="240"/>
      <c r="H1535" s="241"/>
      <c r="I1535" s="301"/>
      <c r="J1535" s="240"/>
      <c r="K1535" s="240"/>
      <c r="L1535" s="240"/>
      <c r="M1535" s="240"/>
      <c r="N1535" s="240"/>
      <c r="O1535" s="240"/>
      <c r="P1535" s="240"/>
      <c r="Q1535" s="240"/>
      <c r="R1535" s="240"/>
      <c r="S1535" s="240"/>
      <c r="T1535" s="240"/>
      <c r="U1535" s="240"/>
      <c r="V1535" s="240"/>
      <c r="W1535" s="240"/>
      <c r="X1535" s="240"/>
      <c r="Y1535" s="240"/>
      <c r="Z1535" s="240"/>
    </row>
    <row r="1536" ht="14.25" customHeight="1">
      <c r="A1536" s="302">
        <f t="shared" si="4"/>
        <v>47708</v>
      </c>
      <c r="B1536" s="241">
        <f t="shared" si="1"/>
        <v>2030</v>
      </c>
      <c r="C1536" s="241">
        <f t="shared" si="2"/>
        <v>8</v>
      </c>
      <c r="D1536" s="301" t="str">
        <f t="shared" si="3"/>
        <v>Tuesday</v>
      </c>
      <c r="E1536" s="240"/>
      <c r="F1536" s="240"/>
      <c r="G1536" s="240"/>
      <c r="H1536" s="241"/>
      <c r="I1536" s="301"/>
      <c r="J1536" s="240"/>
      <c r="K1536" s="240"/>
      <c r="L1536" s="240"/>
      <c r="M1536" s="240"/>
      <c r="N1536" s="240"/>
      <c r="O1536" s="240"/>
      <c r="P1536" s="240"/>
      <c r="Q1536" s="240"/>
      <c r="R1536" s="240"/>
      <c r="S1536" s="240"/>
      <c r="T1536" s="240"/>
      <c r="U1536" s="240"/>
      <c r="V1536" s="240"/>
      <c r="W1536" s="240"/>
      <c r="X1536" s="240"/>
      <c r="Y1536" s="240"/>
      <c r="Z1536" s="240"/>
    </row>
    <row r="1537" ht="14.25" customHeight="1">
      <c r="A1537" s="302">
        <f t="shared" si="4"/>
        <v>47709</v>
      </c>
      <c r="B1537" s="241">
        <f t="shared" si="1"/>
        <v>2030</v>
      </c>
      <c r="C1537" s="241">
        <f t="shared" si="2"/>
        <v>8</v>
      </c>
      <c r="D1537" s="301" t="str">
        <f t="shared" si="3"/>
        <v>Wednesday</v>
      </c>
      <c r="E1537" s="240"/>
      <c r="F1537" s="240"/>
      <c r="G1537" s="240"/>
      <c r="H1537" s="241"/>
      <c r="I1537" s="301"/>
      <c r="J1537" s="240"/>
      <c r="K1537" s="240"/>
      <c r="L1537" s="240"/>
      <c r="M1537" s="240"/>
      <c r="N1537" s="240"/>
      <c r="O1537" s="240"/>
      <c r="P1537" s="240"/>
      <c r="Q1537" s="240"/>
      <c r="R1537" s="240"/>
      <c r="S1537" s="240"/>
      <c r="T1537" s="240"/>
      <c r="U1537" s="240"/>
      <c r="V1537" s="240"/>
      <c r="W1537" s="240"/>
      <c r="X1537" s="240"/>
      <c r="Y1537" s="240"/>
      <c r="Z1537" s="240"/>
    </row>
    <row r="1538" ht="14.25" customHeight="1">
      <c r="A1538" s="302">
        <f t="shared" si="4"/>
        <v>47710</v>
      </c>
      <c r="B1538" s="241">
        <f t="shared" si="1"/>
        <v>2030</v>
      </c>
      <c r="C1538" s="241">
        <f t="shared" si="2"/>
        <v>8</v>
      </c>
      <c r="D1538" s="301" t="str">
        <f t="shared" si="3"/>
        <v>Thursday</v>
      </c>
      <c r="E1538" s="240"/>
      <c r="F1538" s="240"/>
      <c r="G1538" s="240"/>
      <c r="H1538" s="241"/>
      <c r="I1538" s="301"/>
      <c r="J1538" s="240"/>
      <c r="K1538" s="240"/>
      <c r="L1538" s="240"/>
      <c r="M1538" s="240"/>
      <c r="N1538" s="240"/>
      <c r="O1538" s="240"/>
      <c r="P1538" s="240"/>
      <c r="Q1538" s="240"/>
      <c r="R1538" s="240"/>
      <c r="S1538" s="240"/>
      <c r="T1538" s="240"/>
      <c r="U1538" s="240"/>
      <c r="V1538" s="240"/>
      <c r="W1538" s="240"/>
      <c r="X1538" s="240"/>
      <c r="Y1538" s="240"/>
      <c r="Z1538" s="240"/>
    </row>
    <row r="1539" ht="14.25" customHeight="1">
      <c r="A1539" s="302">
        <f t="shared" si="4"/>
        <v>47711</v>
      </c>
      <c r="B1539" s="241">
        <f t="shared" si="1"/>
        <v>2030</v>
      </c>
      <c r="C1539" s="241">
        <f t="shared" si="2"/>
        <v>8</v>
      </c>
      <c r="D1539" s="301" t="str">
        <f t="shared" si="3"/>
        <v>Friday</v>
      </c>
      <c r="E1539" s="240"/>
      <c r="F1539" s="240"/>
      <c r="G1539" s="240"/>
      <c r="H1539" s="241"/>
      <c r="I1539" s="301"/>
      <c r="J1539" s="240"/>
      <c r="K1539" s="240"/>
      <c r="L1539" s="240"/>
      <c r="M1539" s="240"/>
      <c r="N1539" s="240"/>
      <c r="O1539" s="240"/>
      <c r="P1539" s="240"/>
      <c r="Q1539" s="240"/>
      <c r="R1539" s="240"/>
      <c r="S1539" s="240"/>
      <c r="T1539" s="240"/>
      <c r="U1539" s="240"/>
      <c r="V1539" s="240"/>
      <c r="W1539" s="240"/>
      <c r="X1539" s="240"/>
      <c r="Y1539" s="240"/>
      <c r="Z1539" s="240"/>
    </row>
    <row r="1540" ht="14.25" customHeight="1">
      <c r="A1540" s="302">
        <f t="shared" si="4"/>
        <v>47712</v>
      </c>
      <c r="B1540" s="241">
        <f t="shared" si="1"/>
        <v>2030</v>
      </c>
      <c r="C1540" s="241">
        <f t="shared" si="2"/>
        <v>8</v>
      </c>
      <c r="D1540" s="301" t="str">
        <f t="shared" si="3"/>
        <v>Saturday</v>
      </c>
      <c r="E1540" s="240"/>
      <c r="F1540" s="240"/>
      <c r="G1540" s="240"/>
      <c r="H1540" s="241"/>
      <c r="I1540" s="301"/>
      <c r="J1540" s="240"/>
      <c r="K1540" s="240"/>
      <c r="L1540" s="240"/>
      <c r="M1540" s="240"/>
      <c r="N1540" s="240"/>
      <c r="O1540" s="240"/>
      <c r="P1540" s="240"/>
      <c r="Q1540" s="240"/>
      <c r="R1540" s="240"/>
      <c r="S1540" s="240"/>
      <c r="T1540" s="240"/>
      <c r="U1540" s="240"/>
      <c r="V1540" s="240"/>
      <c r="W1540" s="240"/>
      <c r="X1540" s="240"/>
      <c r="Y1540" s="240"/>
      <c r="Z1540" s="240"/>
    </row>
    <row r="1541" ht="14.25" customHeight="1">
      <c r="A1541" s="302">
        <f t="shared" si="4"/>
        <v>47713</v>
      </c>
      <c r="B1541" s="241">
        <f t="shared" si="1"/>
        <v>2030</v>
      </c>
      <c r="C1541" s="241">
        <f t="shared" si="2"/>
        <v>8</v>
      </c>
      <c r="D1541" s="301" t="str">
        <f t="shared" si="3"/>
        <v>Sunday</v>
      </c>
      <c r="E1541" s="240"/>
      <c r="F1541" s="240"/>
      <c r="G1541" s="240"/>
      <c r="H1541" s="241"/>
      <c r="I1541" s="301"/>
      <c r="J1541" s="240"/>
      <c r="K1541" s="240"/>
      <c r="L1541" s="240"/>
      <c r="M1541" s="240"/>
      <c r="N1541" s="240"/>
      <c r="O1541" s="240"/>
      <c r="P1541" s="240"/>
      <c r="Q1541" s="240"/>
      <c r="R1541" s="240"/>
      <c r="S1541" s="240"/>
      <c r="T1541" s="240"/>
      <c r="U1541" s="240"/>
      <c r="V1541" s="240"/>
      <c r="W1541" s="240"/>
      <c r="X1541" s="240"/>
      <c r="Y1541" s="240"/>
      <c r="Z1541" s="240"/>
    </row>
    <row r="1542" ht="14.25" customHeight="1">
      <c r="A1542" s="302">
        <f t="shared" si="4"/>
        <v>47714</v>
      </c>
      <c r="B1542" s="241">
        <f t="shared" si="1"/>
        <v>2030</v>
      </c>
      <c r="C1542" s="241">
        <f t="shared" si="2"/>
        <v>8</v>
      </c>
      <c r="D1542" s="301" t="str">
        <f t="shared" si="3"/>
        <v>Monday</v>
      </c>
      <c r="E1542" s="240"/>
      <c r="F1542" s="240"/>
      <c r="G1542" s="240"/>
      <c r="H1542" s="241"/>
      <c r="I1542" s="301"/>
      <c r="J1542" s="240"/>
      <c r="K1542" s="240"/>
      <c r="L1542" s="240"/>
      <c r="M1542" s="240"/>
      <c r="N1542" s="240"/>
      <c r="O1542" s="240"/>
      <c r="P1542" s="240"/>
      <c r="Q1542" s="240"/>
      <c r="R1542" s="240"/>
      <c r="S1542" s="240"/>
      <c r="T1542" s="240"/>
      <c r="U1542" s="240"/>
      <c r="V1542" s="240"/>
      <c r="W1542" s="240"/>
      <c r="X1542" s="240"/>
      <c r="Y1542" s="240"/>
      <c r="Z1542" s="240"/>
    </row>
    <row r="1543" ht="14.25" customHeight="1">
      <c r="A1543" s="302">
        <f t="shared" si="4"/>
        <v>47715</v>
      </c>
      <c r="B1543" s="241">
        <f t="shared" si="1"/>
        <v>2030</v>
      </c>
      <c r="C1543" s="241">
        <f t="shared" si="2"/>
        <v>8</v>
      </c>
      <c r="D1543" s="301" t="str">
        <f t="shared" si="3"/>
        <v>Tuesday</v>
      </c>
      <c r="E1543" s="240"/>
      <c r="F1543" s="240"/>
      <c r="G1543" s="240"/>
      <c r="H1543" s="241"/>
      <c r="I1543" s="301"/>
      <c r="J1543" s="240"/>
      <c r="K1543" s="240"/>
      <c r="L1543" s="240"/>
      <c r="M1543" s="240"/>
      <c r="N1543" s="240"/>
      <c r="O1543" s="240"/>
      <c r="P1543" s="240"/>
      <c r="Q1543" s="240"/>
      <c r="R1543" s="240"/>
      <c r="S1543" s="240"/>
      <c r="T1543" s="240"/>
      <c r="U1543" s="240"/>
      <c r="V1543" s="240"/>
      <c r="W1543" s="240"/>
      <c r="X1543" s="240"/>
      <c r="Y1543" s="240"/>
      <c r="Z1543" s="240"/>
    </row>
    <row r="1544" ht="14.25" customHeight="1">
      <c r="A1544" s="302">
        <f t="shared" si="4"/>
        <v>47716</v>
      </c>
      <c r="B1544" s="241">
        <f t="shared" si="1"/>
        <v>2030</v>
      </c>
      <c r="C1544" s="241">
        <f t="shared" si="2"/>
        <v>8</v>
      </c>
      <c r="D1544" s="301" t="str">
        <f t="shared" si="3"/>
        <v>Wednesday</v>
      </c>
      <c r="E1544" s="240"/>
      <c r="F1544" s="240"/>
      <c r="G1544" s="240"/>
      <c r="H1544" s="241"/>
      <c r="I1544" s="301"/>
      <c r="J1544" s="240"/>
      <c r="K1544" s="240"/>
      <c r="L1544" s="240"/>
      <c r="M1544" s="240"/>
      <c r="N1544" s="240"/>
      <c r="O1544" s="240"/>
      <c r="P1544" s="240"/>
      <c r="Q1544" s="240"/>
      <c r="R1544" s="240"/>
      <c r="S1544" s="240"/>
      <c r="T1544" s="240"/>
      <c r="U1544" s="240"/>
      <c r="V1544" s="240"/>
      <c r="W1544" s="240"/>
      <c r="X1544" s="240"/>
      <c r="Y1544" s="240"/>
      <c r="Z1544" s="240"/>
    </row>
    <row r="1545" ht="14.25" customHeight="1">
      <c r="A1545" s="302">
        <f t="shared" si="4"/>
        <v>47717</v>
      </c>
      <c r="B1545" s="241">
        <f t="shared" si="1"/>
        <v>2030</v>
      </c>
      <c r="C1545" s="241">
        <f t="shared" si="2"/>
        <v>8</v>
      </c>
      <c r="D1545" s="301" t="str">
        <f t="shared" si="3"/>
        <v>Thursday</v>
      </c>
      <c r="E1545" s="240"/>
      <c r="F1545" s="240"/>
      <c r="G1545" s="240"/>
      <c r="H1545" s="241"/>
      <c r="I1545" s="301"/>
      <c r="J1545" s="240"/>
      <c r="K1545" s="240"/>
      <c r="L1545" s="240"/>
      <c r="M1545" s="240"/>
      <c r="N1545" s="240"/>
      <c r="O1545" s="240"/>
      <c r="P1545" s="240"/>
      <c r="Q1545" s="240"/>
      <c r="R1545" s="240"/>
      <c r="S1545" s="240"/>
      <c r="T1545" s="240"/>
      <c r="U1545" s="240"/>
      <c r="V1545" s="240"/>
      <c r="W1545" s="240"/>
      <c r="X1545" s="240"/>
      <c r="Y1545" s="240"/>
      <c r="Z1545" s="240"/>
    </row>
    <row r="1546" ht="14.25" customHeight="1">
      <c r="A1546" s="302">
        <f t="shared" si="4"/>
        <v>47718</v>
      </c>
      <c r="B1546" s="241">
        <f t="shared" si="1"/>
        <v>2030</v>
      </c>
      <c r="C1546" s="241">
        <f t="shared" si="2"/>
        <v>8</v>
      </c>
      <c r="D1546" s="301" t="str">
        <f t="shared" si="3"/>
        <v>Friday</v>
      </c>
      <c r="E1546" s="240"/>
      <c r="F1546" s="240"/>
      <c r="G1546" s="240"/>
      <c r="H1546" s="241"/>
      <c r="I1546" s="301"/>
      <c r="J1546" s="240"/>
      <c r="K1546" s="240"/>
      <c r="L1546" s="240"/>
      <c r="M1546" s="240"/>
      <c r="N1546" s="240"/>
      <c r="O1546" s="240"/>
      <c r="P1546" s="240"/>
      <c r="Q1546" s="240"/>
      <c r="R1546" s="240"/>
      <c r="S1546" s="240"/>
      <c r="T1546" s="240"/>
      <c r="U1546" s="240"/>
      <c r="V1546" s="240"/>
      <c r="W1546" s="240"/>
      <c r="X1546" s="240"/>
      <c r="Y1546" s="240"/>
      <c r="Z1546" s="240"/>
    </row>
    <row r="1547" ht="14.25" customHeight="1">
      <c r="A1547" s="302">
        <f t="shared" si="4"/>
        <v>47719</v>
      </c>
      <c r="B1547" s="241">
        <f t="shared" si="1"/>
        <v>2030</v>
      </c>
      <c r="C1547" s="241">
        <f t="shared" si="2"/>
        <v>8</v>
      </c>
      <c r="D1547" s="301" t="str">
        <f t="shared" si="3"/>
        <v>Saturday</v>
      </c>
      <c r="E1547" s="240"/>
      <c r="F1547" s="240"/>
      <c r="G1547" s="240"/>
      <c r="H1547" s="241"/>
      <c r="I1547" s="301"/>
      <c r="J1547" s="240"/>
      <c r="K1547" s="240"/>
      <c r="L1547" s="240"/>
      <c r="M1547" s="240"/>
      <c r="N1547" s="240"/>
      <c r="O1547" s="240"/>
      <c r="P1547" s="240"/>
      <c r="Q1547" s="240"/>
      <c r="R1547" s="240"/>
      <c r="S1547" s="240"/>
      <c r="T1547" s="240"/>
      <c r="U1547" s="240"/>
      <c r="V1547" s="240"/>
      <c r="W1547" s="240"/>
      <c r="X1547" s="240"/>
      <c r="Y1547" s="240"/>
      <c r="Z1547" s="240"/>
    </row>
    <row r="1548" ht="14.25" customHeight="1">
      <c r="A1548" s="302">
        <f t="shared" si="4"/>
        <v>47720</v>
      </c>
      <c r="B1548" s="241">
        <f t="shared" si="1"/>
        <v>2030</v>
      </c>
      <c r="C1548" s="241">
        <f t="shared" si="2"/>
        <v>8</v>
      </c>
      <c r="D1548" s="301" t="str">
        <f t="shared" si="3"/>
        <v>Sunday</v>
      </c>
      <c r="E1548" s="240"/>
      <c r="F1548" s="240"/>
      <c r="G1548" s="240"/>
      <c r="H1548" s="241"/>
      <c r="I1548" s="301"/>
      <c r="J1548" s="240"/>
      <c r="K1548" s="240"/>
      <c r="L1548" s="240"/>
      <c r="M1548" s="240"/>
      <c r="N1548" s="240"/>
      <c r="O1548" s="240"/>
      <c r="P1548" s="240"/>
      <c r="Q1548" s="240"/>
      <c r="R1548" s="240"/>
      <c r="S1548" s="240"/>
      <c r="T1548" s="240"/>
      <c r="U1548" s="240"/>
      <c r="V1548" s="240"/>
      <c r="W1548" s="240"/>
      <c r="X1548" s="240"/>
      <c r="Y1548" s="240"/>
      <c r="Z1548" s="240"/>
    </row>
    <row r="1549" ht="14.25" customHeight="1">
      <c r="A1549" s="302">
        <f t="shared" si="4"/>
        <v>47721</v>
      </c>
      <c r="B1549" s="241">
        <f t="shared" si="1"/>
        <v>2030</v>
      </c>
      <c r="C1549" s="241">
        <f t="shared" si="2"/>
        <v>8</v>
      </c>
      <c r="D1549" s="301" t="str">
        <f t="shared" si="3"/>
        <v>Monday</v>
      </c>
      <c r="E1549" s="240"/>
      <c r="F1549" s="240"/>
      <c r="G1549" s="240"/>
      <c r="H1549" s="241"/>
      <c r="I1549" s="301"/>
      <c r="J1549" s="240"/>
      <c r="K1549" s="240"/>
      <c r="L1549" s="240"/>
      <c r="M1549" s="240"/>
      <c r="N1549" s="240"/>
      <c r="O1549" s="240"/>
      <c r="P1549" s="240"/>
      <c r="Q1549" s="240"/>
      <c r="R1549" s="240"/>
      <c r="S1549" s="240"/>
      <c r="T1549" s="240"/>
      <c r="U1549" s="240"/>
      <c r="V1549" s="240"/>
      <c r="W1549" s="240"/>
      <c r="X1549" s="240"/>
      <c r="Y1549" s="240"/>
      <c r="Z1549" s="240"/>
    </row>
    <row r="1550" ht="14.25" customHeight="1">
      <c r="A1550" s="302">
        <f t="shared" si="4"/>
        <v>47722</v>
      </c>
      <c r="B1550" s="241">
        <f t="shared" si="1"/>
        <v>2030</v>
      </c>
      <c r="C1550" s="241">
        <f t="shared" si="2"/>
        <v>8</v>
      </c>
      <c r="D1550" s="301" t="str">
        <f t="shared" si="3"/>
        <v>Tuesday</v>
      </c>
      <c r="E1550" s="240"/>
      <c r="F1550" s="240"/>
      <c r="G1550" s="240"/>
      <c r="H1550" s="241"/>
      <c r="I1550" s="301"/>
      <c r="J1550" s="240"/>
      <c r="K1550" s="240"/>
      <c r="L1550" s="240"/>
      <c r="M1550" s="240"/>
      <c r="N1550" s="240"/>
      <c r="O1550" s="240"/>
      <c r="P1550" s="240"/>
      <c r="Q1550" s="240"/>
      <c r="R1550" s="240"/>
      <c r="S1550" s="240"/>
      <c r="T1550" s="240"/>
      <c r="U1550" s="240"/>
      <c r="V1550" s="240"/>
      <c r="W1550" s="240"/>
      <c r="X1550" s="240"/>
      <c r="Y1550" s="240"/>
      <c r="Z1550" s="240"/>
    </row>
    <row r="1551" ht="14.25" customHeight="1">
      <c r="A1551" s="302">
        <f t="shared" si="4"/>
        <v>47723</v>
      </c>
      <c r="B1551" s="241">
        <f t="shared" si="1"/>
        <v>2030</v>
      </c>
      <c r="C1551" s="241">
        <f t="shared" si="2"/>
        <v>8</v>
      </c>
      <c r="D1551" s="301" t="str">
        <f t="shared" si="3"/>
        <v>Wednesday</v>
      </c>
      <c r="E1551" s="240"/>
      <c r="F1551" s="240"/>
      <c r="G1551" s="240"/>
      <c r="H1551" s="241"/>
      <c r="I1551" s="301"/>
      <c r="J1551" s="240"/>
      <c r="K1551" s="240"/>
      <c r="L1551" s="240"/>
      <c r="M1551" s="240"/>
      <c r="N1551" s="240"/>
      <c r="O1551" s="240"/>
      <c r="P1551" s="240"/>
      <c r="Q1551" s="240"/>
      <c r="R1551" s="240"/>
      <c r="S1551" s="240"/>
      <c r="T1551" s="240"/>
      <c r="U1551" s="240"/>
      <c r="V1551" s="240"/>
      <c r="W1551" s="240"/>
      <c r="X1551" s="240"/>
      <c r="Y1551" s="240"/>
      <c r="Z1551" s="240"/>
    </row>
    <row r="1552" ht="14.25" customHeight="1">
      <c r="A1552" s="302">
        <f t="shared" si="4"/>
        <v>47724</v>
      </c>
      <c r="B1552" s="241">
        <f t="shared" si="1"/>
        <v>2030</v>
      </c>
      <c r="C1552" s="241">
        <f t="shared" si="2"/>
        <v>8</v>
      </c>
      <c r="D1552" s="301" t="str">
        <f t="shared" si="3"/>
        <v>Thursday</v>
      </c>
      <c r="E1552" s="240"/>
      <c r="F1552" s="240"/>
      <c r="G1552" s="240"/>
      <c r="H1552" s="241"/>
      <c r="I1552" s="301"/>
      <c r="J1552" s="240"/>
      <c r="K1552" s="240"/>
      <c r="L1552" s="240"/>
      <c r="M1552" s="240"/>
      <c r="N1552" s="240"/>
      <c r="O1552" s="240"/>
      <c r="P1552" s="240"/>
      <c r="Q1552" s="240"/>
      <c r="R1552" s="240"/>
      <c r="S1552" s="240"/>
      <c r="T1552" s="240"/>
      <c r="U1552" s="240"/>
      <c r="V1552" s="240"/>
      <c r="W1552" s="240"/>
      <c r="X1552" s="240"/>
      <c r="Y1552" s="240"/>
      <c r="Z1552" s="240"/>
    </row>
    <row r="1553" ht="14.25" customHeight="1">
      <c r="A1553" s="302">
        <f t="shared" si="4"/>
        <v>47725</v>
      </c>
      <c r="B1553" s="241">
        <f t="shared" si="1"/>
        <v>2030</v>
      </c>
      <c r="C1553" s="241">
        <f t="shared" si="2"/>
        <v>8</v>
      </c>
      <c r="D1553" s="301" t="str">
        <f t="shared" si="3"/>
        <v>Friday</v>
      </c>
      <c r="E1553" s="240"/>
      <c r="F1553" s="240"/>
      <c r="G1553" s="240"/>
      <c r="H1553" s="241"/>
      <c r="I1553" s="301"/>
      <c r="J1553" s="240"/>
      <c r="K1553" s="240"/>
      <c r="L1553" s="240"/>
      <c r="M1553" s="240"/>
      <c r="N1553" s="240"/>
      <c r="O1553" s="240"/>
      <c r="P1553" s="240"/>
      <c r="Q1553" s="240"/>
      <c r="R1553" s="240"/>
      <c r="S1553" s="240"/>
      <c r="T1553" s="240"/>
      <c r="U1553" s="240"/>
      <c r="V1553" s="240"/>
      <c r="W1553" s="240"/>
      <c r="X1553" s="240"/>
      <c r="Y1553" s="240"/>
      <c r="Z1553" s="240"/>
    </row>
    <row r="1554" ht="14.25" customHeight="1">
      <c r="A1554" s="302">
        <f t="shared" si="4"/>
        <v>47726</v>
      </c>
      <c r="B1554" s="241">
        <f t="shared" si="1"/>
        <v>2030</v>
      </c>
      <c r="C1554" s="241">
        <f t="shared" si="2"/>
        <v>8</v>
      </c>
      <c r="D1554" s="301" t="str">
        <f t="shared" si="3"/>
        <v>Saturday</v>
      </c>
      <c r="E1554" s="240"/>
      <c r="F1554" s="240"/>
      <c r="G1554" s="240"/>
      <c r="H1554" s="241"/>
      <c r="I1554" s="301"/>
      <c r="J1554" s="240"/>
      <c r="K1554" s="240"/>
      <c r="L1554" s="240"/>
      <c r="M1554" s="240"/>
      <c r="N1554" s="240"/>
      <c r="O1554" s="240"/>
      <c r="P1554" s="240"/>
      <c r="Q1554" s="240"/>
      <c r="R1554" s="240"/>
      <c r="S1554" s="240"/>
      <c r="T1554" s="240"/>
      <c r="U1554" s="240"/>
      <c r="V1554" s="240"/>
      <c r="W1554" s="240"/>
      <c r="X1554" s="240"/>
      <c r="Y1554" s="240"/>
      <c r="Z1554" s="240"/>
    </row>
    <row r="1555" ht="14.25" customHeight="1">
      <c r="A1555" s="302">
        <f t="shared" si="4"/>
        <v>47727</v>
      </c>
      <c r="B1555" s="241">
        <f t="shared" si="1"/>
        <v>2030</v>
      </c>
      <c r="C1555" s="241">
        <f t="shared" si="2"/>
        <v>9</v>
      </c>
      <c r="D1555" s="301" t="str">
        <f t="shared" si="3"/>
        <v>Sunday</v>
      </c>
      <c r="E1555" s="240"/>
      <c r="F1555" s="240"/>
      <c r="G1555" s="240"/>
      <c r="H1555" s="241"/>
      <c r="I1555" s="301"/>
      <c r="J1555" s="240"/>
      <c r="K1555" s="240"/>
      <c r="L1555" s="240"/>
      <c r="M1555" s="240"/>
      <c r="N1555" s="240"/>
      <c r="O1555" s="240"/>
      <c r="P1555" s="240"/>
      <c r="Q1555" s="240"/>
      <c r="R1555" s="240"/>
      <c r="S1555" s="240"/>
      <c r="T1555" s="240"/>
      <c r="U1555" s="240"/>
      <c r="V1555" s="240"/>
      <c r="W1555" s="240"/>
      <c r="X1555" s="240"/>
      <c r="Y1555" s="240"/>
      <c r="Z1555" s="240"/>
    </row>
    <row r="1556" ht="14.25" customHeight="1">
      <c r="A1556" s="302">
        <f t="shared" si="4"/>
        <v>47728</v>
      </c>
      <c r="B1556" s="241">
        <f t="shared" si="1"/>
        <v>2030</v>
      </c>
      <c r="C1556" s="241">
        <f t="shared" si="2"/>
        <v>9</v>
      </c>
      <c r="D1556" s="301" t="str">
        <f t="shared" si="3"/>
        <v>Monday</v>
      </c>
      <c r="E1556" s="240"/>
      <c r="F1556" s="240"/>
      <c r="G1556" s="240"/>
      <c r="H1556" s="241"/>
      <c r="I1556" s="301"/>
      <c r="J1556" s="240"/>
      <c r="K1556" s="240"/>
      <c r="L1556" s="240"/>
      <c r="M1556" s="240"/>
      <c r="N1556" s="240"/>
      <c r="O1556" s="240"/>
      <c r="P1556" s="240"/>
      <c r="Q1556" s="240"/>
      <c r="R1556" s="240"/>
      <c r="S1556" s="240"/>
      <c r="T1556" s="240"/>
      <c r="U1556" s="240"/>
      <c r="V1556" s="240"/>
      <c r="W1556" s="240"/>
      <c r="X1556" s="240"/>
      <c r="Y1556" s="240"/>
      <c r="Z1556" s="240"/>
    </row>
    <row r="1557" ht="14.25" customHeight="1">
      <c r="A1557" s="302">
        <f t="shared" si="4"/>
        <v>47729</v>
      </c>
      <c r="B1557" s="241">
        <f t="shared" si="1"/>
        <v>2030</v>
      </c>
      <c r="C1557" s="241">
        <f t="shared" si="2"/>
        <v>9</v>
      </c>
      <c r="D1557" s="301" t="str">
        <f t="shared" si="3"/>
        <v>Tuesday</v>
      </c>
      <c r="E1557" s="240"/>
      <c r="F1557" s="240"/>
      <c r="G1557" s="240"/>
      <c r="H1557" s="241"/>
      <c r="I1557" s="301"/>
      <c r="J1557" s="240"/>
      <c r="K1557" s="240"/>
      <c r="L1557" s="240"/>
      <c r="M1557" s="240"/>
      <c r="N1557" s="240"/>
      <c r="O1557" s="240"/>
      <c r="P1557" s="240"/>
      <c r="Q1557" s="240"/>
      <c r="R1557" s="240"/>
      <c r="S1557" s="240"/>
      <c r="T1557" s="240"/>
      <c r="U1557" s="240"/>
      <c r="V1557" s="240"/>
      <c r="W1557" s="240"/>
      <c r="X1557" s="240"/>
      <c r="Y1557" s="240"/>
      <c r="Z1557" s="240"/>
    </row>
    <row r="1558" ht="14.25" customHeight="1">
      <c r="A1558" s="302">
        <f t="shared" si="4"/>
        <v>47730</v>
      </c>
      <c r="B1558" s="241">
        <f t="shared" si="1"/>
        <v>2030</v>
      </c>
      <c r="C1558" s="241">
        <f t="shared" si="2"/>
        <v>9</v>
      </c>
      <c r="D1558" s="301" t="str">
        <f t="shared" si="3"/>
        <v>Wednesday</v>
      </c>
      <c r="E1558" s="240"/>
      <c r="F1558" s="240"/>
      <c r="G1558" s="240"/>
      <c r="H1558" s="241"/>
      <c r="I1558" s="301"/>
      <c r="J1558" s="240"/>
      <c r="K1558" s="240"/>
      <c r="L1558" s="240"/>
      <c r="M1558" s="240"/>
      <c r="N1558" s="240"/>
      <c r="O1558" s="240"/>
      <c r="P1558" s="240"/>
      <c r="Q1558" s="240"/>
      <c r="R1558" s="240"/>
      <c r="S1558" s="240"/>
      <c r="T1558" s="240"/>
      <c r="U1558" s="240"/>
      <c r="V1558" s="240"/>
      <c r="W1558" s="240"/>
      <c r="X1558" s="240"/>
      <c r="Y1558" s="240"/>
      <c r="Z1558" s="240"/>
    </row>
    <row r="1559" ht="14.25" customHeight="1">
      <c r="A1559" s="302">
        <f t="shared" si="4"/>
        <v>47731</v>
      </c>
      <c r="B1559" s="241">
        <f t="shared" si="1"/>
        <v>2030</v>
      </c>
      <c r="C1559" s="241">
        <f t="shared" si="2"/>
        <v>9</v>
      </c>
      <c r="D1559" s="301" t="str">
        <f t="shared" si="3"/>
        <v>Thursday</v>
      </c>
      <c r="E1559" s="240"/>
      <c r="F1559" s="240"/>
      <c r="G1559" s="240"/>
      <c r="H1559" s="241"/>
      <c r="I1559" s="301"/>
      <c r="J1559" s="240"/>
      <c r="K1559" s="240"/>
      <c r="L1559" s="240"/>
      <c r="M1559" s="240"/>
      <c r="N1559" s="240"/>
      <c r="O1559" s="240"/>
      <c r="P1559" s="240"/>
      <c r="Q1559" s="240"/>
      <c r="R1559" s="240"/>
      <c r="S1559" s="240"/>
      <c r="T1559" s="240"/>
      <c r="U1559" s="240"/>
      <c r="V1559" s="240"/>
      <c r="W1559" s="240"/>
      <c r="X1559" s="240"/>
      <c r="Y1559" s="240"/>
      <c r="Z1559" s="240"/>
    </row>
    <row r="1560" ht="14.25" customHeight="1">
      <c r="A1560" s="302">
        <f t="shared" si="4"/>
        <v>47732</v>
      </c>
      <c r="B1560" s="241">
        <f t="shared" si="1"/>
        <v>2030</v>
      </c>
      <c r="C1560" s="241">
        <f t="shared" si="2"/>
        <v>9</v>
      </c>
      <c r="D1560" s="301" t="str">
        <f t="shared" si="3"/>
        <v>Friday</v>
      </c>
      <c r="E1560" s="240"/>
      <c r="F1560" s="240"/>
      <c r="G1560" s="240"/>
      <c r="H1560" s="241"/>
      <c r="I1560" s="301"/>
      <c r="J1560" s="240"/>
      <c r="K1560" s="240"/>
      <c r="L1560" s="240"/>
      <c r="M1560" s="240"/>
      <c r="N1560" s="240"/>
      <c r="O1560" s="240"/>
      <c r="P1560" s="240"/>
      <c r="Q1560" s="240"/>
      <c r="R1560" s="240"/>
      <c r="S1560" s="240"/>
      <c r="T1560" s="240"/>
      <c r="U1560" s="240"/>
      <c r="V1560" s="240"/>
      <c r="W1560" s="240"/>
      <c r="X1560" s="240"/>
      <c r="Y1560" s="240"/>
      <c r="Z1560" s="240"/>
    </row>
    <row r="1561" ht="14.25" customHeight="1">
      <c r="A1561" s="302">
        <f t="shared" si="4"/>
        <v>47733</v>
      </c>
      <c r="B1561" s="241">
        <f t="shared" si="1"/>
        <v>2030</v>
      </c>
      <c r="C1561" s="241">
        <f t="shared" si="2"/>
        <v>9</v>
      </c>
      <c r="D1561" s="301" t="str">
        <f t="shared" si="3"/>
        <v>Saturday</v>
      </c>
      <c r="E1561" s="240"/>
      <c r="F1561" s="240"/>
      <c r="G1561" s="240"/>
      <c r="H1561" s="241"/>
      <c r="I1561" s="301"/>
      <c r="J1561" s="240"/>
      <c r="K1561" s="240"/>
      <c r="L1561" s="240"/>
      <c r="M1561" s="240"/>
      <c r="N1561" s="240"/>
      <c r="O1561" s="240"/>
      <c r="P1561" s="240"/>
      <c r="Q1561" s="240"/>
      <c r="R1561" s="240"/>
      <c r="S1561" s="240"/>
      <c r="T1561" s="240"/>
      <c r="U1561" s="240"/>
      <c r="V1561" s="240"/>
      <c r="W1561" s="240"/>
      <c r="X1561" s="240"/>
      <c r="Y1561" s="240"/>
      <c r="Z1561" s="240"/>
    </row>
    <row r="1562" ht="14.25" customHeight="1">
      <c r="A1562" s="302">
        <f t="shared" si="4"/>
        <v>47734</v>
      </c>
      <c r="B1562" s="241">
        <f t="shared" si="1"/>
        <v>2030</v>
      </c>
      <c r="C1562" s="241">
        <f t="shared" si="2"/>
        <v>9</v>
      </c>
      <c r="D1562" s="301" t="str">
        <f t="shared" si="3"/>
        <v>Sunday</v>
      </c>
      <c r="E1562" s="240"/>
      <c r="F1562" s="240"/>
      <c r="G1562" s="240"/>
      <c r="H1562" s="241"/>
      <c r="I1562" s="301"/>
      <c r="J1562" s="240"/>
      <c r="K1562" s="240"/>
      <c r="L1562" s="240"/>
      <c r="M1562" s="240"/>
      <c r="N1562" s="240"/>
      <c r="O1562" s="240"/>
      <c r="P1562" s="240"/>
      <c r="Q1562" s="240"/>
      <c r="R1562" s="240"/>
      <c r="S1562" s="240"/>
      <c r="T1562" s="240"/>
      <c r="U1562" s="240"/>
      <c r="V1562" s="240"/>
      <c r="W1562" s="240"/>
      <c r="X1562" s="240"/>
      <c r="Y1562" s="240"/>
      <c r="Z1562" s="240"/>
    </row>
    <row r="1563" ht="14.25" customHeight="1">
      <c r="A1563" s="302">
        <f t="shared" si="4"/>
        <v>47735</v>
      </c>
      <c r="B1563" s="241">
        <f t="shared" si="1"/>
        <v>2030</v>
      </c>
      <c r="C1563" s="241">
        <f t="shared" si="2"/>
        <v>9</v>
      </c>
      <c r="D1563" s="301" t="str">
        <f t="shared" si="3"/>
        <v>Monday</v>
      </c>
      <c r="E1563" s="240"/>
      <c r="F1563" s="240"/>
      <c r="G1563" s="240"/>
      <c r="H1563" s="241"/>
      <c r="I1563" s="301"/>
      <c r="J1563" s="240"/>
      <c r="K1563" s="240"/>
      <c r="L1563" s="240"/>
      <c r="M1563" s="240"/>
      <c r="N1563" s="240"/>
      <c r="O1563" s="240"/>
      <c r="P1563" s="240"/>
      <c r="Q1563" s="240"/>
      <c r="R1563" s="240"/>
      <c r="S1563" s="240"/>
      <c r="T1563" s="240"/>
      <c r="U1563" s="240"/>
      <c r="V1563" s="240"/>
      <c r="W1563" s="240"/>
      <c r="X1563" s="240"/>
      <c r="Y1563" s="240"/>
      <c r="Z1563" s="240"/>
    </row>
    <row r="1564" ht="14.25" customHeight="1">
      <c r="A1564" s="302">
        <f t="shared" si="4"/>
        <v>47736</v>
      </c>
      <c r="B1564" s="241">
        <f t="shared" si="1"/>
        <v>2030</v>
      </c>
      <c r="C1564" s="241">
        <f t="shared" si="2"/>
        <v>9</v>
      </c>
      <c r="D1564" s="301" t="str">
        <f t="shared" si="3"/>
        <v>Tuesday</v>
      </c>
      <c r="E1564" s="240"/>
      <c r="F1564" s="240"/>
      <c r="G1564" s="240"/>
      <c r="H1564" s="241"/>
      <c r="I1564" s="301"/>
      <c r="J1564" s="240"/>
      <c r="K1564" s="240"/>
      <c r="L1564" s="240"/>
      <c r="M1564" s="240"/>
      <c r="N1564" s="240"/>
      <c r="O1564" s="240"/>
      <c r="P1564" s="240"/>
      <c r="Q1564" s="240"/>
      <c r="R1564" s="240"/>
      <c r="S1564" s="240"/>
      <c r="T1564" s="240"/>
      <c r="U1564" s="240"/>
      <c r="V1564" s="240"/>
      <c r="W1564" s="240"/>
      <c r="X1564" s="240"/>
      <c r="Y1564" s="240"/>
      <c r="Z1564" s="240"/>
    </row>
    <row r="1565" ht="14.25" customHeight="1">
      <c r="A1565" s="302">
        <f t="shared" si="4"/>
        <v>47737</v>
      </c>
      <c r="B1565" s="241">
        <f t="shared" si="1"/>
        <v>2030</v>
      </c>
      <c r="C1565" s="241">
        <f t="shared" si="2"/>
        <v>9</v>
      </c>
      <c r="D1565" s="301" t="str">
        <f t="shared" si="3"/>
        <v>Wednesday</v>
      </c>
      <c r="E1565" s="240"/>
      <c r="F1565" s="240"/>
      <c r="G1565" s="240"/>
      <c r="H1565" s="241"/>
      <c r="I1565" s="301"/>
      <c r="J1565" s="240"/>
      <c r="K1565" s="240"/>
      <c r="L1565" s="240"/>
      <c r="M1565" s="240"/>
      <c r="N1565" s="240"/>
      <c r="O1565" s="240"/>
      <c r="P1565" s="240"/>
      <c r="Q1565" s="240"/>
      <c r="R1565" s="240"/>
      <c r="S1565" s="240"/>
      <c r="T1565" s="240"/>
      <c r="U1565" s="240"/>
      <c r="V1565" s="240"/>
      <c r="W1565" s="240"/>
      <c r="X1565" s="240"/>
      <c r="Y1565" s="240"/>
      <c r="Z1565" s="240"/>
    </row>
    <row r="1566" ht="14.25" customHeight="1">
      <c r="A1566" s="302">
        <f t="shared" si="4"/>
        <v>47738</v>
      </c>
      <c r="B1566" s="241">
        <f t="shared" si="1"/>
        <v>2030</v>
      </c>
      <c r="C1566" s="241">
        <f t="shared" si="2"/>
        <v>9</v>
      </c>
      <c r="D1566" s="301" t="str">
        <f t="shared" si="3"/>
        <v>Thursday</v>
      </c>
      <c r="E1566" s="240"/>
      <c r="F1566" s="240"/>
      <c r="G1566" s="240"/>
      <c r="H1566" s="241"/>
      <c r="I1566" s="301"/>
      <c r="J1566" s="240"/>
      <c r="K1566" s="240"/>
      <c r="L1566" s="240"/>
      <c r="M1566" s="240"/>
      <c r="N1566" s="240"/>
      <c r="O1566" s="240"/>
      <c r="P1566" s="240"/>
      <c r="Q1566" s="240"/>
      <c r="R1566" s="240"/>
      <c r="S1566" s="240"/>
      <c r="T1566" s="240"/>
      <c r="U1566" s="240"/>
      <c r="V1566" s="240"/>
      <c r="W1566" s="240"/>
      <c r="X1566" s="240"/>
      <c r="Y1566" s="240"/>
      <c r="Z1566" s="240"/>
    </row>
    <row r="1567" ht="14.25" customHeight="1">
      <c r="A1567" s="302">
        <f t="shared" si="4"/>
        <v>47739</v>
      </c>
      <c r="B1567" s="241">
        <f t="shared" si="1"/>
        <v>2030</v>
      </c>
      <c r="C1567" s="241">
        <f t="shared" si="2"/>
        <v>9</v>
      </c>
      <c r="D1567" s="301" t="str">
        <f t="shared" si="3"/>
        <v>Friday</v>
      </c>
      <c r="E1567" s="240"/>
      <c r="F1567" s="240"/>
      <c r="G1567" s="240"/>
      <c r="H1567" s="241"/>
      <c r="I1567" s="301"/>
      <c r="J1567" s="240"/>
      <c r="K1567" s="240"/>
      <c r="L1567" s="240"/>
      <c r="M1567" s="240"/>
      <c r="N1567" s="240"/>
      <c r="O1567" s="240"/>
      <c r="P1567" s="240"/>
      <c r="Q1567" s="240"/>
      <c r="R1567" s="240"/>
      <c r="S1567" s="240"/>
      <c r="T1567" s="240"/>
      <c r="U1567" s="240"/>
      <c r="V1567" s="240"/>
      <c r="W1567" s="240"/>
      <c r="X1567" s="240"/>
      <c r="Y1567" s="240"/>
      <c r="Z1567" s="240"/>
    </row>
    <row r="1568" ht="14.25" customHeight="1">
      <c r="A1568" s="302">
        <f t="shared" si="4"/>
        <v>47740</v>
      </c>
      <c r="B1568" s="241">
        <f t="shared" si="1"/>
        <v>2030</v>
      </c>
      <c r="C1568" s="241">
        <f t="shared" si="2"/>
        <v>9</v>
      </c>
      <c r="D1568" s="301" t="str">
        <f t="shared" si="3"/>
        <v>Saturday</v>
      </c>
      <c r="E1568" s="240"/>
      <c r="F1568" s="240"/>
      <c r="G1568" s="240"/>
      <c r="H1568" s="241"/>
      <c r="I1568" s="301"/>
      <c r="J1568" s="240"/>
      <c r="K1568" s="240"/>
      <c r="L1568" s="240"/>
      <c r="M1568" s="240"/>
      <c r="N1568" s="240"/>
      <c r="O1568" s="240"/>
      <c r="P1568" s="240"/>
      <c r="Q1568" s="240"/>
      <c r="R1568" s="240"/>
      <c r="S1568" s="240"/>
      <c r="T1568" s="240"/>
      <c r="U1568" s="240"/>
      <c r="V1568" s="240"/>
      <c r="W1568" s="240"/>
      <c r="X1568" s="240"/>
      <c r="Y1568" s="240"/>
      <c r="Z1568" s="240"/>
    </row>
    <row r="1569" ht="14.25" customHeight="1">
      <c r="A1569" s="302">
        <f t="shared" si="4"/>
        <v>47741</v>
      </c>
      <c r="B1569" s="241">
        <f t="shared" si="1"/>
        <v>2030</v>
      </c>
      <c r="C1569" s="241">
        <f t="shared" si="2"/>
        <v>9</v>
      </c>
      <c r="D1569" s="301" t="str">
        <f t="shared" si="3"/>
        <v>Sunday</v>
      </c>
      <c r="E1569" s="240"/>
      <c r="F1569" s="240"/>
      <c r="G1569" s="240"/>
      <c r="H1569" s="241"/>
      <c r="I1569" s="301"/>
      <c r="J1569" s="240"/>
      <c r="K1569" s="240"/>
      <c r="L1569" s="240"/>
      <c r="M1569" s="240"/>
      <c r="N1569" s="240"/>
      <c r="O1569" s="240"/>
      <c r="P1569" s="240"/>
      <c r="Q1569" s="240"/>
      <c r="R1569" s="240"/>
      <c r="S1569" s="240"/>
      <c r="T1569" s="240"/>
      <c r="U1569" s="240"/>
      <c r="V1569" s="240"/>
      <c r="W1569" s="240"/>
      <c r="X1569" s="240"/>
      <c r="Y1569" s="240"/>
      <c r="Z1569" s="240"/>
    </row>
    <row r="1570" ht="14.25" customHeight="1">
      <c r="A1570" s="302">
        <f t="shared" si="4"/>
        <v>47742</v>
      </c>
      <c r="B1570" s="241">
        <f t="shared" si="1"/>
        <v>2030</v>
      </c>
      <c r="C1570" s="241">
        <f t="shared" si="2"/>
        <v>9</v>
      </c>
      <c r="D1570" s="301" t="str">
        <f t="shared" si="3"/>
        <v>Monday</v>
      </c>
      <c r="E1570" s="240"/>
      <c r="F1570" s="240"/>
      <c r="G1570" s="240"/>
      <c r="H1570" s="241"/>
      <c r="I1570" s="301"/>
      <c r="J1570" s="240"/>
      <c r="K1570" s="240"/>
      <c r="L1570" s="240"/>
      <c r="M1570" s="240"/>
      <c r="N1570" s="240"/>
      <c r="O1570" s="240"/>
      <c r="P1570" s="240"/>
      <c r="Q1570" s="240"/>
      <c r="R1570" s="240"/>
      <c r="S1570" s="240"/>
      <c r="T1570" s="240"/>
      <c r="U1570" s="240"/>
      <c r="V1570" s="240"/>
      <c r="W1570" s="240"/>
      <c r="X1570" s="240"/>
      <c r="Y1570" s="240"/>
      <c r="Z1570" s="240"/>
    </row>
    <row r="1571" ht="14.25" customHeight="1">
      <c r="A1571" s="302">
        <f t="shared" si="4"/>
        <v>47743</v>
      </c>
      <c r="B1571" s="241">
        <f t="shared" si="1"/>
        <v>2030</v>
      </c>
      <c r="C1571" s="241">
        <f t="shared" si="2"/>
        <v>9</v>
      </c>
      <c r="D1571" s="301" t="str">
        <f t="shared" si="3"/>
        <v>Tuesday</v>
      </c>
      <c r="E1571" s="240"/>
      <c r="F1571" s="240"/>
      <c r="G1571" s="240"/>
      <c r="H1571" s="241"/>
      <c r="I1571" s="301"/>
      <c r="J1571" s="240"/>
      <c r="K1571" s="240"/>
      <c r="L1571" s="240"/>
      <c r="M1571" s="240"/>
      <c r="N1571" s="240"/>
      <c r="O1571" s="240"/>
      <c r="P1571" s="240"/>
      <c r="Q1571" s="240"/>
      <c r="R1571" s="240"/>
      <c r="S1571" s="240"/>
      <c r="T1571" s="240"/>
      <c r="U1571" s="240"/>
      <c r="V1571" s="240"/>
      <c r="W1571" s="240"/>
      <c r="X1571" s="240"/>
      <c r="Y1571" s="240"/>
      <c r="Z1571" s="240"/>
    </row>
    <row r="1572" ht="14.25" customHeight="1">
      <c r="A1572" s="302">
        <f t="shared" si="4"/>
        <v>47744</v>
      </c>
      <c r="B1572" s="241">
        <f t="shared" si="1"/>
        <v>2030</v>
      </c>
      <c r="C1572" s="241">
        <f t="shared" si="2"/>
        <v>9</v>
      </c>
      <c r="D1572" s="301" t="str">
        <f t="shared" si="3"/>
        <v>Wednesday</v>
      </c>
      <c r="E1572" s="240"/>
      <c r="F1572" s="240"/>
      <c r="G1572" s="240"/>
      <c r="H1572" s="241"/>
      <c r="I1572" s="301"/>
      <c r="J1572" s="240"/>
      <c r="K1572" s="240"/>
      <c r="L1572" s="240"/>
      <c r="M1572" s="240"/>
      <c r="N1572" s="240"/>
      <c r="O1572" s="240"/>
      <c r="P1572" s="240"/>
      <c r="Q1572" s="240"/>
      <c r="R1572" s="240"/>
      <c r="S1572" s="240"/>
      <c r="T1572" s="240"/>
      <c r="U1572" s="240"/>
      <c r="V1572" s="240"/>
      <c r="W1572" s="240"/>
      <c r="X1572" s="240"/>
      <c r="Y1572" s="240"/>
      <c r="Z1572" s="240"/>
    </row>
    <row r="1573" ht="14.25" customHeight="1">
      <c r="A1573" s="302">
        <f t="shared" si="4"/>
        <v>47745</v>
      </c>
      <c r="B1573" s="241">
        <f t="shared" si="1"/>
        <v>2030</v>
      </c>
      <c r="C1573" s="241">
        <f t="shared" si="2"/>
        <v>9</v>
      </c>
      <c r="D1573" s="301" t="str">
        <f t="shared" si="3"/>
        <v>Thursday</v>
      </c>
      <c r="E1573" s="240"/>
      <c r="F1573" s="240"/>
      <c r="G1573" s="240"/>
      <c r="H1573" s="241"/>
      <c r="I1573" s="301"/>
      <c r="J1573" s="240"/>
      <c r="K1573" s="240"/>
      <c r="L1573" s="240"/>
      <c r="M1573" s="240"/>
      <c r="N1573" s="240"/>
      <c r="O1573" s="240"/>
      <c r="P1573" s="240"/>
      <c r="Q1573" s="240"/>
      <c r="R1573" s="240"/>
      <c r="S1573" s="240"/>
      <c r="T1573" s="240"/>
      <c r="U1573" s="240"/>
      <c r="V1573" s="240"/>
      <c r="W1573" s="240"/>
      <c r="X1573" s="240"/>
      <c r="Y1573" s="240"/>
      <c r="Z1573" s="240"/>
    </row>
    <row r="1574" ht="14.25" customHeight="1">
      <c r="A1574" s="302">
        <f t="shared" si="4"/>
        <v>47746</v>
      </c>
      <c r="B1574" s="241">
        <f t="shared" si="1"/>
        <v>2030</v>
      </c>
      <c r="C1574" s="241">
        <f t="shared" si="2"/>
        <v>9</v>
      </c>
      <c r="D1574" s="301" t="str">
        <f t="shared" si="3"/>
        <v>Friday</v>
      </c>
      <c r="E1574" s="240"/>
      <c r="F1574" s="240"/>
      <c r="G1574" s="240"/>
      <c r="H1574" s="241"/>
      <c r="I1574" s="301"/>
      <c r="J1574" s="240"/>
      <c r="K1574" s="240"/>
      <c r="L1574" s="240"/>
      <c r="M1574" s="240"/>
      <c r="N1574" s="240"/>
      <c r="O1574" s="240"/>
      <c r="P1574" s="240"/>
      <c r="Q1574" s="240"/>
      <c r="R1574" s="240"/>
      <c r="S1574" s="240"/>
      <c r="T1574" s="240"/>
      <c r="U1574" s="240"/>
      <c r="V1574" s="240"/>
      <c r="W1574" s="240"/>
      <c r="X1574" s="240"/>
      <c r="Y1574" s="240"/>
      <c r="Z1574" s="240"/>
    </row>
    <row r="1575" ht="14.25" customHeight="1">
      <c r="A1575" s="302">
        <f t="shared" si="4"/>
        <v>47747</v>
      </c>
      <c r="B1575" s="241">
        <f t="shared" si="1"/>
        <v>2030</v>
      </c>
      <c r="C1575" s="241">
        <f t="shared" si="2"/>
        <v>9</v>
      </c>
      <c r="D1575" s="301" t="str">
        <f t="shared" si="3"/>
        <v>Saturday</v>
      </c>
      <c r="E1575" s="240"/>
      <c r="F1575" s="240"/>
      <c r="G1575" s="240"/>
      <c r="H1575" s="241"/>
      <c r="I1575" s="301"/>
      <c r="J1575" s="240"/>
      <c r="K1575" s="240"/>
      <c r="L1575" s="240"/>
      <c r="M1575" s="240"/>
      <c r="N1575" s="240"/>
      <c r="O1575" s="240"/>
      <c r="P1575" s="240"/>
      <c r="Q1575" s="240"/>
      <c r="R1575" s="240"/>
      <c r="S1575" s="240"/>
      <c r="T1575" s="240"/>
      <c r="U1575" s="240"/>
      <c r="V1575" s="240"/>
      <c r="W1575" s="240"/>
      <c r="X1575" s="240"/>
      <c r="Y1575" s="240"/>
      <c r="Z1575" s="240"/>
    </row>
    <row r="1576" ht="14.25" customHeight="1">
      <c r="A1576" s="302">
        <f t="shared" si="4"/>
        <v>47748</v>
      </c>
      <c r="B1576" s="241">
        <f t="shared" si="1"/>
        <v>2030</v>
      </c>
      <c r="C1576" s="241">
        <f t="shared" si="2"/>
        <v>9</v>
      </c>
      <c r="D1576" s="301" t="str">
        <f t="shared" si="3"/>
        <v>Sunday</v>
      </c>
      <c r="E1576" s="240"/>
      <c r="F1576" s="240"/>
      <c r="G1576" s="240"/>
      <c r="H1576" s="241"/>
      <c r="I1576" s="301"/>
      <c r="J1576" s="240"/>
      <c r="K1576" s="240"/>
      <c r="L1576" s="240"/>
      <c r="M1576" s="240"/>
      <c r="N1576" s="240"/>
      <c r="O1576" s="240"/>
      <c r="P1576" s="240"/>
      <c r="Q1576" s="240"/>
      <c r="R1576" s="240"/>
      <c r="S1576" s="240"/>
      <c r="T1576" s="240"/>
      <c r="U1576" s="240"/>
      <c r="V1576" s="240"/>
      <c r="W1576" s="240"/>
      <c r="X1576" s="240"/>
      <c r="Y1576" s="240"/>
      <c r="Z1576" s="240"/>
    </row>
    <row r="1577" ht="14.25" customHeight="1">
      <c r="A1577" s="302">
        <f t="shared" si="4"/>
        <v>47749</v>
      </c>
      <c r="B1577" s="241">
        <f t="shared" si="1"/>
        <v>2030</v>
      </c>
      <c r="C1577" s="241">
        <f t="shared" si="2"/>
        <v>9</v>
      </c>
      <c r="D1577" s="301" t="str">
        <f t="shared" si="3"/>
        <v>Monday</v>
      </c>
      <c r="E1577" s="240"/>
      <c r="F1577" s="240"/>
      <c r="G1577" s="240"/>
      <c r="H1577" s="241"/>
      <c r="I1577" s="301"/>
      <c r="J1577" s="240"/>
      <c r="K1577" s="240"/>
      <c r="L1577" s="240"/>
      <c r="M1577" s="240"/>
      <c r="N1577" s="240"/>
      <c r="O1577" s="240"/>
      <c r="P1577" s="240"/>
      <c r="Q1577" s="240"/>
      <c r="R1577" s="240"/>
      <c r="S1577" s="240"/>
      <c r="T1577" s="240"/>
      <c r="U1577" s="240"/>
      <c r="V1577" s="240"/>
      <c r="W1577" s="240"/>
      <c r="X1577" s="240"/>
      <c r="Y1577" s="240"/>
      <c r="Z1577" s="240"/>
    </row>
    <row r="1578" ht="14.25" customHeight="1">
      <c r="A1578" s="302">
        <f t="shared" si="4"/>
        <v>47750</v>
      </c>
      <c r="B1578" s="241">
        <f t="shared" si="1"/>
        <v>2030</v>
      </c>
      <c r="C1578" s="241">
        <f t="shared" si="2"/>
        <v>9</v>
      </c>
      <c r="D1578" s="301" t="str">
        <f t="shared" si="3"/>
        <v>Tuesday</v>
      </c>
      <c r="E1578" s="240"/>
      <c r="F1578" s="240"/>
      <c r="G1578" s="240"/>
      <c r="H1578" s="241"/>
      <c r="I1578" s="301"/>
      <c r="J1578" s="240"/>
      <c r="K1578" s="240"/>
      <c r="L1578" s="240"/>
      <c r="M1578" s="240"/>
      <c r="N1578" s="240"/>
      <c r="O1578" s="240"/>
      <c r="P1578" s="240"/>
      <c r="Q1578" s="240"/>
      <c r="R1578" s="240"/>
      <c r="S1578" s="240"/>
      <c r="T1578" s="240"/>
      <c r="U1578" s="240"/>
      <c r="V1578" s="240"/>
      <c r="W1578" s="240"/>
      <c r="X1578" s="240"/>
      <c r="Y1578" s="240"/>
      <c r="Z1578" s="240"/>
    </row>
    <row r="1579" ht="14.25" customHeight="1">
      <c r="A1579" s="302">
        <f t="shared" si="4"/>
        <v>47751</v>
      </c>
      <c r="B1579" s="241">
        <f t="shared" si="1"/>
        <v>2030</v>
      </c>
      <c r="C1579" s="241">
        <f t="shared" si="2"/>
        <v>9</v>
      </c>
      <c r="D1579" s="301" t="str">
        <f t="shared" si="3"/>
        <v>Wednesday</v>
      </c>
      <c r="E1579" s="240"/>
      <c r="F1579" s="240"/>
      <c r="G1579" s="240"/>
      <c r="H1579" s="241"/>
      <c r="I1579" s="301"/>
      <c r="J1579" s="240"/>
      <c r="K1579" s="240"/>
      <c r="L1579" s="240"/>
      <c r="M1579" s="240"/>
      <c r="N1579" s="240"/>
      <c r="O1579" s="240"/>
      <c r="P1579" s="240"/>
      <c r="Q1579" s="240"/>
      <c r="R1579" s="240"/>
      <c r="S1579" s="240"/>
      <c r="T1579" s="240"/>
      <c r="U1579" s="240"/>
      <c r="V1579" s="240"/>
      <c r="W1579" s="240"/>
      <c r="X1579" s="240"/>
      <c r="Y1579" s="240"/>
      <c r="Z1579" s="240"/>
    </row>
    <row r="1580" ht="14.25" customHeight="1">
      <c r="A1580" s="302">
        <f t="shared" si="4"/>
        <v>47752</v>
      </c>
      <c r="B1580" s="241">
        <f t="shared" si="1"/>
        <v>2030</v>
      </c>
      <c r="C1580" s="241">
        <f t="shared" si="2"/>
        <v>9</v>
      </c>
      <c r="D1580" s="301" t="str">
        <f t="shared" si="3"/>
        <v>Thursday</v>
      </c>
      <c r="E1580" s="240"/>
      <c r="F1580" s="240"/>
      <c r="G1580" s="240"/>
      <c r="H1580" s="241"/>
      <c r="I1580" s="301"/>
      <c r="J1580" s="240"/>
      <c r="K1580" s="240"/>
      <c r="L1580" s="240"/>
      <c r="M1580" s="240"/>
      <c r="N1580" s="240"/>
      <c r="O1580" s="240"/>
      <c r="P1580" s="240"/>
      <c r="Q1580" s="240"/>
      <c r="R1580" s="240"/>
      <c r="S1580" s="240"/>
      <c r="T1580" s="240"/>
      <c r="U1580" s="240"/>
      <c r="V1580" s="240"/>
      <c r="W1580" s="240"/>
      <c r="X1580" s="240"/>
      <c r="Y1580" s="240"/>
      <c r="Z1580" s="240"/>
    </row>
    <row r="1581" ht="14.25" customHeight="1">
      <c r="A1581" s="302">
        <f t="shared" si="4"/>
        <v>47753</v>
      </c>
      <c r="B1581" s="241">
        <f t="shared" si="1"/>
        <v>2030</v>
      </c>
      <c r="C1581" s="241">
        <f t="shared" si="2"/>
        <v>9</v>
      </c>
      <c r="D1581" s="301" t="str">
        <f t="shared" si="3"/>
        <v>Friday</v>
      </c>
      <c r="E1581" s="240"/>
      <c r="F1581" s="240"/>
      <c r="G1581" s="240"/>
      <c r="H1581" s="241"/>
      <c r="I1581" s="301"/>
      <c r="J1581" s="240"/>
      <c r="K1581" s="240"/>
      <c r="L1581" s="240"/>
      <c r="M1581" s="240"/>
      <c r="N1581" s="240"/>
      <c r="O1581" s="240"/>
      <c r="P1581" s="240"/>
      <c r="Q1581" s="240"/>
      <c r="R1581" s="240"/>
      <c r="S1581" s="240"/>
      <c r="T1581" s="240"/>
      <c r="U1581" s="240"/>
      <c r="V1581" s="240"/>
      <c r="W1581" s="240"/>
      <c r="X1581" s="240"/>
      <c r="Y1581" s="240"/>
      <c r="Z1581" s="240"/>
    </row>
    <row r="1582" ht="14.25" customHeight="1">
      <c r="A1582" s="302">
        <f t="shared" si="4"/>
        <v>47754</v>
      </c>
      <c r="B1582" s="241">
        <f t="shared" si="1"/>
        <v>2030</v>
      </c>
      <c r="C1582" s="241">
        <f t="shared" si="2"/>
        <v>9</v>
      </c>
      <c r="D1582" s="301" t="str">
        <f t="shared" si="3"/>
        <v>Saturday</v>
      </c>
      <c r="E1582" s="240"/>
      <c r="F1582" s="240"/>
      <c r="G1582" s="240"/>
      <c r="H1582" s="241"/>
      <c r="I1582" s="301"/>
      <c r="J1582" s="240"/>
      <c r="K1582" s="240"/>
      <c r="L1582" s="240"/>
      <c r="M1582" s="240"/>
      <c r="N1582" s="240"/>
      <c r="O1582" s="240"/>
      <c r="P1582" s="240"/>
      <c r="Q1582" s="240"/>
      <c r="R1582" s="240"/>
      <c r="S1582" s="240"/>
      <c r="T1582" s="240"/>
      <c r="U1582" s="240"/>
      <c r="V1582" s="240"/>
      <c r="W1582" s="240"/>
      <c r="X1582" s="240"/>
      <c r="Y1582" s="240"/>
      <c r="Z1582" s="240"/>
    </row>
    <row r="1583" ht="14.25" customHeight="1">
      <c r="A1583" s="302">
        <f t="shared" si="4"/>
        <v>47755</v>
      </c>
      <c r="B1583" s="241">
        <f t="shared" si="1"/>
        <v>2030</v>
      </c>
      <c r="C1583" s="241">
        <f t="shared" si="2"/>
        <v>9</v>
      </c>
      <c r="D1583" s="301" t="str">
        <f t="shared" si="3"/>
        <v>Sunday</v>
      </c>
      <c r="E1583" s="240"/>
      <c r="F1583" s="240"/>
      <c r="G1583" s="240"/>
      <c r="H1583" s="241"/>
      <c r="I1583" s="301"/>
      <c r="J1583" s="240"/>
      <c r="K1583" s="240"/>
      <c r="L1583" s="240"/>
      <c r="M1583" s="240"/>
      <c r="N1583" s="240"/>
      <c r="O1583" s="240"/>
      <c r="P1583" s="240"/>
      <c r="Q1583" s="240"/>
      <c r="R1583" s="240"/>
      <c r="S1583" s="240"/>
      <c r="T1583" s="240"/>
      <c r="U1583" s="240"/>
      <c r="V1583" s="240"/>
      <c r="W1583" s="240"/>
      <c r="X1583" s="240"/>
      <c r="Y1583" s="240"/>
      <c r="Z1583" s="240"/>
    </row>
    <row r="1584" ht="14.25" customHeight="1">
      <c r="A1584" s="302">
        <f t="shared" si="4"/>
        <v>47756</v>
      </c>
      <c r="B1584" s="241">
        <f t="shared" si="1"/>
        <v>2030</v>
      </c>
      <c r="C1584" s="241">
        <f t="shared" si="2"/>
        <v>9</v>
      </c>
      <c r="D1584" s="301" t="str">
        <f t="shared" si="3"/>
        <v>Monday</v>
      </c>
      <c r="E1584" s="240"/>
      <c r="F1584" s="240"/>
      <c r="G1584" s="240"/>
      <c r="H1584" s="241"/>
      <c r="I1584" s="301"/>
      <c r="J1584" s="240"/>
      <c r="K1584" s="240"/>
      <c r="L1584" s="240"/>
      <c r="M1584" s="240"/>
      <c r="N1584" s="240"/>
      <c r="O1584" s="240"/>
      <c r="P1584" s="240"/>
      <c r="Q1584" s="240"/>
      <c r="R1584" s="240"/>
      <c r="S1584" s="240"/>
      <c r="T1584" s="240"/>
      <c r="U1584" s="240"/>
      <c r="V1584" s="240"/>
      <c r="W1584" s="240"/>
      <c r="X1584" s="240"/>
      <c r="Y1584" s="240"/>
      <c r="Z1584" s="240"/>
    </row>
    <row r="1585" ht="14.25" customHeight="1">
      <c r="A1585" s="302">
        <f t="shared" si="4"/>
        <v>47757</v>
      </c>
      <c r="B1585" s="241">
        <f t="shared" si="1"/>
        <v>2030</v>
      </c>
      <c r="C1585" s="241">
        <f t="shared" si="2"/>
        <v>10</v>
      </c>
      <c r="D1585" s="301" t="str">
        <f t="shared" si="3"/>
        <v>Tuesday</v>
      </c>
      <c r="E1585" s="240"/>
      <c r="F1585" s="240"/>
      <c r="G1585" s="240"/>
      <c r="H1585" s="241"/>
      <c r="I1585" s="301"/>
      <c r="J1585" s="240"/>
      <c r="K1585" s="240"/>
      <c r="L1585" s="240"/>
      <c r="M1585" s="240"/>
      <c r="N1585" s="240"/>
      <c r="O1585" s="240"/>
      <c r="P1585" s="240"/>
      <c r="Q1585" s="240"/>
      <c r="R1585" s="240"/>
      <c r="S1585" s="240"/>
      <c r="T1585" s="240"/>
      <c r="U1585" s="240"/>
      <c r="V1585" s="240"/>
      <c r="W1585" s="240"/>
      <c r="X1585" s="240"/>
      <c r="Y1585" s="240"/>
      <c r="Z1585" s="240"/>
    </row>
    <row r="1586" ht="14.25" customHeight="1">
      <c r="A1586" s="302">
        <f t="shared" si="4"/>
        <v>47758</v>
      </c>
      <c r="B1586" s="241">
        <f t="shared" si="1"/>
        <v>2030</v>
      </c>
      <c r="C1586" s="241">
        <f t="shared" si="2"/>
        <v>10</v>
      </c>
      <c r="D1586" s="301" t="str">
        <f t="shared" si="3"/>
        <v>Wednesday</v>
      </c>
      <c r="E1586" s="240"/>
      <c r="F1586" s="240"/>
      <c r="G1586" s="240"/>
      <c r="H1586" s="241"/>
      <c r="I1586" s="301"/>
      <c r="J1586" s="240"/>
      <c r="K1586" s="240"/>
      <c r="L1586" s="240"/>
      <c r="M1586" s="240"/>
      <c r="N1586" s="240"/>
      <c r="O1586" s="240"/>
      <c r="P1586" s="240"/>
      <c r="Q1586" s="240"/>
      <c r="R1586" s="240"/>
      <c r="S1586" s="240"/>
      <c r="T1586" s="240"/>
      <c r="U1586" s="240"/>
      <c r="V1586" s="240"/>
      <c r="W1586" s="240"/>
      <c r="X1586" s="240"/>
      <c r="Y1586" s="240"/>
      <c r="Z1586" s="240"/>
    </row>
    <row r="1587" ht="14.25" customHeight="1">
      <c r="A1587" s="302">
        <f t="shared" si="4"/>
        <v>47759</v>
      </c>
      <c r="B1587" s="241">
        <f t="shared" si="1"/>
        <v>2030</v>
      </c>
      <c r="C1587" s="241">
        <f t="shared" si="2"/>
        <v>10</v>
      </c>
      <c r="D1587" s="301" t="str">
        <f t="shared" si="3"/>
        <v>Thursday</v>
      </c>
      <c r="E1587" s="240"/>
      <c r="F1587" s="240"/>
      <c r="G1587" s="240"/>
      <c r="H1587" s="241"/>
      <c r="I1587" s="301"/>
      <c r="J1587" s="240"/>
      <c r="K1587" s="240"/>
      <c r="L1587" s="240"/>
      <c r="M1587" s="240"/>
      <c r="N1587" s="240"/>
      <c r="O1587" s="240"/>
      <c r="P1587" s="240"/>
      <c r="Q1587" s="240"/>
      <c r="R1587" s="240"/>
      <c r="S1587" s="240"/>
      <c r="T1587" s="240"/>
      <c r="U1587" s="240"/>
      <c r="V1587" s="240"/>
      <c r="W1587" s="240"/>
      <c r="X1587" s="240"/>
      <c r="Y1587" s="240"/>
      <c r="Z1587" s="240"/>
    </row>
    <row r="1588" ht="14.25" customHeight="1">
      <c r="A1588" s="302">
        <f t="shared" si="4"/>
        <v>47760</v>
      </c>
      <c r="B1588" s="241">
        <f t="shared" si="1"/>
        <v>2030</v>
      </c>
      <c r="C1588" s="241">
        <f t="shared" si="2"/>
        <v>10</v>
      </c>
      <c r="D1588" s="301" t="str">
        <f t="shared" si="3"/>
        <v>Friday</v>
      </c>
      <c r="E1588" s="240"/>
      <c r="F1588" s="240"/>
      <c r="G1588" s="240"/>
      <c r="H1588" s="241"/>
      <c r="I1588" s="301"/>
      <c r="J1588" s="240"/>
      <c r="K1588" s="240"/>
      <c r="L1588" s="240"/>
      <c r="M1588" s="240"/>
      <c r="N1588" s="240"/>
      <c r="O1588" s="240"/>
      <c r="P1588" s="240"/>
      <c r="Q1588" s="240"/>
      <c r="R1588" s="240"/>
      <c r="S1588" s="240"/>
      <c r="T1588" s="240"/>
      <c r="U1588" s="240"/>
      <c r="V1588" s="240"/>
      <c r="W1588" s="240"/>
      <c r="X1588" s="240"/>
      <c r="Y1588" s="240"/>
      <c r="Z1588" s="240"/>
    </row>
    <row r="1589" ht="14.25" customHeight="1">
      <c r="A1589" s="302">
        <f t="shared" si="4"/>
        <v>47761</v>
      </c>
      <c r="B1589" s="241">
        <f t="shared" si="1"/>
        <v>2030</v>
      </c>
      <c r="C1589" s="241">
        <f t="shared" si="2"/>
        <v>10</v>
      </c>
      <c r="D1589" s="301" t="str">
        <f t="shared" si="3"/>
        <v>Saturday</v>
      </c>
      <c r="E1589" s="240"/>
      <c r="F1589" s="240"/>
      <c r="G1589" s="240"/>
      <c r="H1589" s="241"/>
      <c r="I1589" s="301"/>
      <c r="J1589" s="240"/>
      <c r="K1589" s="240"/>
      <c r="L1589" s="240"/>
      <c r="M1589" s="240"/>
      <c r="N1589" s="240"/>
      <c r="O1589" s="240"/>
      <c r="P1589" s="240"/>
      <c r="Q1589" s="240"/>
      <c r="R1589" s="240"/>
      <c r="S1589" s="240"/>
      <c r="T1589" s="240"/>
      <c r="U1589" s="240"/>
      <c r="V1589" s="240"/>
      <c r="W1589" s="240"/>
      <c r="X1589" s="240"/>
      <c r="Y1589" s="240"/>
      <c r="Z1589" s="240"/>
    </row>
    <row r="1590" ht="14.25" customHeight="1">
      <c r="A1590" s="302">
        <f t="shared" si="4"/>
        <v>47762</v>
      </c>
      <c r="B1590" s="241">
        <f t="shared" si="1"/>
        <v>2030</v>
      </c>
      <c r="C1590" s="241">
        <f t="shared" si="2"/>
        <v>10</v>
      </c>
      <c r="D1590" s="301" t="str">
        <f t="shared" si="3"/>
        <v>Sunday</v>
      </c>
      <c r="E1590" s="240"/>
      <c r="F1590" s="240"/>
      <c r="G1590" s="240"/>
      <c r="H1590" s="241"/>
      <c r="I1590" s="301"/>
      <c r="J1590" s="240"/>
      <c r="K1590" s="240"/>
      <c r="L1590" s="240"/>
      <c r="M1590" s="240"/>
      <c r="N1590" s="240"/>
      <c r="O1590" s="240"/>
      <c r="P1590" s="240"/>
      <c r="Q1590" s="240"/>
      <c r="R1590" s="240"/>
      <c r="S1590" s="240"/>
      <c r="T1590" s="240"/>
      <c r="U1590" s="240"/>
      <c r="V1590" s="240"/>
      <c r="W1590" s="240"/>
      <c r="X1590" s="240"/>
      <c r="Y1590" s="240"/>
      <c r="Z1590" s="240"/>
    </row>
    <row r="1591" ht="14.25" customHeight="1">
      <c r="A1591" s="302">
        <f t="shared" si="4"/>
        <v>47763</v>
      </c>
      <c r="B1591" s="241">
        <f t="shared" si="1"/>
        <v>2030</v>
      </c>
      <c r="C1591" s="241">
        <f t="shared" si="2"/>
        <v>10</v>
      </c>
      <c r="D1591" s="301" t="str">
        <f t="shared" si="3"/>
        <v>Monday</v>
      </c>
      <c r="E1591" s="240"/>
      <c r="F1591" s="240"/>
      <c r="G1591" s="240"/>
      <c r="H1591" s="241"/>
      <c r="I1591" s="301"/>
      <c r="J1591" s="240"/>
      <c r="K1591" s="240"/>
      <c r="L1591" s="240"/>
      <c r="M1591" s="240"/>
      <c r="N1591" s="240"/>
      <c r="O1591" s="240"/>
      <c r="P1591" s="240"/>
      <c r="Q1591" s="240"/>
      <c r="R1591" s="240"/>
      <c r="S1591" s="240"/>
      <c r="T1591" s="240"/>
      <c r="U1591" s="240"/>
      <c r="V1591" s="240"/>
      <c r="W1591" s="240"/>
      <c r="X1591" s="240"/>
      <c r="Y1591" s="240"/>
      <c r="Z1591" s="240"/>
    </row>
    <row r="1592" ht="14.25" customHeight="1">
      <c r="A1592" s="302">
        <f t="shared" si="4"/>
        <v>47764</v>
      </c>
      <c r="B1592" s="241">
        <f t="shared" si="1"/>
        <v>2030</v>
      </c>
      <c r="C1592" s="241">
        <f t="shared" si="2"/>
        <v>10</v>
      </c>
      <c r="D1592" s="301" t="str">
        <f t="shared" si="3"/>
        <v>Tuesday</v>
      </c>
      <c r="E1592" s="240"/>
      <c r="F1592" s="240"/>
      <c r="G1592" s="240"/>
      <c r="H1592" s="241"/>
      <c r="I1592" s="301"/>
      <c r="J1592" s="240"/>
      <c r="K1592" s="240"/>
      <c r="L1592" s="240"/>
      <c r="M1592" s="240"/>
      <c r="N1592" s="240"/>
      <c r="O1592" s="240"/>
      <c r="P1592" s="240"/>
      <c r="Q1592" s="240"/>
      <c r="R1592" s="240"/>
      <c r="S1592" s="240"/>
      <c r="T1592" s="240"/>
      <c r="U1592" s="240"/>
      <c r="V1592" s="240"/>
      <c r="W1592" s="240"/>
      <c r="X1592" s="240"/>
      <c r="Y1592" s="240"/>
      <c r="Z1592" s="240"/>
    </row>
    <row r="1593" ht="14.25" customHeight="1">
      <c r="A1593" s="302">
        <f t="shared" si="4"/>
        <v>47765</v>
      </c>
      <c r="B1593" s="241">
        <f t="shared" si="1"/>
        <v>2030</v>
      </c>
      <c r="C1593" s="241">
        <f t="shared" si="2"/>
        <v>10</v>
      </c>
      <c r="D1593" s="301" t="str">
        <f t="shared" si="3"/>
        <v>Wednesday</v>
      </c>
      <c r="E1593" s="240"/>
      <c r="F1593" s="240"/>
      <c r="G1593" s="240"/>
      <c r="H1593" s="241"/>
      <c r="I1593" s="301"/>
      <c r="J1593" s="240"/>
      <c r="K1593" s="240"/>
      <c r="L1593" s="240"/>
      <c r="M1593" s="240"/>
      <c r="N1593" s="240"/>
      <c r="O1593" s="240"/>
      <c r="P1593" s="240"/>
      <c r="Q1593" s="240"/>
      <c r="R1593" s="240"/>
      <c r="S1593" s="240"/>
      <c r="T1593" s="240"/>
      <c r="U1593" s="240"/>
      <c r="V1593" s="240"/>
      <c r="W1593" s="240"/>
      <c r="X1593" s="240"/>
      <c r="Y1593" s="240"/>
      <c r="Z1593" s="240"/>
    </row>
    <row r="1594" ht="14.25" customHeight="1">
      <c r="A1594" s="302">
        <f t="shared" si="4"/>
        <v>47766</v>
      </c>
      <c r="B1594" s="241">
        <f t="shared" si="1"/>
        <v>2030</v>
      </c>
      <c r="C1594" s="241">
        <f t="shared" si="2"/>
        <v>10</v>
      </c>
      <c r="D1594" s="301" t="str">
        <f t="shared" si="3"/>
        <v>Thursday</v>
      </c>
      <c r="E1594" s="240"/>
      <c r="F1594" s="240"/>
      <c r="G1594" s="240"/>
      <c r="H1594" s="241"/>
      <c r="I1594" s="301"/>
      <c r="J1594" s="240"/>
      <c r="K1594" s="240"/>
      <c r="L1594" s="240"/>
      <c r="M1594" s="240"/>
      <c r="N1594" s="240"/>
      <c r="O1594" s="240"/>
      <c r="P1594" s="240"/>
      <c r="Q1594" s="240"/>
      <c r="R1594" s="240"/>
      <c r="S1594" s="240"/>
      <c r="T1594" s="240"/>
      <c r="U1594" s="240"/>
      <c r="V1594" s="240"/>
      <c r="W1594" s="240"/>
      <c r="X1594" s="240"/>
      <c r="Y1594" s="240"/>
      <c r="Z1594" s="240"/>
    </row>
    <row r="1595" ht="14.25" customHeight="1">
      <c r="A1595" s="302">
        <f t="shared" si="4"/>
        <v>47767</v>
      </c>
      <c r="B1595" s="241">
        <f t="shared" si="1"/>
        <v>2030</v>
      </c>
      <c r="C1595" s="241">
        <f t="shared" si="2"/>
        <v>10</v>
      </c>
      <c r="D1595" s="301" t="str">
        <f t="shared" si="3"/>
        <v>Friday</v>
      </c>
      <c r="E1595" s="240"/>
      <c r="F1595" s="240"/>
      <c r="G1595" s="240"/>
      <c r="H1595" s="241"/>
      <c r="I1595" s="301"/>
      <c r="J1595" s="240"/>
      <c r="K1595" s="240"/>
      <c r="L1595" s="240"/>
      <c r="M1595" s="240"/>
      <c r="N1595" s="240"/>
      <c r="O1595" s="240"/>
      <c r="P1595" s="240"/>
      <c r="Q1595" s="240"/>
      <c r="R1595" s="240"/>
      <c r="S1595" s="240"/>
      <c r="T1595" s="240"/>
      <c r="U1595" s="240"/>
      <c r="V1595" s="240"/>
      <c r="W1595" s="240"/>
      <c r="X1595" s="240"/>
      <c r="Y1595" s="240"/>
      <c r="Z1595" s="240"/>
    </row>
    <row r="1596" ht="14.25" customHeight="1">
      <c r="A1596" s="302">
        <f t="shared" si="4"/>
        <v>47768</v>
      </c>
      <c r="B1596" s="241">
        <f t="shared" si="1"/>
        <v>2030</v>
      </c>
      <c r="C1596" s="241">
        <f t="shared" si="2"/>
        <v>10</v>
      </c>
      <c r="D1596" s="301" t="str">
        <f t="shared" si="3"/>
        <v>Saturday</v>
      </c>
      <c r="E1596" s="240"/>
      <c r="F1596" s="240"/>
      <c r="G1596" s="240"/>
      <c r="H1596" s="241"/>
      <c r="I1596" s="301"/>
      <c r="J1596" s="240"/>
      <c r="K1596" s="240"/>
      <c r="L1596" s="240"/>
      <c r="M1596" s="240"/>
      <c r="N1596" s="240"/>
      <c r="O1596" s="240"/>
      <c r="P1596" s="240"/>
      <c r="Q1596" s="240"/>
      <c r="R1596" s="240"/>
      <c r="S1596" s="240"/>
      <c r="T1596" s="240"/>
      <c r="U1596" s="240"/>
      <c r="V1596" s="240"/>
      <c r="W1596" s="240"/>
      <c r="X1596" s="240"/>
      <c r="Y1596" s="240"/>
      <c r="Z1596" s="240"/>
    </row>
    <row r="1597" ht="14.25" customHeight="1">
      <c r="A1597" s="302">
        <f t="shared" si="4"/>
        <v>47769</v>
      </c>
      <c r="B1597" s="241">
        <f t="shared" si="1"/>
        <v>2030</v>
      </c>
      <c r="C1597" s="241">
        <f t="shared" si="2"/>
        <v>10</v>
      </c>
      <c r="D1597" s="301" t="str">
        <f t="shared" si="3"/>
        <v>Sunday</v>
      </c>
      <c r="E1597" s="240"/>
      <c r="F1597" s="240"/>
      <c r="G1597" s="240"/>
      <c r="H1597" s="241"/>
      <c r="I1597" s="301"/>
      <c r="J1597" s="240"/>
      <c r="K1597" s="240"/>
      <c r="L1597" s="240"/>
      <c r="M1597" s="240"/>
      <c r="N1597" s="240"/>
      <c r="O1597" s="240"/>
      <c r="P1597" s="240"/>
      <c r="Q1597" s="240"/>
      <c r="R1597" s="240"/>
      <c r="S1597" s="240"/>
      <c r="T1597" s="240"/>
      <c r="U1597" s="240"/>
      <c r="V1597" s="240"/>
      <c r="W1597" s="240"/>
      <c r="X1597" s="240"/>
      <c r="Y1597" s="240"/>
      <c r="Z1597" s="240"/>
    </row>
    <row r="1598" ht="14.25" customHeight="1">
      <c r="A1598" s="302">
        <f t="shared" si="4"/>
        <v>47770</v>
      </c>
      <c r="B1598" s="241">
        <f t="shared" si="1"/>
        <v>2030</v>
      </c>
      <c r="C1598" s="241">
        <f t="shared" si="2"/>
        <v>10</v>
      </c>
      <c r="D1598" s="301" t="str">
        <f t="shared" si="3"/>
        <v>Monday</v>
      </c>
      <c r="E1598" s="240"/>
      <c r="F1598" s="240"/>
      <c r="G1598" s="240"/>
      <c r="H1598" s="241"/>
      <c r="I1598" s="301"/>
      <c r="J1598" s="240"/>
      <c r="K1598" s="240"/>
      <c r="L1598" s="240"/>
      <c r="M1598" s="240"/>
      <c r="N1598" s="240"/>
      <c r="O1598" s="240"/>
      <c r="P1598" s="240"/>
      <c r="Q1598" s="240"/>
      <c r="R1598" s="240"/>
      <c r="S1598" s="240"/>
      <c r="T1598" s="240"/>
      <c r="U1598" s="240"/>
      <c r="V1598" s="240"/>
      <c r="W1598" s="240"/>
      <c r="X1598" s="240"/>
      <c r="Y1598" s="240"/>
      <c r="Z1598" s="240"/>
    </row>
    <row r="1599" ht="14.25" customHeight="1">
      <c r="A1599" s="302">
        <f t="shared" si="4"/>
        <v>47771</v>
      </c>
      <c r="B1599" s="241">
        <f t="shared" si="1"/>
        <v>2030</v>
      </c>
      <c r="C1599" s="241">
        <f t="shared" si="2"/>
        <v>10</v>
      </c>
      <c r="D1599" s="301" t="str">
        <f t="shared" si="3"/>
        <v>Tuesday</v>
      </c>
      <c r="E1599" s="240"/>
      <c r="F1599" s="240"/>
      <c r="G1599" s="240"/>
      <c r="H1599" s="241"/>
      <c r="I1599" s="301"/>
      <c r="J1599" s="240"/>
      <c r="K1599" s="240"/>
      <c r="L1599" s="240"/>
      <c r="M1599" s="240"/>
      <c r="N1599" s="240"/>
      <c r="O1599" s="240"/>
      <c r="P1599" s="240"/>
      <c r="Q1599" s="240"/>
      <c r="R1599" s="240"/>
      <c r="S1599" s="240"/>
      <c r="T1599" s="240"/>
      <c r="U1599" s="240"/>
      <c r="V1599" s="240"/>
      <c r="W1599" s="240"/>
      <c r="X1599" s="240"/>
      <c r="Y1599" s="240"/>
      <c r="Z1599" s="240"/>
    </row>
    <row r="1600" ht="14.25" customHeight="1">
      <c r="A1600" s="302">
        <f t="shared" si="4"/>
        <v>47772</v>
      </c>
      <c r="B1600" s="241">
        <f t="shared" si="1"/>
        <v>2030</v>
      </c>
      <c r="C1600" s="241">
        <f t="shared" si="2"/>
        <v>10</v>
      </c>
      <c r="D1600" s="301" t="str">
        <f t="shared" si="3"/>
        <v>Wednesday</v>
      </c>
      <c r="E1600" s="240"/>
      <c r="F1600" s="240"/>
      <c r="G1600" s="240"/>
      <c r="H1600" s="241"/>
      <c r="I1600" s="301"/>
      <c r="J1600" s="240"/>
      <c r="K1600" s="240"/>
      <c r="L1600" s="240"/>
      <c r="M1600" s="240"/>
      <c r="N1600" s="240"/>
      <c r="O1600" s="240"/>
      <c r="P1600" s="240"/>
      <c r="Q1600" s="240"/>
      <c r="R1600" s="240"/>
      <c r="S1600" s="240"/>
      <c r="T1600" s="240"/>
      <c r="U1600" s="240"/>
      <c r="V1600" s="240"/>
      <c r="W1600" s="240"/>
      <c r="X1600" s="240"/>
      <c r="Y1600" s="240"/>
      <c r="Z1600" s="240"/>
    </row>
    <row r="1601" ht="14.25" customHeight="1">
      <c r="A1601" s="302">
        <f t="shared" si="4"/>
        <v>47773</v>
      </c>
      <c r="B1601" s="241">
        <f t="shared" si="1"/>
        <v>2030</v>
      </c>
      <c r="C1601" s="241">
        <f t="shared" si="2"/>
        <v>10</v>
      </c>
      <c r="D1601" s="301" t="str">
        <f t="shared" si="3"/>
        <v>Thursday</v>
      </c>
      <c r="E1601" s="240"/>
      <c r="F1601" s="240"/>
      <c r="G1601" s="240"/>
      <c r="H1601" s="241"/>
      <c r="I1601" s="301"/>
      <c r="J1601" s="240"/>
      <c r="K1601" s="240"/>
      <c r="L1601" s="240"/>
      <c r="M1601" s="240"/>
      <c r="N1601" s="240"/>
      <c r="O1601" s="240"/>
      <c r="P1601" s="240"/>
      <c r="Q1601" s="240"/>
      <c r="R1601" s="240"/>
      <c r="S1601" s="240"/>
      <c r="T1601" s="240"/>
      <c r="U1601" s="240"/>
      <c r="V1601" s="240"/>
      <c r="W1601" s="240"/>
      <c r="X1601" s="240"/>
      <c r="Y1601" s="240"/>
      <c r="Z1601" s="240"/>
    </row>
    <row r="1602" ht="14.25" customHeight="1">
      <c r="A1602" s="302">
        <f t="shared" si="4"/>
        <v>47774</v>
      </c>
      <c r="B1602" s="241">
        <f t="shared" si="1"/>
        <v>2030</v>
      </c>
      <c r="C1602" s="241">
        <f t="shared" si="2"/>
        <v>10</v>
      </c>
      <c r="D1602" s="301" t="str">
        <f t="shared" si="3"/>
        <v>Friday</v>
      </c>
      <c r="E1602" s="240"/>
      <c r="F1602" s="240"/>
      <c r="G1602" s="240"/>
      <c r="H1602" s="241"/>
      <c r="I1602" s="301"/>
      <c r="J1602" s="240"/>
      <c r="K1602" s="240"/>
      <c r="L1602" s="240"/>
      <c r="M1602" s="240"/>
      <c r="N1602" s="240"/>
      <c r="O1602" s="240"/>
      <c r="P1602" s="240"/>
      <c r="Q1602" s="240"/>
      <c r="R1602" s="240"/>
      <c r="S1602" s="240"/>
      <c r="T1602" s="240"/>
      <c r="U1602" s="240"/>
      <c r="V1602" s="240"/>
      <c r="W1602" s="240"/>
      <c r="X1602" s="240"/>
      <c r="Y1602" s="240"/>
      <c r="Z1602" s="240"/>
    </row>
    <row r="1603" ht="14.25" customHeight="1">
      <c r="A1603" s="302">
        <f t="shared" si="4"/>
        <v>47775</v>
      </c>
      <c r="B1603" s="241">
        <f t="shared" si="1"/>
        <v>2030</v>
      </c>
      <c r="C1603" s="241">
        <f t="shared" si="2"/>
        <v>10</v>
      </c>
      <c r="D1603" s="301" t="str">
        <f t="shared" si="3"/>
        <v>Saturday</v>
      </c>
      <c r="E1603" s="240"/>
      <c r="F1603" s="240"/>
      <c r="G1603" s="240"/>
      <c r="H1603" s="241"/>
      <c r="I1603" s="301"/>
      <c r="J1603" s="240"/>
      <c r="K1603" s="240"/>
      <c r="L1603" s="240"/>
      <c r="M1603" s="240"/>
      <c r="N1603" s="240"/>
      <c r="O1603" s="240"/>
      <c r="P1603" s="240"/>
      <c r="Q1603" s="240"/>
      <c r="R1603" s="240"/>
      <c r="S1603" s="240"/>
      <c r="T1603" s="240"/>
      <c r="U1603" s="240"/>
      <c r="V1603" s="240"/>
      <c r="W1603" s="240"/>
      <c r="X1603" s="240"/>
      <c r="Y1603" s="240"/>
      <c r="Z1603" s="240"/>
    </row>
    <row r="1604" ht="14.25" customHeight="1">
      <c r="A1604" s="302">
        <f t="shared" si="4"/>
        <v>47776</v>
      </c>
      <c r="B1604" s="241">
        <f t="shared" si="1"/>
        <v>2030</v>
      </c>
      <c r="C1604" s="241">
        <f t="shared" si="2"/>
        <v>10</v>
      </c>
      <c r="D1604" s="301" t="str">
        <f t="shared" si="3"/>
        <v>Sunday</v>
      </c>
      <c r="E1604" s="240"/>
      <c r="F1604" s="240"/>
      <c r="G1604" s="240"/>
      <c r="H1604" s="241"/>
      <c r="I1604" s="301"/>
      <c r="J1604" s="240"/>
      <c r="K1604" s="240"/>
      <c r="L1604" s="240"/>
      <c r="M1604" s="240"/>
      <c r="N1604" s="240"/>
      <c r="O1604" s="240"/>
      <c r="P1604" s="240"/>
      <c r="Q1604" s="240"/>
      <c r="R1604" s="240"/>
      <c r="S1604" s="240"/>
      <c r="T1604" s="240"/>
      <c r="U1604" s="240"/>
      <c r="V1604" s="240"/>
      <c r="W1604" s="240"/>
      <c r="X1604" s="240"/>
      <c r="Y1604" s="240"/>
      <c r="Z1604" s="240"/>
    </row>
    <row r="1605" ht="14.25" customHeight="1">
      <c r="A1605" s="302">
        <f t="shared" si="4"/>
        <v>47777</v>
      </c>
      <c r="B1605" s="241">
        <f t="shared" si="1"/>
        <v>2030</v>
      </c>
      <c r="C1605" s="241">
        <f t="shared" si="2"/>
        <v>10</v>
      </c>
      <c r="D1605" s="301" t="str">
        <f t="shared" si="3"/>
        <v>Monday</v>
      </c>
      <c r="E1605" s="240"/>
      <c r="F1605" s="240"/>
      <c r="G1605" s="240"/>
      <c r="H1605" s="241"/>
      <c r="I1605" s="301"/>
      <c r="J1605" s="240"/>
      <c r="K1605" s="240"/>
      <c r="L1605" s="240"/>
      <c r="M1605" s="240"/>
      <c r="N1605" s="240"/>
      <c r="O1605" s="240"/>
      <c r="P1605" s="240"/>
      <c r="Q1605" s="240"/>
      <c r="R1605" s="240"/>
      <c r="S1605" s="240"/>
      <c r="T1605" s="240"/>
      <c r="U1605" s="240"/>
      <c r="V1605" s="240"/>
      <c r="W1605" s="240"/>
      <c r="X1605" s="240"/>
      <c r="Y1605" s="240"/>
      <c r="Z1605" s="240"/>
    </row>
    <row r="1606" ht="14.25" customHeight="1">
      <c r="A1606" s="302">
        <f t="shared" si="4"/>
        <v>47778</v>
      </c>
      <c r="B1606" s="241">
        <f t="shared" si="1"/>
        <v>2030</v>
      </c>
      <c r="C1606" s="241">
        <f t="shared" si="2"/>
        <v>10</v>
      </c>
      <c r="D1606" s="301" t="str">
        <f t="shared" si="3"/>
        <v>Tuesday</v>
      </c>
      <c r="E1606" s="240"/>
      <c r="F1606" s="240"/>
      <c r="G1606" s="240"/>
      <c r="H1606" s="241"/>
      <c r="I1606" s="301"/>
      <c r="J1606" s="240"/>
      <c r="K1606" s="240"/>
      <c r="L1606" s="240"/>
      <c r="M1606" s="240"/>
      <c r="N1606" s="240"/>
      <c r="O1606" s="240"/>
      <c r="P1606" s="240"/>
      <c r="Q1606" s="240"/>
      <c r="R1606" s="240"/>
      <c r="S1606" s="240"/>
      <c r="T1606" s="240"/>
      <c r="U1606" s="240"/>
      <c r="V1606" s="240"/>
      <c r="W1606" s="240"/>
      <c r="X1606" s="240"/>
      <c r="Y1606" s="240"/>
      <c r="Z1606" s="240"/>
    </row>
    <row r="1607" ht="14.25" customHeight="1">
      <c r="A1607" s="302">
        <f t="shared" si="4"/>
        <v>47779</v>
      </c>
      <c r="B1607" s="241">
        <f t="shared" si="1"/>
        <v>2030</v>
      </c>
      <c r="C1607" s="241">
        <f t="shared" si="2"/>
        <v>10</v>
      </c>
      <c r="D1607" s="301" t="str">
        <f t="shared" si="3"/>
        <v>Wednesday</v>
      </c>
      <c r="E1607" s="240"/>
      <c r="F1607" s="240"/>
      <c r="G1607" s="240"/>
      <c r="H1607" s="241"/>
      <c r="I1607" s="301"/>
      <c r="J1607" s="240"/>
      <c r="K1607" s="240"/>
      <c r="L1607" s="240"/>
      <c r="M1607" s="240"/>
      <c r="N1607" s="240"/>
      <c r="O1607" s="240"/>
      <c r="P1607" s="240"/>
      <c r="Q1607" s="240"/>
      <c r="R1607" s="240"/>
      <c r="S1607" s="240"/>
      <c r="T1607" s="240"/>
      <c r="U1607" s="240"/>
      <c r="V1607" s="240"/>
      <c r="W1607" s="240"/>
      <c r="X1607" s="240"/>
      <c r="Y1607" s="240"/>
      <c r="Z1607" s="240"/>
    </row>
    <row r="1608" ht="14.25" customHeight="1">
      <c r="A1608" s="302">
        <f t="shared" si="4"/>
        <v>47780</v>
      </c>
      <c r="B1608" s="241">
        <f t="shared" si="1"/>
        <v>2030</v>
      </c>
      <c r="C1608" s="241">
        <f t="shared" si="2"/>
        <v>10</v>
      </c>
      <c r="D1608" s="301" t="str">
        <f t="shared" si="3"/>
        <v>Thursday</v>
      </c>
      <c r="E1608" s="240"/>
      <c r="F1608" s="240"/>
      <c r="G1608" s="240"/>
      <c r="H1608" s="241"/>
      <c r="I1608" s="301"/>
      <c r="J1608" s="240"/>
      <c r="K1608" s="240"/>
      <c r="L1608" s="240"/>
      <c r="M1608" s="240"/>
      <c r="N1608" s="240"/>
      <c r="O1608" s="240"/>
      <c r="P1608" s="240"/>
      <c r="Q1608" s="240"/>
      <c r="R1608" s="240"/>
      <c r="S1608" s="240"/>
      <c r="T1608" s="240"/>
      <c r="U1608" s="240"/>
      <c r="V1608" s="240"/>
      <c r="W1608" s="240"/>
      <c r="X1608" s="240"/>
      <c r="Y1608" s="240"/>
      <c r="Z1608" s="240"/>
    </row>
    <row r="1609" ht="14.25" customHeight="1">
      <c r="A1609" s="302">
        <f t="shared" si="4"/>
        <v>47781</v>
      </c>
      <c r="B1609" s="241">
        <f t="shared" si="1"/>
        <v>2030</v>
      </c>
      <c r="C1609" s="241">
        <f t="shared" si="2"/>
        <v>10</v>
      </c>
      <c r="D1609" s="301" t="str">
        <f t="shared" si="3"/>
        <v>Friday</v>
      </c>
      <c r="E1609" s="240"/>
      <c r="F1609" s="240"/>
      <c r="G1609" s="240"/>
      <c r="H1609" s="241"/>
      <c r="I1609" s="301"/>
      <c r="J1609" s="240"/>
      <c r="K1609" s="240"/>
      <c r="L1609" s="240"/>
      <c r="M1609" s="240"/>
      <c r="N1609" s="240"/>
      <c r="O1609" s="240"/>
      <c r="P1609" s="240"/>
      <c r="Q1609" s="240"/>
      <c r="R1609" s="240"/>
      <c r="S1609" s="240"/>
      <c r="T1609" s="240"/>
      <c r="U1609" s="240"/>
      <c r="V1609" s="240"/>
      <c r="W1609" s="240"/>
      <c r="X1609" s="240"/>
      <c r="Y1609" s="240"/>
      <c r="Z1609" s="240"/>
    </row>
    <row r="1610" ht="14.25" customHeight="1">
      <c r="A1610" s="302">
        <f t="shared" si="4"/>
        <v>47782</v>
      </c>
      <c r="B1610" s="241">
        <f t="shared" si="1"/>
        <v>2030</v>
      </c>
      <c r="C1610" s="241">
        <f t="shared" si="2"/>
        <v>10</v>
      </c>
      <c r="D1610" s="301" t="str">
        <f t="shared" si="3"/>
        <v>Saturday</v>
      </c>
      <c r="E1610" s="240"/>
      <c r="F1610" s="240"/>
      <c r="G1610" s="240"/>
      <c r="H1610" s="241"/>
      <c r="I1610" s="301"/>
      <c r="J1610" s="240"/>
      <c r="K1610" s="240"/>
      <c r="L1610" s="240"/>
      <c r="M1610" s="240"/>
      <c r="N1610" s="240"/>
      <c r="O1610" s="240"/>
      <c r="P1610" s="240"/>
      <c r="Q1610" s="240"/>
      <c r="R1610" s="240"/>
      <c r="S1610" s="240"/>
      <c r="T1610" s="240"/>
      <c r="U1610" s="240"/>
      <c r="V1610" s="240"/>
      <c r="W1610" s="240"/>
      <c r="X1610" s="240"/>
      <c r="Y1610" s="240"/>
      <c r="Z1610" s="240"/>
    </row>
    <row r="1611" ht="14.25" customHeight="1">
      <c r="A1611" s="302">
        <f t="shared" si="4"/>
        <v>47783</v>
      </c>
      <c r="B1611" s="241">
        <f t="shared" si="1"/>
        <v>2030</v>
      </c>
      <c r="C1611" s="241">
        <f t="shared" si="2"/>
        <v>10</v>
      </c>
      <c r="D1611" s="301" t="str">
        <f t="shared" si="3"/>
        <v>Sunday</v>
      </c>
      <c r="E1611" s="240"/>
      <c r="F1611" s="240"/>
      <c r="G1611" s="240"/>
      <c r="H1611" s="241"/>
      <c r="I1611" s="301"/>
      <c r="J1611" s="240"/>
      <c r="K1611" s="240"/>
      <c r="L1611" s="240"/>
      <c r="M1611" s="240"/>
      <c r="N1611" s="240"/>
      <c r="O1611" s="240"/>
      <c r="P1611" s="240"/>
      <c r="Q1611" s="240"/>
      <c r="R1611" s="240"/>
      <c r="S1611" s="240"/>
      <c r="T1611" s="240"/>
      <c r="U1611" s="240"/>
      <c r="V1611" s="240"/>
      <c r="W1611" s="240"/>
      <c r="X1611" s="240"/>
      <c r="Y1611" s="240"/>
      <c r="Z1611" s="240"/>
    </row>
    <row r="1612" ht="14.25" customHeight="1">
      <c r="A1612" s="302">
        <f t="shared" si="4"/>
        <v>47784</v>
      </c>
      <c r="B1612" s="241">
        <f t="shared" si="1"/>
        <v>2030</v>
      </c>
      <c r="C1612" s="241">
        <f t="shared" si="2"/>
        <v>10</v>
      </c>
      <c r="D1612" s="301" t="str">
        <f t="shared" si="3"/>
        <v>Monday</v>
      </c>
      <c r="E1612" s="240"/>
      <c r="F1612" s="240"/>
      <c r="G1612" s="240"/>
      <c r="H1612" s="241"/>
      <c r="I1612" s="301"/>
      <c r="J1612" s="240"/>
      <c r="K1612" s="240"/>
      <c r="L1612" s="240"/>
      <c r="M1612" s="240"/>
      <c r="N1612" s="240"/>
      <c r="O1612" s="240"/>
      <c r="P1612" s="240"/>
      <c r="Q1612" s="240"/>
      <c r="R1612" s="240"/>
      <c r="S1612" s="240"/>
      <c r="T1612" s="240"/>
      <c r="U1612" s="240"/>
      <c r="V1612" s="240"/>
      <c r="W1612" s="240"/>
      <c r="X1612" s="240"/>
      <c r="Y1612" s="240"/>
      <c r="Z1612" s="240"/>
    </row>
    <row r="1613" ht="14.25" customHeight="1">
      <c r="A1613" s="302">
        <f t="shared" si="4"/>
        <v>47785</v>
      </c>
      <c r="B1613" s="241">
        <f t="shared" si="1"/>
        <v>2030</v>
      </c>
      <c r="C1613" s="241">
        <f t="shared" si="2"/>
        <v>10</v>
      </c>
      <c r="D1613" s="301" t="str">
        <f t="shared" si="3"/>
        <v>Tuesday</v>
      </c>
      <c r="E1613" s="240"/>
      <c r="F1613" s="240"/>
      <c r="G1613" s="240"/>
      <c r="H1613" s="241"/>
      <c r="I1613" s="301"/>
      <c r="J1613" s="240"/>
      <c r="K1613" s="240"/>
      <c r="L1613" s="240"/>
      <c r="M1613" s="240"/>
      <c r="N1613" s="240"/>
      <c r="O1613" s="240"/>
      <c r="P1613" s="240"/>
      <c r="Q1613" s="240"/>
      <c r="R1613" s="240"/>
      <c r="S1613" s="240"/>
      <c r="T1613" s="240"/>
      <c r="U1613" s="240"/>
      <c r="V1613" s="240"/>
      <c r="W1613" s="240"/>
      <c r="X1613" s="240"/>
      <c r="Y1613" s="240"/>
      <c r="Z1613" s="240"/>
    </row>
    <row r="1614" ht="14.25" customHeight="1">
      <c r="A1614" s="302">
        <f t="shared" si="4"/>
        <v>47786</v>
      </c>
      <c r="B1614" s="241">
        <f t="shared" si="1"/>
        <v>2030</v>
      </c>
      <c r="C1614" s="241">
        <f t="shared" si="2"/>
        <v>10</v>
      </c>
      <c r="D1614" s="301" t="str">
        <f t="shared" si="3"/>
        <v>Wednesday</v>
      </c>
      <c r="E1614" s="240"/>
      <c r="F1614" s="240"/>
      <c r="G1614" s="240"/>
      <c r="H1614" s="241"/>
      <c r="I1614" s="301"/>
      <c r="J1614" s="240"/>
      <c r="K1614" s="240"/>
      <c r="L1614" s="240"/>
      <c r="M1614" s="240"/>
      <c r="N1614" s="240"/>
      <c r="O1614" s="240"/>
      <c r="P1614" s="240"/>
      <c r="Q1614" s="240"/>
      <c r="R1614" s="240"/>
      <c r="S1614" s="240"/>
      <c r="T1614" s="240"/>
      <c r="U1614" s="240"/>
      <c r="V1614" s="240"/>
      <c r="W1614" s="240"/>
      <c r="X1614" s="240"/>
      <c r="Y1614" s="240"/>
      <c r="Z1614" s="240"/>
    </row>
    <row r="1615" ht="14.25" customHeight="1">
      <c r="A1615" s="302">
        <f t="shared" si="4"/>
        <v>47787</v>
      </c>
      <c r="B1615" s="241">
        <f t="shared" si="1"/>
        <v>2030</v>
      </c>
      <c r="C1615" s="241">
        <f t="shared" si="2"/>
        <v>10</v>
      </c>
      <c r="D1615" s="301" t="str">
        <f t="shared" si="3"/>
        <v>Thursday</v>
      </c>
      <c r="E1615" s="240"/>
      <c r="F1615" s="240"/>
      <c r="G1615" s="240"/>
      <c r="H1615" s="241"/>
      <c r="I1615" s="301"/>
      <c r="J1615" s="240"/>
      <c r="K1615" s="240"/>
      <c r="L1615" s="240"/>
      <c r="M1615" s="240"/>
      <c r="N1615" s="240"/>
      <c r="O1615" s="240"/>
      <c r="P1615" s="240"/>
      <c r="Q1615" s="240"/>
      <c r="R1615" s="240"/>
      <c r="S1615" s="240"/>
      <c r="T1615" s="240"/>
      <c r="U1615" s="240"/>
      <c r="V1615" s="240"/>
      <c r="W1615" s="240"/>
      <c r="X1615" s="240"/>
      <c r="Y1615" s="240"/>
      <c r="Z1615" s="240"/>
    </row>
    <row r="1616" ht="14.25" customHeight="1">
      <c r="A1616" s="302">
        <f t="shared" si="4"/>
        <v>47788</v>
      </c>
      <c r="B1616" s="241">
        <f t="shared" si="1"/>
        <v>2030</v>
      </c>
      <c r="C1616" s="241">
        <f t="shared" si="2"/>
        <v>11</v>
      </c>
      <c r="D1616" s="301" t="str">
        <f t="shared" si="3"/>
        <v>Friday</v>
      </c>
      <c r="E1616" s="240"/>
      <c r="F1616" s="240"/>
      <c r="G1616" s="240"/>
      <c r="H1616" s="241"/>
      <c r="I1616" s="301"/>
      <c r="J1616" s="240"/>
      <c r="K1616" s="240"/>
      <c r="L1616" s="240"/>
      <c r="M1616" s="240"/>
      <c r="N1616" s="240"/>
      <c r="O1616" s="240"/>
      <c r="P1616" s="240"/>
      <c r="Q1616" s="240"/>
      <c r="R1616" s="240"/>
      <c r="S1616" s="240"/>
      <c r="T1616" s="240"/>
      <c r="U1616" s="240"/>
      <c r="V1616" s="240"/>
      <c r="W1616" s="240"/>
      <c r="X1616" s="240"/>
      <c r="Y1616" s="240"/>
      <c r="Z1616" s="240"/>
    </row>
    <row r="1617" ht="14.25" customHeight="1">
      <c r="A1617" s="302">
        <f t="shared" si="4"/>
        <v>47789</v>
      </c>
      <c r="B1617" s="241">
        <f t="shared" si="1"/>
        <v>2030</v>
      </c>
      <c r="C1617" s="241">
        <f t="shared" si="2"/>
        <v>11</v>
      </c>
      <c r="D1617" s="301" t="str">
        <f t="shared" si="3"/>
        <v>Saturday</v>
      </c>
      <c r="E1617" s="240"/>
      <c r="F1617" s="240"/>
      <c r="G1617" s="240"/>
      <c r="H1617" s="241"/>
      <c r="I1617" s="301"/>
      <c r="J1617" s="240"/>
      <c r="K1617" s="240"/>
      <c r="L1617" s="240"/>
      <c r="M1617" s="240"/>
      <c r="N1617" s="240"/>
      <c r="O1617" s="240"/>
      <c r="P1617" s="240"/>
      <c r="Q1617" s="240"/>
      <c r="R1617" s="240"/>
      <c r="S1617" s="240"/>
      <c r="T1617" s="240"/>
      <c r="U1617" s="240"/>
      <c r="V1617" s="240"/>
      <c r="W1617" s="240"/>
      <c r="X1617" s="240"/>
      <c r="Y1617" s="240"/>
      <c r="Z1617" s="240"/>
    </row>
    <row r="1618" ht="14.25" customHeight="1">
      <c r="A1618" s="302">
        <f t="shared" si="4"/>
        <v>47790</v>
      </c>
      <c r="B1618" s="241">
        <f t="shared" si="1"/>
        <v>2030</v>
      </c>
      <c r="C1618" s="241">
        <f t="shared" si="2"/>
        <v>11</v>
      </c>
      <c r="D1618" s="301" t="str">
        <f t="shared" si="3"/>
        <v>Sunday</v>
      </c>
      <c r="E1618" s="240"/>
      <c r="F1618" s="240"/>
      <c r="G1618" s="240"/>
      <c r="H1618" s="241"/>
      <c r="I1618" s="301"/>
      <c r="J1618" s="240"/>
      <c r="K1618" s="240"/>
      <c r="L1618" s="240"/>
      <c r="M1618" s="240"/>
      <c r="N1618" s="240"/>
      <c r="O1618" s="240"/>
      <c r="P1618" s="240"/>
      <c r="Q1618" s="240"/>
      <c r="R1618" s="240"/>
      <c r="S1618" s="240"/>
      <c r="T1618" s="240"/>
      <c r="U1618" s="240"/>
      <c r="V1618" s="240"/>
      <c r="W1618" s="240"/>
      <c r="X1618" s="240"/>
      <c r="Y1618" s="240"/>
      <c r="Z1618" s="240"/>
    </row>
    <row r="1619" ht="14.25" customHeight="1">
      <c r="A1619" s="302">
        <f t="shared" si="4"/>
        <v>47791</v>
      </c>
      <c r="B1619" s="241">
        <f t="shared" si="1"/>
        <v>2030</v>
      </c>
      <c r="C1619" s="241">
        <f t="shared" si="2"/>
        <v>11</v>
      </c>
      <c r="D1619" s="301" t="str">
        <f t="shared" si="3"/>
        <v>Monday</v>
      </c>
      <c r="E1619" s="240"/>
      <c r="F1619" s="240"/>
      <c r="G1619" s="240"/>
      <c r="H1619" s="241"/>
      <c r="I1619" s="301"/>
      <c r="J1619" s="240"/>
      <c r="K1619" s="240"/>
      <c r="L1619" s="240"/>
      <c r="M1619" s="240"/>
      <c r="N1619" s="240"/>
      <c r="O1619" s="240"/>
      <c r="P1619" s="240"/>
      <c r="Q1619" s="240"/>
      <c r="R1619" s="240"/>
      <c r="S1619" s="240"/>
      <c r="T1619" s="240"/>
      <c r="U1619" s="240"/>
      <c r="V1619" s="240"/>
      <c r="W1619" s="240"/>
      <c r="X1619" s="240"/>
      <c r="Y1619" s="240"/>
      <c r="Z1619" s="240"/>
    </row>
    <row r="1620" ht="14.25" customHeight="1">
      <c r="A1620" s="302">
        <f t="shared" si="4"/>
        <v>47792</v>
      </c>
      <c r="B1620" s="241">
        <f t="shared" si="1"/>
        <v>2030</v>
      </c>
      <c r="C1620" s="241">
        <f t="shared" si="2"/>
        <v>11</v>
      </c>
      <c r="D1620" s="301" t="str">
        <f t="shared" si="3"/>
        <v>Tuesday</v>
      </c>
      <c r="E1620" s="240"/>
      <c r="F1620" s="240"/>
      <c r="G1620" s="240"/>
      <c r="H1620" s="241"/>
      <c r="I1620" s="301"/>
      <c r="J1620" s="240"/>
      <c r="K1620" s="240"/>
      <c r="L1620" s="240"/>
      <c r="M1620" s="240"/>
      <c r="N1620" s="240"/>
      <c r="O1620" s="240"/>
      <c r="P1620" s="240"/>
      <c r="Q1620" s="240"/>
      <c r="R1620" s="240"/>
      <c r="S1620" s="240"/>
      <c r="T1620" s="240"/>
      <c r="U1620" s="240"/>
      <c r="V1620" s="240"/>
      <c r="W1620" s="240"/>
      <c r="X1620" s="240"/>
      <c r="Y1620" s="240"/>
      <c r="Z1620" s="240"/>
    </row>
    <row r="1621" ht="14.25" customHeight="1">
      <c r="A1621" s="302">
        <f t="shared" si="4"/>
        <v>47793</v>
      </c>
      <c r="B1621" s="241">
        <f t="shared" si="1"/>
        <v>2030</v>
      </c>
      <c r="C1621" s="241">
        <f t="shared" si="2"/>
        <v>11</v>
      </c>
      <c r="D1621" s="301" t="str">
        <f t="shared" si="3"/>
        <v>Wednesday</v>
      </c>
      <c r="E1621" s="240"/>
      <c r="F1621" s="240"/>
      <c r="G1621" s="240"/>
      <c r="H1621" s="241"/>
      <c r="I1621" s="301"/>
      <c r="J1621" s="240"/>
      <c r="K1621" s="240"/>
      <c r="L1621" s="240"/>
      <c r="M1621" s="240"/>
      <c r="N1621" s="240"/>
      <c r="O1621" s="240"/>
      <c r="P1621" s="240"/>
      <c r="Q1621" s="240"/>
      <c r="R1621" s="240"/>
      <c r="S1621" s="240"/>
      <c r="T1621" s="240"/>
      <c r="U1621" s="240"/>
      <c r="V1621" s="240"/>
      <c r="W1621" s="240"/>
      <c r="X1621" s="240"/>
      <c r="Y1621" s="240"/>
      <c r="Z1621" s="240"/>
    </row>
    <row r="1622" ht="14.25" customHeight="1">
      <c r="A1622" s="302">
        <f t="shared" si="4"/>
        <v>47794</v>
      </c>
      <c r="B1622" s="241">
        <f t="shared" si="1"/>
        <v>2030</v>
      </c>
      <c r="C1622" s="241">
        <f t="shared" si="2"/>
        <v>11</v>
      </c>
      <c r="D1622" s="301" t="str">
        <f t="shared" si="3"/>
        <v>Thursday</v>
      </c>
      <c r="E1622" s="240"/>
      <c r="F1622" s="240"/>
      <c r="G1622" s="240"/>
      <c r="H1622" s="241"/>
      <c r="I1622" s="301"/>
      <c r="J1622" s="240"/>
      <c r="K1622" s="240"/>
      <c r="L1622" s="240"/>
      <c r="M1622" s="240"/>
      <c r="N1622" s="240"/>
      <c r="O1622" s="240"/>
      <c r="P1622" s="240"/>
      <c r="Q1622" s="240"/>
      <c r="R1622" s="240"/>
      <c r="S1622" s="240"/>
      <c r="T1622" s="240"/>
      <c r="U1622" s="240"/>
      <c r="V1622" s="240"/>
      <c r="W1622" s="240"/>
      <c r="X1622" s="240"/>
      <c r="Y1622" s="240"/>
      <c r="Z1622" s="240"/>
    </row>
    <row r="1623" ht="14.25" customHeight="1">
      <c r="A1623" s="302">
        <f t="shared" si="4"/>
        <v>47795</v>
      </c>
      <c r="B1623" s="241">
        <f t="shared" si="1"/>
        <v>2030</v>
      </c>
      <c r="C1623" s="241">
        <f t="shared" si="2"/>
        <v>11</v>
      </c>
      <c r="D1623" s="301" t="str">
        <f t="shared" si="3"/>
        <v>Friday</v>
      </c>
      <c r="E1623" s="240"/>
      <c r="F1623" s="240"/>
      <c r="G1623" s="240"/>
      <c r="H1623" s="241"/>
      <c r="I1623" s="301"/>
      <c r="J1623" s="240"/>
      <c r="K1623" s="240"/>
      <c r="L1623" s="240"/>
      <c r="M1623" s="240"/>
      <c r="N1623" s="240"/>
      <c r="O1623" s="240"/>
      <c r="P1623" s="240"/>
      <c r="Q1623" s="240"/>
      <c r="R1623" s="240"/>
      <c r="S1623" s="240"/>
      <c r="T1623" s="240"/>
      <c r="U1623" s="240"/>
      <c r="V1623" s="240"/>
      <c r="W1623" s="240"/>
      <c r="X1623" s="240"/>
      <c r="Y1623" s="240"/>
      <c r="Z1623" s="240"/>
    </row>
    <row r="1624" ht="14.25" customHeight="1">
      <c r="A1624" s="302">
        <f t="shared" si="4"/>
        <v>47796</v>
      </c>
      <c r="B1624" s="241">
        <f t="shared" si="1"/>
        <v>2030</v>
      </c>
      <c r="C1624" s="241">
        <f t="shared" si="2"/>
        <v>11</v>
      </c>
      <c r="D1624" s="301" t="str">
        <f t="shared" si="3"/>
        <v>Saturday</v>
      </c>
      <c r="E1624" s="240"/>
      <c r="F1624" s="240"/>
      <c r="G1624" s="240"/>
      <c r="H1624" s="241"/>
      <c r="I1624" s="301"/>
      <c r="J1624" s="240"/>
      <c r="K1624" s="240"/>
      <c r="L1624" s="240"/>
      <c r="M1624" s="240"/>
      <c r="N1624" s="240"/>
      <c r="O1624" s="240"/>
      <c r="P1624" s="240"/>
      <c r="Q1624" s="240"/>
      <c r="R1624" s="240"/>
      <c r="S1624" s="240"/>
      <c r="T1624" s="240"/>
      <c r="U1624" s="240"/>
      <c r="V1624" s="240"/>
      <c r="W1624" s="240"/>
      <c r="X1624" s="240"/>
      <c r="Y1624" s="240"/>
      <c r="Z1624" s="240"/>
    </row>
    <row r="1625" ht="14.25" customHeight="1">
      <c r="A1625" s="302">
        <f t="shared" si="4"/>
        <v>47797</v>
      </c>
      <c r="B1625" s="241">
        <f t="shared" si="1"/>
        <v>2030</v>
      </c>
      <c r="C1625" s="241">
        <f t="shared" si="2"/>
        <v>11</v>
      </c>
      <c r="D1625" s="301" t="str">
        <f t="shared" si="3"/>
        <v>Sunday</v>
      </c>
      <c r="E1625" s="240"/>
      <c r="F1625" s="240"/>
      <c r="G1625" s="240"/>
      <c r="H1625" s="241"/>
      <c r="I1625" s="301"/>
      <c r="J1625" s="240"/>
      <c r="K1625" s="240"/>
      <c r="L1625" s="240"/>
      <c r="M1625" s="240"/>
      <c r="N1625" s="240"/>
      <c r="O1625" s="240"/>
      <c r="P1625" s="240"/>
      <c r="Q1625" s="240"/>
      <c r="R1625" s="240"/>
      <c r="S1625" s="240"/>
      <c r="T1625" s="240"/>
      <c r="U1625" s="240"/>
      <c r="V1625" s="240"/>
      <c r="W1625" s="240"/>
      <c r="X1625" s="240"/>
      <c r="Y1625" s="240"/>
      <c r="Z1625" s="240"/>
    </row>
    <row r="1626" ht="14.25" customHeight="1">
      <c r="A1626" s="302">
        <f t="shared" si="4"/>
        <v>47798</v>
      </c>
      <c r="B1626" s="241">
        <f t="shared" si="1"/>
        <v>2030</v>
      </c>
      <c r="C1626" s="241">
        <f t="shared" si="2"/>
        <v>11</v>
      </c>
      <c r="D1626" s="301" t="str">
        <f t="shared" si="3"/>
        <v>Monday</v>
      </c>
      <c r="E1626" s="240"/>
      <c r="F1626" s="240"/>
      <c r="G1626" s="240"/>
      <c r="H1626" s="241"/>
      <c r="I1626" s="301"/>
      <c r="J1626" s="240"/>
      <c r="K1626" s="240"/>
      <c r="L1626" s="240"/>
      <c r="M1626" s="240"/>
      <c r="N1626" s="240"/>
      <c r="O1626" s="240"/>
      <c r="P1626" s="240"/>
      <c r="Q1626" s="240"/>
      <c r="R1626" s="240"/>
      <c r="S1626" s="240"/>
      <c r="T1626" s="240"/>
      <c r="U1626" s="240"/>
      <c r="V1626" s="240"/>
      <c r="W1626" s="240"/>
      <c r="X1626" s="240"/>
      <c r="Y1626" s="240"/>
      <c r="Z1626" s="240"/>
    </row>
    <row r="1627" ht="14.25" customHeight="1">
      <c r="A1627" s="302">
        <f t="shared" si="4"/>
        <v>47799</v>
      </c>
      <c r="B1627" s="241">
        <f t="shared" si="1"/>
        <v>2030</v>
      </c>
      <c r="C1627" s="241">
        <f t="shared" si="2"/>
        <v>11</v>
      </c>
      <c r="D1627" s="301" t="str">
        <f t="shared" si="3"/>
        <v>Tuesday</v>
      </c>
      <c r="E1627" s="240"/>
      <c r="F1627" s="240"/>
      <c r="G1627" s="240"/>
      <c r="H1627" s="241"/>
      <c r="I1627" s="301"/>
      <c r="J1627" s="240"/>
      <c r="K1627" s="240"/>
      <c r="L1627" s="240"/>
      <c r="M1627" s="240"/>
      <c r="N1627" s="240"/>
      <c r="O1627" s="240"/>
      <c r="P1627" s="240"/>
      <c r="Q1627" s="240"/>
      <c r="R1627" s="240"/>
      <c r="S1627" s="240"/>
      <c r="T1627" s="240"/>
      <c r="U1627" s="240"/>
      <c r="V1627" s="240"/>
      <c r="W1627" s="240"/>
      <c r="X1627" s="240"/>
      <c r="Y1627" s="240"/>
      <c r="Z1627" s="240"/>
    </row>
    <row r="1628" ht="14.25" customHeight="1">
      <c r="A1628" s="302">
        <f t="shared" si="4"/>
        <v>47800</v>
      </c>
      <c r="B1628" s="241">
        <f t="shared" si="1"/>
        <v>2030</v>
      </c>
      <c r="C1628" s="241">
        <f t="shared" si="2"/>
        <v>11</v>
      </c>
      <c r="D1628" s="301" t="str">
        <f t="shared" si="3"/>
        <v>Wednesday</v>
      </c>
      <c r="E1628" s="240"/>
      <c r="F1628" s="240"/>
      <c r="G1628" s="240"/>
      <c r="H1628" s="241"/>
      <c r="I1628" s="301"/>
      <c r="J1628" s="240"/>
      <c r="K1628" s="240"/>
      <c r="L1628" s="240"/>
      <c r="M1628" s="240"/>
      <c r="N1628" s="240"/>
      <c r="O1628" s="240"/>
      <c r="P1628" s="240"/>
      <c r="Q1628" s="240"/>
      <c r="R1628" s="240"/>
      <c r="S1628" s="240"/>
      <c r="T1628" s="240"/>
      <c r="U1628" s="240"/>
      <c r="V1628" s="240"/>
      <c r="W1628" s="240"/>
      <c r="X1628" s="240"/>
      <c r="Y1628" s="240"/>
      <c r="Z1628" s="240"/>
    </row>
    <row r="1629" ht="14.25" customHeight="1">
      <c r="A1629" s="302">
        <f t="shared" si="4"/>
        <v>47801</v>
      </c>
      <c r="B1629" s="241">
        <f t="shared" si="1"/>
        <v>2030</v>
      </c>
      <c r="C1629" s="241">
        <f t="shared" si="2"/>
        <v>11</v>
      </c>
      <c r="D1629" s="301" t="str">
        <f t="shared" si="3"/>
        <v>Thursday</v>
      </c>
      <c r="E1629" s="240"/>
      <c r="F1629" s="240"/>
      <c r="G1629" s="240"/>
      <c r="H1629" s="241"/>
      <c r="I1629" s="301"/>
      <c r="J1629" s="240"/>
      <c r="K1629" s="240"/>
      <c r="L1629" s="240"/>
      <c r="M1629" s="240"/>
      <c r="N1629" s="240"/>
      <c r="O1629" s="240"/>
      <c r="P1629" s="240"/>
      <c r="Q1629" s="240"/>
      <c r="R1629" s="240"/>
      <c r="S1629" s="240"/>
      <c r="T1629" s="240"/>
      <c r="U1629" s="240"/>
      <c r="V1629" s="240"/>
      <c r="W1629" s="240"/>
      <c r="X1629" s="240"/>
      <c r="Y1629" s="240"/>
      <c r="Z1629" s="240"/>
    </row>
    <row r="1630" ht="14.25" customHeight="1">
      <c r="A1630" s="302">
        <f t="shared" si="4"/>
        <v>47802</v>
      </c>
      <c r="B1630" s="241">
        <f t="shared" si="1"/>
        <v>2030</v>
      </c>
      <c r="C1630" s="241">
        <f t="shared" si="2"/>
        <v>11</v>
      </c>
      <c r="D1630" s="301" t="str">
        <f t="shared" si="3"/>
        <v>Friday</v>
      </c>
      <c r="E1630" s="240"/>
      <c r="F1630" s="240"/>
      <c r="G1630" s="240"/>
      <c r="H1630" s="241"/>
      <c r="I1630" s="301"/>
      <c r="J1630" s="240"/>
      <c r="K1630" s="240"/>
      <c r="L1630" s="240"/>
      <c r="M1630" s="240"/>
      <c r="N1630" s="240"/>
      <c r="O1630" s="240"/>
      <c r="P1630" s="240"/>
      <c r="Q1630" s="240"/>
      <c r="R1630" s="240"/>
      <c r="S1630" s="240"/>
      <c r="T1630" s="240"/>
      <c r="U1630" s="240"/>
      <c r="V1630" s="240"/>
      <c r="W1630" s="240"/>
      <c r="X1630" s="240"/>
      <c r="Y1630" s="240"/>
      <c r="Z1630" s="240"/>
    </row>
    <row r="1631" ht="14.25" customHeight="1">
      <c r="A1631" s="302">
        <f t="shared" si="4"/>
        <v>47803</v>
      </c>
      <c r="B1631" s="241">
        <f t="shared" si="1"/>
        <v>2030</v>
      </c>
      <c r="C1631" s="241">
        <f t="shared" si="2"/>
        <v>11</v>
      </c>
      <c r="D1631" s="301" t="str">
        <f t="shared" si="3"/>
        <v>Saturday</v>
      </c>
      <c r="E1631" s="240"/>
      <c r="F1631" s="240"/>
      <c r="G1631" s="240"/>
      <c r="H1631" s="241"/>
      <c r="I1631" s="301"/>
      <c r="J1631" s="240"/>
      <c r="K1631" s="240"/>
      <c r="L1631" s="240"/>
      <c r="M1631" s="240"/>
      <c r="N1631" s="240"/>
      <c r="O1631" s="240"/>
      <c r="P1631" s="240"/>
      <c r="Q1631" s="240"/>
      <c r="R1631" s="240"/>
      <c r="S1631" s="240"/>
      <c r="T1631" s="240"/>
      <c r="U1631" s="240"/>
      <c r="V1631" s="240"/>
      <c r="W1631" s="240"/>
      <c r="X1631" s="240"/>
      <c r="Y1631" s="240"/>
      <c r="Z1631" s="240"/>
    </row>
    <row r="1632" ht="14.25" customHeight="1">
      <c r="A1632" s="302">
        <f t="shared" si="4"/>
        <v>47804</v>
      </c>
      <c r="B1632" s="241">
        <f t="shared" si="1"/>
        <v>2030</v>
      </c>
      <c r="C1632" s="241">
        <f t="shared" si="2"/>
        <v>11</v>
      </c>
      <c r="D1632" s="301" t="str">
        <f t="shared" si="3"/>
        <v>Sunday</v>
      </c>
      <c r="E1632" s="240"/>
      <c r="F1632" s="240"/>
      <c r="G1632" s="240"/>
      <c r="H1632" s="241"/>
      <c r="I1632" s="301"/>
      <c r="J1632" s="240"/>
      <c r="K1632" s="240"/>
      <c r="L1632" s="240"/>
      <c r="M1632" s="240"/>
      <c r="N1632" s="240"/>
      <c r="O1632" s="240"/>
      <c r="P1632" s="240"/>
      <c r="Q1632" s="240"/>
      <c r="R1632" s="240"/>
      <c r="S1632" s="240"/>
      <c r="T1632" s="240"/>
      <c r="U1632" s="240"/>
      <c r="V1632" s="240"/>
      <c r="W1632" s="240"/>
      <c r="X1632" s="240"/>
      <c r="Y1632" s="240"/>
      <c r="Z1632" s="240"/>
    </row>
    <row r="1633" ht="14.25" customHeight="1">
      <c r="A1633" s="302">
        <f t="shared" si="4"/>
        <v>47805</v>
      </c>
      <c r="B1633" s="241">
        <f t="shared" si="1"/>
        <v>2030</v>
      </c>
      <c r="C1633" s="241">
        <f t="shared" si="2"/>
        <v>11</v>
      </c>
      <c r="D1633" s="301" t="str">
        <f t="shared" si="3"/>
        <v>Monday</v>
      </c>
      <c r="E1633" s="240"/>
      <c r="F1633" s="240"/>
      <c r="G1633" s="240"/>
      <c r="H1633" s="241"/>
      <c r="I1633" s="301"/>
      <c r="J1633" s="240"/>
      <c r="K1633" s="240"/>
      <c r="L1633" s="240"/>
      <c r="M1633" s="240"/>
      <c r="N1633" s="240"/>
      <c r="O1633" s="240"/>
      <c r="P1633" s="240"/>
      <c r="Q1633" s="240"/>
      <c r="R1633" s="240"/>
      <c r="S1633" s="240"/>
      <c r="T1633" s="240"/>
      <c r="U1633" s="240"/>
      <c r="V1633" s="240"/>
      <c r="W1633" s="240"/>
      <c r="X1633" s="240"/>
      <c r="Y1633" s="240"/>
      <c r="Z1633" s="240"/>
    </row>
    <row r="1634" ht="14.25" customHeight="1">
      <c r="A1634" s="302">
        <f t="shared" si="4"/>
        <v>47806</v>
      </c>
      <c r="B1634" s="241">
        <f t="shared" si="1"/>
        <v>2030</v>
      </c>
      <c r="C1634" s="241">
        <f t="shared" si="2"/>
        <v>11</v>
      </c>
      <c r="D1634" s="301" t="str">
        <f t="shared" si="3"/>
        <v>Tuesday</v>
      </c>
      <c r="E1634" s="240"/>
      <c r="F1634" s="240"/>
      <c r="G1634" s="240"/>
      <c r="H1634" s="241"/>
      <c r="I1634" s="301"/>
      <c r="J1634" s="240"/>
      <c r="K1634" s="240"/>
      <c r="L1634" s="240"/>
      <c r="M1634" s="240"/>
      <c r="N1634" s="240"/>
      <c r="O1634" s="240"/>
      <c r="P1634" s="240"/>
      <c r="Q1634" s="240"/>
      <c r="R1634" s="240"/>
      <c r="S1634" s="240"/>
      <c r="T1634" s="240"/>
      <c r="U1634" s="240"/>
      <c r="V1634" s="240"/>
      <c r="W1634" s="240"/>
      <c r="X1634" s="240"/>
      <c r="Y1634" s="240"/>
      <c r="Z1634" s="240"/>
    </row>
    <row r="1635" ht="14.25" customHeight="1">
      <c r="A1635" s="302">
        <f t="shared" si="4"/>
        <v>47807</v>
      </c>
      <c r="B1635" s="241">
        <f t="shared" si="1"/>
        <v>2030</v>
      </c>
      <c r="C1635" s="241">
        <f t="shared" si="2"/>
        <v>11</v>
      </c>
      <c r="D1635" s="301" t="str">
        <f t="shared" si="3"/>
        <v>Wednesday</v>
      </c>
      <c r="E1635" s="240"/>
      <c r="F1635" s="240"/>
      <c r="G1635" s="240"/>
      <c r="H1635" s="241"/>
      <c r="I1635" s="301"/>
      <c r="J1635" s="240"/>
      <c r="K1635" s="240"/>
      <c r="L1635" s="240"/>
      <c r="M1635" s="240"/>
      <c r="N1635" s="240"/>
      <c r="O1635" s="240"/>
      <c r="P1635" s="240"/>
      <c r="Q1635" s="240"/>
      <c r="R1635" s="240"/>
      <c r="S1635" s="240"/>
      <c r="T1635" s="240"/>
      <c r="U1635" s="240"/>
      <c r="V1635" s="240"/>
      <c r="W1635" s="240"/>
      <c r="X1635" s="240"/>
      <c r="Y1635" s="240"/>
      <c r="Z1635" s="240"/>
    </row>
    <row r="1636" ht="14.25" customHeight="1">
      <c r="A1636" s="302">
        <f t="shared" si="4"/>
        <v>47808</v>
      </c>
      <c r="B1636" s="241">
        <f t="shared" si="1"/>
        <v>2030</v>
      </c>
      <c r="C1636" s="241">
        <f t="shared" si="2"/>
        <v>11</v>
      </c>
      <c r="D1636" s="301" t="str">
        <f t="shared" si="3"/>
        <v>Thursday</v>
      </c>
      <c r="E1636" s="240"/>
      <c r="F1636" s="240"/>
      <c r="G1636" s="240"/>
      <c r="H1636" s="241"/>
      <c r="I1636" s="301"/>
      <c r="J1636" s="240"/>
      <c r="K1636" s="240"/>
      <c r="L1636" s="240"/>
      <c r="M1636" s="240"/>
      <c r="N1636" s="240"/>
      <c r="O1636" s="240"/>
      <c r="P1636" s="240"/>
      <c r="Q1636" s="240"/>
      <c r="R1636" s="240"/>
      <c r="S1636" s="240"/>
      <c r="T1636" s="240"/>
      <c r="U1636" s="240"/>
      <c r="V1636" s="240"/>
      <c r="W1636" s="240"/>
      <c r="X1636" s="240"/>
      <c r="Y1636" s="240"/>
      <c r="Z1636" s="240"/>
    </row>
    <row r="1637" ht="14.25" customHeight="1">
      <c r="A1637" s="302">
        <f t="shared" si="4"/>
        <v>47809</v>
      </c>
      <c r="B1637" s="241">
        <f t="shared" si="1"/>
        <v>2030</v>
      </c>
      <c r="C1637" s="241">
        <f t="shared" si="2"/>
        <v>11</v>
      </c>
      <c r="D1637" s="301" t="str">
        <f t="shared" si="3"/>
        <v>Friday</v>
      </c>
      <c r="E1637" s="240"/>
      <c r="F1637" s="240"/>
      <c r="G1637" s="240"/>
      <c r="H1637" s="241"/>
      <c r="I1637" s="301"/>
      <c r="J1637" s="240"/>
      <c r="K1637" s="240"/>
      <c r="L1637" s="240"/>
      <c r="M1637" s="240"/>
      <c r="N1637" s="240"/>
      <c r="O1637" s="240"/>
      <c r="P1637" s="240"/>
      <c r="Q1637" s="240"/>
      <c r="R1637" s="240"/>
      <c r="S1637" s="240"/>
      <c r="T1637" s="240"/>
      <c r="U1637" s="240"/>
      <c r="V1637" s="240"/>
      <c r="W1637" s="240"/>
      <c r="X1637" s="240"/>
      <c r="Y1637" s="240"/>
      <c r="Z1637" s="240"/>
    </row>
    <row r="1638" ht="14.25" customHeight="1">
      <c r="A1638" s="302">
        <f t="shared" si="4"/>
        <v>47810</v>
      </c>
      <c r="B1638" s="241">
        <f t="shared" si="1"/>
        <v>2030</v>
      </c>
      <c r="C1638" s="241">
        <f t="shared" si="2"/>
        <v>11</v>
      </c>
      <c r="D1638" s="301" t="str">
        <f t="shared" si="3"/>
        <v>Saturday</v>
      </c>
      <c r="E1638" s="240"/>
      <c r="F1638" s="240"/>
      <c r="G1638" s="240"/>
      <c r="H1638" s="241"/>
      <c r="I1638" s="301"/>
      <c r="J1638" s="240"/>
      <c r="K1638" s="240"/>
      <c r="L1638" s="240"/>
      <c r="M1638" s="240"/>
      <c r="N1638" s="240"/>
      <c r="O1638" s="240"/>
      <c r="P1638" s="240"/>
      <c r="Q1638" s="240"/>
      <c r="R1638" s="240"/>
      <c r="S1638" s="240"/>
      <c r="T1638" s="240"/>
      <c r="U1638" s="240"/>
      <c r="V1638" s="240"/>
      <c r="W1638" s="240"/>
      <c r="X1638" s="240"/>
      <c r="Y1638" s="240"/>
      <c r="Z1638" s="240"/>
    </row>
    <row r="1639" ht="14.25" customHeight="1">
      <c r="A1639" s="302">
        <f t="shared" si="4"/>
        <v>47811</v>
      </c>
      <c r="B1639" s="241">
        <f t="shared" si="1"/>
        <v>2030</v>
      </c>
      <c r="C1639" s="241">
        <f t="shared" si="2"/>
        <v>11</v>
      </c>
      <c r="D1639" s="301" t="str">
        <f t="shared" si="3"/>
        <v>Sunday</v>
      </c>
      <c r="E1639" s="240"/>
      <c r="F1639" s="240"/>
      <c r="G1639" s="240"/>
      <c r="H1639" s="241"/>
      <c r="I1639" s="301"/>
      <c r="J1639" s="240"/>
      <c r="K1639" s="240"/>
      <c r="L1639" s="240"/>
      <c r="M1639" s="240"/>
      <c r="N1639" s="240"/>
      <c r="O1639" s="240"/>
      <c r="P1639" s="240"/>
      <c r="Q1639" s="240"/>
      <c r="R1639" s="240"/>
      <c r="S1639" s="240"/>
      <c r="T1639" s="240"/>
      <c r="U1639" s="240"/>
      <c r="V1639" s="240"/>
      <c r="W1639" s="240"/>
      <c r="X1639" s="240"/>
      <c r="Y1639" s="240"/>
      <c r="Z1639" s="240"/>
    </row>
    <row r="1640" ht="14.25" customHeight="1">
      <c r="A1640" s="302">
        <f t="shared" si="4"/>
        <v>47812</v>
      </c>
      <c r="B1640" s="241">
        <f t="shared" si="1"/>
        <v>2030</v>
      </c>
      <c r="C1640" s="241">
        <f t="shared" si="2"/>
        <v>11</v>
      </c>
      <c r="D1640" s="301" t="str">
        <f t="shared" si="3"/>
        <v>Monday</v>
      </c>
      <c r="E1640" s="240"/>
      <c r="F1640" s="240"/>
      <c r="G1640" s="240"/>
      <c r="H1640" s="241"/>
      <c r="I1640" s="301"/>
      <c r="J1640" s="240"/>
      <c r="K1640" s="240"/>
      <c r="L1640" s="240"/>
      <c r="M1640" s="240"/>
      <c r="N1640" s="240"/>
      <c r="O1640" s="240"/>
      <c r="P1640" s="240"/>
      <c r="Q1640" s="240"/>
      <c r="R1640" s="240"/>
      <c r="S1640" s="240"/>
      <c r="T1640" s="240"/>
      <c r="U1640" s="240"/>
      <c r="V1640" s="240"/>
      <c r="W1640" s="240"/>
      <c r="X1640" s="240"/>
      <c r="Y1640" s="240"/>
      <c r="Z1640" s="240"/>
    </row>
    <row r="1641" ht="14.25" customHeight="1">
      <c r="A1641" s="302">
        <f t="shared" si="4"/>
        <v>47813</v>
      </c>
      <c r="B1641" s="241">
        <f t="shared" si="1"/>
        <v>2030</v>
      </c>
      <c r="C1641" s="241">
        <f t="shared" si="2"/>
        <v>11</v>
      </c>
      <c r="D1641" s="301" t="str">
        <f t="shared" si="3"/>
        <v>Tuesday</v>
      </c>
      <c r="E1641" s="240"/>
      <c r="F1641" s="240"/>
      <c r="G1641" s="240"/>
      <c r="H1641" s="241"/>
      <c r="I1641" s="301"/>
      <c r="J1641" s="240"/>
      <c r="K1641" s="240"/>
      <c r="L1641" s="240"/>
      <c r="M1641" s="240"/>
      <c r="N1641" s="240"/>
      <c r="O1641" s="240"/>
      <c r="P1641" s="240"/>
      <c r="Q1641" s="240"/>
      <c r="R1641" s="240"/>
      <c r="S1641" s="240"/>
      <c r="T1641" s="240"/>
      <c r="U1641" s="240"/>
      <c r="V1641" s="240"/>
      <c r="W1641" s="240"/>
      <c r="X1641" s="240"/>
      <c r="Y1641" s="240"/>
      <c r="Z1641" s="240"/>
    </row>
    <row r="1642" ht="14.25" customHeight="1">
      <c r="A1642" s="302">
        <f t="shared" si="4"/>
        <v>47814</v>
      </c>
      <c r="B1642" s="241">
        <f t="shared" si="1"/>
        <v>2030</v>
      </c>
      <c r="C1642" s="241">
        <f t="shared" si="2"/>
        <v>11</v>
      </c>
      <c r="D1642" s="301" t="str">
        <f t="shared" si="3"/>
        <v>Wednesday</v>
      </c>
      <c r="E1642" s="240"/>
      <c r="F1642" s="240"/>
      <c r="G1642" s="240"/>
      <c r="H1642" s="241"/>
      <c r="I1642" s="301"/>
      <c r="J1642" s="240"/>
      <c r="K1642" s="240"/>
      <c r="L1642" s="240"/>
      <c r="M1642" s="240"/>
      <c r="N1642" s="240"/>
      <c r="O1642" s="240"/>
      <c r="P1642" s="240"/>
      <c r="Q1642" s="240"/>
      <c r="R1642" s="240"/>
      <c r="S1642" s="240"/>
      <c r="T1642" s="240"/>
      <c r="U1642" s="240"/>
      <c r="V1642" s="240"/>
      <c r="W1642" s="240"/>
      <c r="X1642" s="240"/>
      <c r="Y1642" s="240"/>
      <c r="Z1642" s="240"/>
    </row>
    <row r="1643" ht="14.25" customHeight="1">
      <c r="A1643" s="302">
        <f t="shared" si="4"/>
        <v>47815</v>
      </c>
      <c r="B1643" s="241">
        <f t="shared" si="1"/>
        <v>2030</v>
      </c>
      <c r="C1643" s="241">
        <f t="shared" si="2"/>
        <v>11</v>
      </c>
      <c r="D1643" s="301" t="str">
        <f t="shared" si="3"/>
        <v>Thursday</v>
      </c>
      <c r="E1643" s="240"/>
      <c r="F1643" s="240"/>
      <c r="G1643" s="240"/>
      <c r="H1643" s="241"/>
      <c r="I1643" s="301"/>
      <c r="J1643" s="240"/>
      <c r="K1643" s="240"/>
      <c r="L1643" s="240"/>
      <c r="M1643" s="240"/>
      <c r="N1643" s="240"/>
      <c r="O1643" s="240"/>
      <c r="P1643" s="240"/>
      <c r="Q1643" s="240"/>
      <c r="R1643" s="240"/>
      <c r="S1643" s="240"/>
      <c r="T1643" s="240"/>
      <c r="U1643" s="240"/>
      <c r="V1643" s="240"/>
      <c r="W1643" s="240"/>
      <c r="X1643" s="240"/>
      <c r="Y1643" s="240"/>
      <c r="Z1643" s="240"/>
    </row>
    <row r="1644" ht="14.25" customHeight="1">
      <c r="A1644" s="302">
        <f t="shared" si="4"/>
        <v>47816</v>
      </c>
      <c r="B1644" s="241">
        <f t="shared" si="1"/>
        <v>2030</v>
      </c>
      <c r="C1644" s="241">
        <f t="shared" si="2"/>
        <v>11</v>
      </c>
      <c r="D1644" s="301" t="str">
        <f t="shared" si="3"/>
        <v>Friday</v>
      </c>
      <c r="E1644" s="240"/>
      <c r="F1644" s="240"/>
      <c r="G1644" s="240"/>
      <c r="H1644" s="241"/>
      <c r="I1644" s="301"/>
      <c r="J1644" s="240"/>
      <c r="K1644" s="240"/>
      <c r="L1644" s="240"/>
      <c r="M1644" s="240"/>
      <c r="N1644" s="240"/>
      <c r="O1644" s="240"/>
      <c r="P1644" s="240"/>
      <c r="Q1644" s="240"/>
      <c r="R1644" s="240"/>
      <c r="S1644" s="240"/>
      <c r="T1644" s="240"/>
      <c r="U1644" s="240"/>
      <c r="V1644" s="240"/>
      <c r="W1644" s="240"/>
      <c r="X1644" s="240"/>
      <c r="Y1644" s="240"/>
      <c r="Z1644" s="240"/>
    </row>
    <row r="1645" ht="14.25" customHeight="1">
      <c r="A1645" s="302">
        <f t="shared" si="4"/>
        <v>47817</v>
      </c>
      <c r="B1645" s="241">
        <f t="shared" si="1"/>
        <v>2030</v>
      </c>
      <c r="C1645" s="241">
        <f t="shared" si="2"/>
        <v>11</v>
      </c>
      <c r="D1645" s="301" t="str">
        <f t="shared" si="3"/>
        <v>Saturday</v>
      </c>
      <c r="E1645" s="240"/>
      <c r="F1645" s="240"/>
      <c r="G1645" s="240"/>
      <c r="H1645" s="241"/>
      <c r="I1645" s="301"/>
      <c r="J1645" s="240"/>
      <c r="K1645" s="240"/>
      <c r="L1645" s="240"/>
      <c r="M1645" s="240"/>
      <c r="N1645" s="240"/>
      <c r="O1645" s="240"/>
      <c r="P1645" s="240"/>
      <c r="Q1645" s="240"/>
      <c r="R1645" s="240"/>
      <c r="S1645" s="240"/>
      <c r="T1645" s="240"/>
      <c r="U1645" s="240"/>
      <c r="V1645" s="240"/>
      <c r="W1645" s="240"/>
      <c r="X1645" s="240"/>
      <c r="Y1645" s="240"/>
      <c r="Z1645" s="240"/>
    </row>
    <row r="1646" ht="14.25" customHeight="1">
      <c r="A1646" s="302">
        <f t="shared" si="4"/>
        <v>47818</v>
      </c>
      <c r="B1646" s="241">
        <f t="shared" si="1"/>
        <v>2030</v>
      </c>
      <c r="C1646" s="241">
        <f t="shared" si="2"/>
        <v>12</v>
      </c>
      <c r="D1646" s="301" t="str">
        <f t="shared" si="3"/>
        <v>Sunday</v>
      </c>
      <c r="E1646" s="240"/>
      <c r="F1646" s="240"/>
      <c r="G1646" s="240"/>
      <c r="H1646" s="241"/>
      <c r="I1646" s="301"/>
      <c r="J1646" s="240"/>
      <c r="K1646" s="240"/>
      <c r="L1646" s="240"/>
      <c r="M1646" s="240"/>
      <c r="N1646" s="240"/>
      <c r="O1646" s="240"/>
      <c r="P1646" s="240"/>
      <c r="Q1646" s="240"/>
      <c r="R1646" s="240"/>
      <c r="S1646" s="240"/>
      <c r="T1646" s="240"/>
      <c r="U1646" s="240"/>
      <c r="V1646" s="240"/>
      <c r="W1646" s="240"/>
      <c r="X1646" s="240"/>
      <c r="Y1646" s="240"/>
      <c r="Z1646" s="240"/>
    </row>
    <row r="1647" ht="14.25" customHeight="1">
      <c r="A1647" s="302">
        <f t="shared" si="4"/>
        <v>47819</v>
      </c>
      <c r="B1647" s="241">
        <f t="shared" si="1"/>
        <v>2030</v>
      </c>
      <c r="C1647" s="241">
        <f t="shared" si="2"/>
        <v>12</v>
      </c>
      <c r="D1647" s="301" t="str">
        <f t="shared" si="3"/>
        <v>Monday</v>
      </c>
      <c r="E1647" s="240"/>
      <c r="F1647" s="240"/>
      <c r="G1647" s="240"/>
      <c r="H1647" s="241"/>
      <c r="I1647" s="301"/>
      <c r="J1647" s="240"/>
      <c r="K1647" s="240"/>
      <c r="L1647" s="240"/>
      <c r="M1647" s="240"/>
      <c r="N1647" s="240"/>
      <c r="O1647" s="240"/>
      <c r="P1647" s="240"/>
      <c r="Q1647" s="240"/>
      <c r="R1647" s="240"/>
      <c r="S1647" s="240"/>
      <c r="T1647" s="240"/>
      <c r="U1647" s="240"/>
      <c r="V1647" s="240"/>
      <c r="W1647" s="240"/>
      <c r="X1647" s="240"/>
      <c r="Y1647" s="240"/>
      <c r="Z1647" s="240"/>
    </row>
    <row r="1648" ht="14.25" customHeight="1">
      <c r="A1648" s="302">
        <f t="shared" si="4"/>
        <v>47820</v>
      </c>
      <c r="B1648" s="241">
        <f t="shared" si="1"/>
        <v>2030</v>
      </c>
      <c r="C1648" s="241">
        <f t="shared" si="2"/>
        <v>12</v>
      </c>
      <c r="D1648" s="301" t="str">
        <f t="shared" si="3"/>
        <v>Tuesday</v>
      </c>
      <c r="E1648" s="240"/>
      <c r="F1648" s="240"/>
      <c r="G1648" s="240"/>
      <c r="H1648" s="241"/>
      <c r="I1648" s="301"/>
      <c r="J1648" s="240"/>
      <c r="K1648" s="240"/>
      <c r="L1648" s="240"/>
      <c r="M1648" s="240"/>
      <c r="N1648" s="240"/>
      <c r="O1648" s="240"/>
      <c r="P1648" s="240"/>
      <c r="Q1648" s="240"/>
      <c r="R1648" s="240"/>
      <c r="S1648" s="240"/>
      <c r="T1648" s="240"/>
      <c r="U1648" s="240"/>
      <c r="V1648" s="240"/>
      <c r="W1648" s="240"/>
      <c r="X1648" s="240"/>
      <c r="Y1648" s="240"/>
      <c r="Z1648" s="240"/>
    </row>
    <row r="1649" ht="14.25" customHeight="1">
      <c r="A1649" s="302">
        <f t="shared" si="4"/>
        <v>47821</v>
      </c>
      <c r="B1649" s="241">
        <f t="shared" si="1"/>
        <v>2030</v>
      </c>
      <c r="C1649" s="241">
        <f t="shared" si="2"/>
        <v>12</v>
      </c>
      <c r="D1649" s="301" t="str">
        <f t="shared" si="3"/>
        <v>Wednesday</v>
      </c>
      <c r="E1649" s="240"/>
      <c r="F1649" s="240"/>
      <c r="G1649" s="240"/>
      <c r="H1649" s="241"/>
      <c r="I1649" s="301"/>
      <c r="J1649" s="240"/>
      <c r="K1649" s="240"/>
      <c r="L1649" s="240"/>
      <c r="M1649" s="240"/>
      <c r="N1649" s="240"/>
      <c r="O1649" s="240"/>
      <c r="P1649" s="240"/>
      <c r="Q1649" s="240"/>
      <c r="R1649" s="240"/>
      <c r="S1649" s="240"/>
      <c r="T1649" s="240"/>
      <c r="U1649" s="240"/>
      <c r="V1649" s="240"/>
      <c r="W1649" s="240"/>
      <c r="X1649" s="240"/>
      <c r="Y1649" s="240"/>
      <c r="Z1649" s="240"/>
    </row>
    <row r="1650" ht="14.25" customHeight="1">
      <c r="A1650" s="302">
        <f t="shared" si="4"/>
        <v>47822</v>
      </c>
      <c r="B1650" s="241">
        <f t="shared" si="1"/>
        <v>2030</v>
      </c>
      <c r="C1650" s="241">
        <f t="shared" si="2"/>
        <v>12</v>
      </c>
      <c r="D1650" s="301" t="str">
        <f t="shared" si="3"/>
        <v>Thursday</v>
      </c>
      <c r="E1650" s="240"/>
      <c r="F1650" s="240"/>
      <c r="G1650" s="240"/>
      <c r="H1650" s="241"/>
      <c r="I1650" s="301"/>
      <c r="J1650" s="240"/>
      <c r="K1650" s="240"/>
      <c r="L1650" s="240"/>
      <c r="M1650" s="240"/>
      <c r="N1650" s="240"/>
      <c r="O1650" s="240"/>
      <c r="P1650" s="240"/>
      <c r="Q1650" s="240"/>
      <c r="R1650" s="240"/>
      <c r="S1650" s="240"/>
      <c r="T1650" s="240"/>
      <c r="U1650" s="240"/>
      <c r="V1650" s="240"/>
      <c r="W1650" s="240"/>
      <c r="X1650" s="240"/>
      <c r="Y1650" s="240"/>
      <c r="Z1650" s="240"/>
    </row>
    <row r="1651" ht="14.25" customHeight="1">
      <c r="A1651" s="302">
        <f t="shared" si="4"/>
        <v>47823</v>
      </c>
      <c r="B1651" s="241">
        <f t="shared" si="1"/>
        <v>2030</v>
      </c>
      <c r="C1651" s="241">
        <f t="shared" si="2"/>
        <v>12</v>
      </c>
      <c r="D1651" s="301" t="str">
        <f t="shared" si="3"/>
        <v>Friday</v>
      </c>
      <c r="E1651" s="240"/>
      <c r="F1651" s="240"/>
      <c r="G1651" s="240"/>
      <c r="H1651" s="241"/>
      <c r="I1651" s="301"/>
      <c r="J1651" s="240"/>
      <c r="K1651" s="240"/>
      <c r="L1651" s="240"/>
      <c r="M1651" s="240"/>
      <c r="N1651" s="240"/>
      <c r="O1651" s="240"/>
      <c r="P1651" s="240"/>
      <c r="Q1651" s="240"/>
      <c r="R1651" s="240"/>
      <c r="S1651" s="240"/>
      <c r="T1651" s="240"/>
      <c r="U1651" s="240"/>
      <c r="V1651" s="240"/>
      <c r="W1651" s="240"/>
      <c r="X1651" s="240"/>
      <c r="Y1651" s="240"/>
      <c r="Z1651" s="240"/>
    </row>
    <row r="1652" ht="14.25" customHeight="1">
      <c r="A1652" s="302">
        <f t="shared" si="4"/>
        <v>47824</v>
      </c>
      <c r="B1652" s="241">
        <f t="shared" si="1"/>
        <v>2030</v>
      </c>
      <c r="C1652" s="241">
        <f t="shared" si="2"/>
        <v>12</v>
      </c>
      <c r="D1652" s="301" t="str">
        <f t="shared" si="3"/>
        <v>Saturday</v>
      </c>
      <c r="E1652" s="240"/>
      <c r="F1652" s="240"/>
      <c r="G1652" s="240"/>
      <c r="H1652" s="241"/>
      <c r="I1652" s="301"/>
      <c r="J1652" s="240"/>
      <c r="K1652" s="240"/>
      <c r="L1652" s="240"/>
      <c r="M1652" s="240"/>
      <c r="N1652" s="240"/>
      <c r="O1652" s="240"/>
      <c r="P1652" s="240"/>
      <c r="Q1652" s="240"/>
      <c r="R1652" s="240"/>
      <c r="S1652" s="240"/>
      <c r="T1652" s="240"/>
      <c r="U1652" s="240"/>
      <c r="V1652" s="240"/>
      <c r="W1652" s="240"/>
      <c r="X1652" s="240"/>
      <c r="Y1652" s="240"/>
      <c r="Z1652" s="240"/>
    </row>
    <row r="1653" ht="14.25" customHeight="1">
      <c r="A1653" s="302">
        <f t="shared" si="4"/>
        <v>47825</v>
      </c>
      <c r="B1653" s="241">
        <f t="shared" si="1"/>
        <v>2030</v>
      </c>
      <c r="C1653" s="241">
        <f t="shared" si="2"/>
        <v>12</v>
      </c>
      <c r="D1653" s="301" t="str">
        <f t="shared" si="3"/>
        <v>Sunday</v>
      </c>
      <c r="E1653" s="240"/>
      <c r="F1653" s="240"/>
      <c r="G1653" s="240"/>
      <c r="H1653" s="241"/>
      <c r="I1653" s="301"/>
      <c r="J1653" s="240"/>
      <c r="K1653" s="240"/>
      <c r="L1653" s="240"/>
      <c r="M1653" s="240"/>
      <c r="N1653" s="240"/>
      <c r="O1653" s="240"/>
      <c r="P1653" s="240"/>
      <c r="Q1653" s="240"/>
      <c r="R1653" s="240"/>
      <c r="S1653" s="240"/>
      <c r="T1653" s="240"/>
      <c r="U1653" s="240"/>
      <c r="V1653" s="240"/>
      <c r="W1653" s="240"/>
      <c r="X1653" s="240"/>
      <c r="Y1653" s="240"/>
      <c r="Z1653" s="240"/>
    </row>
    <row r="1654" ht="14.25" customHeight="1">
      <c r="A1654" s="302">
        <f t="shared" si="4"/>
        <v>47826</v>
      </c>
      <c r="B1654" s="241">
        <f t="shared" si="1"/>
        <v>2030</v>
      </c>
      <c r="C1654" s="241">
        <f t="shared" si="2"/>
        <v>12</v>
      </c>
      <c r="D1654" s="301" t="str">
        <f t="shared" si="3"/>
        <v>Monday</v>
      </c>
      <c r="E1654" s="240"/>
      <c r="F1654" s="240"/>
      <c r="G1654" s="240"/>
      <c r="H1654" s="241"/>
      <c r="I1654" s="301"/>
      <c r="J1654" s="240"/>
      <c r="K1654" s="240"/>
      <c r="L1654" s="240"/>
      <c r="M1654" s="240"/>
      <c r="N1654" s="240"/>
      <c r="O1654" s="240"/>
      <c r="P1654" s="240"/>
      <c r="Q1654" s="240"/>
      <c r="R1654" s="240"/>
      <c r="S1654" s="240"/>
      <c r="T1654" s="240"/>
      <c r="U1654" s="240"/>
      <c r="V1654" s="240"/>
      <c r="W1654" s="240"/>
      <c r="X1654" s="240"/>
      <c r="Y1654" s="240"/>
      <c r="Z1654" s="240"/>
    </row>
    <row r="1655" ht="14.25" customHeight="1">
      <c r="A1655" s="302">
        <f t="shared" si="4"/>
        <v>47827</v>
      </c>
      <c r="B1655" s="241">
        <f t="shared" si="1"/>
        <v>2030</v>
      </c>
      <c r="C1655" s="241">
        <f t="shared" si="2"/>
        <v>12</v>
      </c>
      <c r="D1655" s="301" t="str">
        <f t="shared" si="3"/>
        <v>Tuesday</v>
      </c>
      <c r="E1655" s="240"/>
      <c r="F1655" s="240"/>
      <c r="G1655" s="240"/>
      <c r="H1655" s="241"/>
      <c r="I1655" s="301"/>
      <c r="J1655" s="240"/>
      <c r="K1655" s="240"/>
      <c r="L1655" s="240"/>
      <c r="M1655" s="240"/>
      <c r="N1655" s="240"/>
      <c r="O1655" s="240"/>
      <c r="P1655" s="240"/>
      <c r="Q1655" s="240"/>
      <c r="R1655" s="240"/>
      <c r="S1655" s="240"/>
      <c r="T1655" s="240"/>
      <c r="U1655" s="240"/>
      <c r="V1655" s="240"/>
      <c r="W1655" s="240"/>
      <c r="X1655" s="240"/>
      <c r="Y1655" s="240"/>
      <c r="Z1655" s="240"/>
    </row>
    <row r="1656" ht="14.25" customHeight="1">
      <c r="A1656" s="302">
        <f t="shared" si="4"/>
        <v>47828</v>
      </c>
      <c r="B1656" s="241">
        <f t="shared" si="1"/>
        <v>2030</v>
      </c>
      <c r="C1656" s="241">
        <f t="shared" si="2"/>
        <v>12</v>
      </c>
      <c r="D1656" s="301" t="str">
        <f t="shared" si="3"/>
        <v>Wednesday</v>
      </c>
      <c r="E1656" s="240"/>
      <c r="F1656" s="240"/>
      <c r="G1656" s="240"/>
      <c r="H1656" s="241"/>
      <c r="I1656" s="301"/>
      <c r="J1656" s="240"/>
      <c r="K1656" s="240"/>
      <c r="L1656" s="240"/>
      <c r="M1656" s="240"/>
      <c r="N1656" s="240"/>
      <c r="O1656" s="240"/>
      <c r="P1656" s="240"/>
      <c r="Q1656" s="240"/>
      <c r="R1656" s="240"/>
      <c r="S1656" s="240"/>
      <c r="T1656" s="240"/>
      <c r="U1656" s="240"/>
      <c r="V1656" s="240"/>
      <c r="W1656" s="240"/>
      <c r="X1656" s="240"/>
      <c r="Y1656" s="240"/>
      <c r="Z1656" s="240"/>
    </row>
    <row r="1657" ht="14.25" customHeight="1">
      <c r="A1657" s="302">
        <f t="shared" si="4"/>
        <v>47829</v>
      </c>
      <c r="B1657" s="241">
        <f t="shared" si="1"/>
        <v>2030</v>
      </c>
      <c r="C1657" s="241">
        <f t="shared" si="2"/>
        <v>12</v>
      </c>
      <c r="D1657" s="301" t="str">
        <f t="shared" si="3"/>
        <v>Thursday</v>
      </c>
      <c r="E1657" s="240"/>
      <c r="F1657" s="240"/>
      <c r="G1657" s="240"/>
      <c r="H1657" s="241"/>
      <c r="I1657" s="301"/>
      <c r="J1657" s="240"/>
      <c r="K1657" s="240"/>
      <c r="L1657" s="240"/>
      <c r="M1657" s="240"/>
      <c r="N1657" s="240"/>
      <c r="O1657" s="240"/>
      <c r="P1657" s="240"/>
      <c r="Q1657" s="240"/>
      <c r="R1657" s="240"/>
      <c r="S1657" s="240"/>
      <c r="T1657" s="240"/>
      <c r="U1657" s="240"/>
      <c r="V1657" s="240"/>
      <c r="W1657" s="240"/>
      <c r="X1657" s="240"/>
      <c r="Y1657" s="240"/>
      <c r="Z1657" s="240"/>
    </row>
    <row r="1658" ht="14.25" customHeight="1">
      <c r="A1658" s="302">
        <f t="shared" si="4"/>
        <v>47830</v>
      </c>
      <c r="B1658" s="241">
        <f t="shared" si="1"/>
        <v>2030</v>
      </c>
      <c r="C1658" s="241">
        <f t="shared" si="2"/>
        <v>12</v>
      </c>
      <c r="D1658" s="301" t="str">
        <f t="shared" si="3"/>
        <v>Friday</v>
      </c>
      <c r="E1658" s="240"/>
      <c r="F1658" s="240"/>
      <c r="G1658" s="240"/>
      <c r="H1658" s="241"/>
      <c r="I1658" s="301"/>
      <c r="J1658" s="240"/>
      <c r="K1658" s="240"/>
      <c r="L1658" s="240"/>
      <c r="M1658" s="240"/>
      <c r="N1658" s="240"/>
      <c r="O1658" s="240"/>
      <c r="P1658" s="240"/>
      <c r="Q1658" s="240"/>
      <c r="R1658" s="240"/>
      <c r="S1658" s="240"/>
      <c r="T1658" s="240"/>
      <c r="U1658" s="240"/>
      <c r="V1658" s="240"/>
      <c r="W1658" s="240"/>
      <c r="X1658" s="240"/>
      <c r="Y1658" s="240"/>
      <c r="Z1658" s="240"/>
    </row>
    <row r="1659" ht="14.25" customHeight="1">
      <c r="A1659" s="302">
        <f t="shared" si="4"/>
        <v>47831</v>
      </c>
      <c r="B1659" s="241">
        <f t="shared" si="1"/>
        <v>2030</v>
      </c>
      <c r="C1659" s="241">
        <f t="shared" si="2"/>
        <v>12</v>
      </c>
      <c r="D1659" s="301" t="str">
        <f t="shared" si="3"/>
        <v>Saturday</v>
      </c>
      <c r="E1659" s="240"/>
      <c r="F1659" s="240"/>
      <c r="G1659" s="240"/>
      <c r="H1659" s="241"/>
      <c r="I1659" s="301"/>
      <c r="J1659" s="240"/>
      <c r="K1659" s="240"/>
      <c r="L1659" s="240"/>
      <c r="M1659" s="240"/>
      <c r="N1659" s="240"/>
      <c r="O1659" s="240"/>
      <c r="P1659" s="240"/>
      <c r="Q1659" s="240"/>
      <c r="R1659" s="240"/>
      <c r="S1659" s="240"/>
      <c r="T1659" s="240"/>
      <c r="U1659" s="240"/>
      <c r="V1659" s="240"/>
      <c r="W1659" s="240"/>
      <c r="X1659" s="240"/>
      <c r="Y1659" s="240"/>
      <c r="Z1659" s="240"/>
    </row>
    <row r="1660" ht="14.25" customHeight="1">
      <c r="A1660" s="302">
        <f t="shared" si="4"/>
        <v>47832</v>
      </c>
      <c r="B1660" s="241">
        <f t="shared" si="1"/>
        <v>2030</v>
      </c>
      <c r="C1660" s="241">
        <f t="shared" si="2"/>
        <v>12</v>
      </c>
      <c r="D1660" s="301" t="str">
        <f t="shared" si="3"/>
        <v>Sunday</v>
      </c>
      <c r="E1660" s="240"/>
      <c r="F1660" s="240"/>
      <c r="G1660" s="240"/>
      <c r="H1660" s="241"/>
      <c r="I1660" s="301"/>
      <c r="J1660" s="240"/>
      <c r="K1660" s="240"/>
      <c r="L1660" s="240"/>
      <c r="M1660" s="240"/>
      <c r="N1660" s="240"/>
      <c r="O1660" s="240"/>
      <c r="P1660" s="240"/>
      <c r="Q1660" s="240"/>
      <c r="R1660" s="240"/>
      <c r="S1660" s="240"/>
      <c r="T1660" s="240"/>
      <c r="U1660" s="240"/>
      <c r="V1660" s="240"/>
      <c r="W1660" s="240"/>
      <c r="X1660" s="240"/>
      <c r="Y1660" s="240"/>
      <c r="Z1660" s="240"/>
    </row>
    <row r="1661" ht="14.25" customHeight="1">
      <c r="A1661" s="302">
        <f t="shared" si="4"/>
        <v>47833</v>
      </c>
      <c r="B1661" s="241">
        <f t="shared" si="1"/>
        <v>2030</v>
      </c>
      <c r="C1661" s="241">
        <f t="shared" si="2"/>
        <v>12</v>
      </c>
      <c r="D1661" s="301" t="str">
        <f t="shared" si="3"/>
        <v>Monday</v>
      </c>
      <c r="E1661" s="240"/>
      <c r="F1661" s="240"/>
      <c r="G1661" s="240"/>
      <c r="H1661" s="241"/>
      <c r="I1661" s="301"/>
      <c r="J1661" s="240"/>
      <c r="K1661" s="240"/>
      <c r="L1661" s="240"/>
      <c r="M1661" s="240"/>
      <c r="N1661" s="240"/>
      <c r="O1661" s="240"/>
      <c r="P1661" s="240"/>
      <c r="Q1661" s="240"/>
      <c r="R1661" s="240"/>
      <c r="S1661" s="240"/>
      <c r="T1661" s="240"/>
      <c r="U1661" s="240"/>
      <c r="V1661" s="240"/>
      <c r="W1661" s="240"/>
      <c r="X1661" s="240"/>
      <c r="Y1661" s="240"/>
      <c r="Z1661" s="240"/>
    </row>
    <row r="1662" ht="14.25" customHeight="1">
      <c r="A1662" s="302">
        <f t="shared" si="4"/>
        <v>47834</v>
      </c>
      <c r="B1662" s="241">
        <f t="shared" si="1"/>
        <v>2030</v>
      </c>
      <c r="C1662" s="241">
        <f t="shared" si="2"/>
        <v>12</v>
      </c>
      <c r="D1662" s="301" t="str">
        <f t="shared" si="3"/>
        <v>Tuesday</v>
      </c>
      <c r="E1662" s="240"/>
      <c r="F1662" s="240"/>
      <c r="G1662" s="240"/>
      <c r="H1662" s="241"/>
      <c r="I1662" s="301"/>
      <c r="J1662" s="240"/>
      <c r="K1662" s="240"/>
      <c r="L1662" s="240"/>
      <c r="M1662" s="240"/>
      <c r="N1662" s="240"/>
      <c r="O1662" s="240"/>
      <c r="P1662" s="240"/>
      <c r="Q1662" s="240"/>
      <c r="R1662" s="240"/>
      <c r="S1662" s="240"/>
      <c r="T1662" s="240"/>
      <c r="U1662" s="240"/>
      <c r="V1662" s="240"/>
      <c r="W1662" s="240"/>
      <c r="X1662" s="240"/>
      <c r="Y1662" s="240"/>
      <c r="Z1662" s="240"/>
    </row>
    <row r="1663" ht="14.25" customHeight="1">
      <c r="A1663" s="302">
        <f t="shared" si="4"/>
        <v>47835</v>
      </c>
      <c r="B1663" s="241">
        <f t="shared" si="1"/>
        <v>2030</v>
      </c>
      <c r="C1663" s="241">
        <f t="shared" si="2"/>
        <v>12</v>
      </c>
      <c r="D1663" s="301" t="str">
        <f t="shared" si="3"/>
        <v>Wednesday</v>
      </c>
      <c r="E1663" s="240"/>
      <c r="F1663" s="240"/>
      <c r="G1663" s="240"/>
      <c r="H1663" s="241"/>
      <c r="I1663" s="301"/>
      <c r="J1663" s="240"/>
      <c r="K1663" s="240"/>
      <c r="L1663" s="240"/>
      <c r="M1663" s="240"/>
      <c r="N1663" s="240"/>
      <c r="O1663" s="240"/>
      <c r="P1663" s="240"/>
      <c r="Q1663" s="240"/>
      <c r="R1663" s="240"/>
      <c r="S1663" s="240"/>
      <c r="T1663" s="240"/>
      <c r="U1663" s="240"/>
      <c r="V1663" s="240"/>
      <c r="W1663" s="240"/>
      <c r="X1663" s="240"/>
      <c r="Y1663" s="240"/>
      <c r="Z1663" s="240"/>
    </row>
    <row r="1664" ht="14.25" customHeight="1">
      <c r="A1664" s="302">
        <f t="shared" si="4"/>
        <v>47836</v>
      </c>
      <c r="B1664" s="241">
        <f t="shared" si="1"/>
        <v>2030</v>
      </c>
      <c r="C1664" s="241">
        <f t="shared" si="2"/>
        <v>12</v>
      </c>
      <c r="D1664" s="301" t="str">
        <f t="shared" si="3"/>
        <v>Thursday</v>
      </c>
      <c r="E1664" s="240"/>
      <c r="F1664" s="240"/>
      <c r="G1664" s="240"/>
      <c r="H1664" s="241"/>
      <c r="I1664" s="301"/>
      <c r="J1664" s="240"/>
      <c r="K1664" s="240"/>
      <c r="L1664" s="240"/>
      <c r="M1664" s="240"/>
      <c r="N1664" s="240"/>
      <c r="O1664" s="240"/>
      <c r="P1664" s="240"/>
      <c r="Q1664" s="240"/>
      <c r="R1664" s="240"/>
      <c r="S1664" s="240"/>
      <c r="T1664" s="240"/>
      <c r="U1664" s="240"/>
      <c r="V1664" s="240"/>
      <c r="W1664" s="240"/>
      <c r="X1664" s="240"/>
      <c r="Y1664" s="240"/>
      <c r="Z1664" s="240"/>
    </row>
    <row r="1665" ht="14.25" customHeight="1">
      <c r="A1665" s="302">
        <f t="shared" si="4"/>
        <v>47837</v>
      </c>
      <c r="B1665" s="241">
        <f t="shared" si="1"/>
        <v>2030</v>
      </c>
      <c r="C1665" s="241">
        <f t="shared" si="2"/>
        <v>12</v>
      </c>
      <c r="D1665" s="301" t="str">
        <f t="shared" si="3"/>
        <v>Friday</v>
      </c>
      <c r="E1665" s="240"/>
      <c r="F1665" s="240"/>
      <c r="G1665" s="240"/>
      <c r="H1665" s="241"/>
      <c r="I1665" s="301"/>
      <c r="J1665" s="240"/>
      <c r="K1665" s="240"/>
      <c r="L1665" s="240"/>
      <c r="M1665" s="240"/>
      <c r="N1665" s="240"/>
      <c r="O1665" s="240"/>
      <c r="P1665" s="240"/>
      <c r="Q1665" s="240"/>
      <c r="R1665" s="240"/>
      <c r="S1665" s="240"/>
      <c r="T1665" s="240"/>
      <c r="U1665" s="240"/>
      <c r="V1665" s="240"/>
      <c r="W1665" s="240"/>
      <c r="X1665" s="240"/>
      <c r="Y1665" s="240"/>
      <c r="Z1665" s="240"/>
    </row>
    <row r="1666" ht="14.25" customHeight="1">
      <c r="A1666" s="302">
        <f t="shared" si="4"/>
        <v>47838</v>
      </c>
      <c r="B1666" s="241">
        <f t="shared" si="1"/>
        <v>2030</v>
      </c>
      <c r="C1666" s="241">
        <f t="shared" si="2"/>
        <v>12</v>
      </c>
      <c r="D1666" s="301" t="str">
        <f t="shared" si="3"/>
        <v>Saturday</v>
      </c>
      <c r="E1666" s="240"/>
      <c r="F1666" s="240"/>
      <c r="G1666" s="240"/>
      <c r="H1666" s="241"/>
      <c r="I1666" s="301"/>
      <c r="J1666" s="240"/>
      <c r="K1666" s="240"/>
      <c r="L1666" s="240"/>
      <c r="M1666" s="240"/>
      <c r="N1666" s="240"/>
      <c r="O1666" s="240"/>
      <c r="P1666" s="240"/>
      <c r="Q1666" s="240"/>
      <c r="R1666" s="240"/>
      <c r="S1666" s="240"/>
      <c r="T1666" s="240"/>
      <c r="U1666" s="240"/>
      <c r="V1666" s="240"/>
      <c r="W1666" s="240"/>
      <c r="X1666" s="240"/>
      <c r="Y1666" s="240"/>
      <c r="Z1666" s="240"/>
    </row>
    <row r="1667" ht="14.25" customHeight="1">
      <c r="A1667" s="302">
        <f t="shared" si="4"/>
        <v>47839</v>
      </c>
      <c r="B1667" s="241">
        <f t="shared" si="1"/>
        <v>2030</v>
      </c>
      <c r="C1667" s="241">
        <f t="shared" si="2"/>
        <v>12</v>
      </c>
      <c r="D1667" s="301" t="str">
        <f t="shared" si="3"/>
        <v>Sunday</v>
      </c>
      <c r="E1667" s="240"/>
      <c r="F1667" s="240"/>
      <c r="G1667" s="240"/>
      <c r="H1667" s="241"/>
      <c r="I1667" s="301"/>
      <c r="J1667" s="240"/>
      <c r="K1667" s="240"/>
      <c r="L1667" s="240"/>
      <c r="M1667" s="240"/>
      <c r="N1667" s="240"/>
      <c r="O1667" s="240"/>
      <c r="P1667" s="240"/>
      <c r="Q1667" s="240"/>
      <c r="R1667" s="240"/>
      <c r="S1667" s="240"/>
      <c r="T1667" s="240"/>
      <c r="U1667" s="240"/>
      <c r="V1667" s="240"/>
      <c r="W1667" s="240"/>
      <c r="X1667" s="240"/>
      <c r="Y1667" s="240"/>
      <c r="Z1667" s="240"/>
    </row>
    <row r="1668" ht="14.25" customHeight="1">
      <c r="A1668" s="302">
        <f t="shared" si="4"/>
        <v>47840</v>
      </c>
      <c r="B1668" s="241">
        <f t="shared" si="1"/>
        <v>2030</v>
      </c>
      <c r="C1668" s="241">
        <f t="shared" si="2"/>
        <v>12</v>
      </c>
      <c r="D1668" s="301" t="str">
        <f t="shared" si="3"/>
        <v>Monday</v>
      </c>
      <c r="E1668" s="240"/>
      <c r="F1668" s="240"/>
      <c r="G1668" s="240"/>
      <c r="H1668" s="241"/>
      <c r="I1668" s="301"/>
      <c r="J1668" s="240"/>
      <c r="K1668" s="240"/>
      <c r="L1668" s="240"/>
      <c r="M1668" s="240"/>
      <c r="N1668" s="240"/>
      <c r="O1668" s="240"/>
      <c r="P1668" s="240"/>
      <c r="Q1668" s="240"/>
      <c r="R1668" s="240"/>
      <c r="S1668" s="240"/>
      <c r="T1668" s="240"/>
      <c r="U1668" s="240"/>
      <c r="V1668" s="240"/>
      <c r="W1668" s="240"/>
      <c r="X1668" s="240"/>
      <c r="Y1668" s="240"/>
      <c r="Z1668" s="240"/>
    </row>
    <row r="1669" ht="14.25" customHeight="1">
      <c r="A1669" s="302">
        <f t="shared" si="4"/>
        <v>47841</v>
      </c>
      <c r="B1669" s="241">
        <f t="shared" si="1"/>
        <v>2030</v>
      </c>
      <c r="C1669" s="241">
        <f t="shared" si="2"/>
        <v>12</v>
      </c>
      <c r="D1669" s="301" t="str">
        <f t="shared" si="3"/>
        <v>Tuesday</v>
      </c>
      <c r="E1669" s="240"/>
      <c r="F1669" s="240"/>
      <c r="G1669" s="240"/>
      <c r="H1669" s="241"/>
      <c r="I1669" s="301"/>
      <c r="J1669" s="240"/>
      <c r="K1669" s="240"/>
      <c r="L1669" s="240"/>
      <c r="M1669" s="240"/>
      <c r="N1669" s="240"/>
      <c r="O1669" s="240"/>
      <c r="P1669" s="240"/>
      <c r="Q1669" s="240"/>
      <c r="R1669" s="240"/>
      <c r="S1669" s="240"/>
      <c r="T1669" s="240"/>
      <c r="U1669" s="240"/>
      <c r="V1669" s="240"/>
      <c r="W1669" s="240"/>
      <c r="X1669" s="240"/>
      <c r="Y1669" s="240"/>
      <c r="Z1669" s="240"/>
    </row>
    <row r="1670" ht="14.25" customHeight="1">
      <c r="A1670" s="302">
        <f t="shared" si="4"/>
        <v>47842</v>
      </c>
      <c r="B1670" s="241">
        <f t="shared" si="1"/>
        <v>2030</v>
      </c>
      <c r="C1670" s="241">
        <f t="shared" si="2"/>
        <v>12</v>
      </c>
      <c r="D1670" s="301" t="str">
        <f t="shared" si="3"/>
        <v>Wednesday</v>
      </c>
      <c r="E1670" s="240"/>
      <c r="F1670" s="240"/>
      <c r="G1670" s="240"/>
      <c r="H1670" s="241"/>
      <c r="I1670" s="301"/>
      <c r="J1670" s="240"/>
      <c r="K1670" s="240"/>
      <c r="L1670" s="240"/>
      <c r="M1670" s="240"/>
      <c r="N1670" s="240"/>
      <c r="O1670" s="240"/>
      <c r="P1670" s="240"/>
      <c r="Q1670" s="240"/>
      <c r="R1670" s="240"/>
      <c r="S1670" s="240"/>
      <c r="T1670" s="240"/>
      <c r="U1670" s="240"/>
      <c r="V1670" s="240"/>
      <c r="W1670" s="240"/>
      <c r="X1670" s="240"/>
      <c r="Y1670" s="240"/>
      <c r="Z1670" s="240"/>
    </row>
    <row r="1671" ht="14.25" customHeight="1">
      <c r="A1671" s="302">
        <f t="shared" si="4"/>
        <v>47843</v>
      </c>
      <c r="B1671" s="241">
        <f t="shared" si="1"/>
        <v>2030</v>
      </c>
      <c r="C1671" s="241">
        <f t="shared" si="2"/>
        <v>12</v>
      </c>
      <c r="D1671" s="301" t="str">
        <f t="shared" si="3"/>
        <v>Thursday</v>
      </c>
      <c r="E1671" s="240"/>
      <c r="F1671" s="240"/>
      <c r="G1671" s="240"/>
      <c r="H1671" s="241"/>
      <c r="I1671" s="301"/>
      <c r="J1671" s="240"/>
      <c r="K1671" s="240"/>
      <c r="L1671" s="240"/>
      <c r="M1671" s="240"/>
      <c r="N1671" s="240"/>
      <c r="O1671" s="240"/>
      <c r="P1671" s="240"/>
      <c r="Q1671" s="240"/>
      <c r="R1671" s="240"/>
      <c r="S1671" s="240"/>
      <c r="T1671" s="240"/>
      <c r="U1671" s="240"/>
      <c r="V1671" s="240"/>
      <c r="W1671" s="240"/>
      <c r="X1671" s="240"/>
      <c r="Y1671" s="240"/>
      <c r="Z1671" s="240"/>
    </row>
    <row r="1672" ht="14.25" customHeight="1">
      <c r="A1672" s="302">
        <f t="shared" si="4"/>
        <v>47844</v>
      </c>
      <c r="B1672" s="241">
        <f t="shared" si="1"/>
        <v>2030</v>
      </c>
      <c r="C1672" s="241">
        <f t="shared" si="2"/>
        <v>12</v>
      </c>
      <c r="D1672" s="301" t="str">
        <f t="shared" si="3"/>
        <v>Friday</v>
      </c>
      <c r="E1672" s="240"/>
      <c r="F1672" s="240"/>
      <c r="G1672" s="240"/>
      <c r="H1672" s="241"/>
      <c r="I1672" s="301"/>
      <c r="J1672" s="240"/>
      <c r="K1672" s="240"/>
      <c r="L1672" s="240"/>
      <c r="M1672" s="240"/>
      <c r="N1672" s="240"/>
      <c r="O1672" s="240"/>
      <c r="P1672" s="240"/>
      <c r="Q1672" s="240"/>
      <c r="R1672" s="240"/>
      <c r="S1672" s="240"/>
      <c r="T1672" s="240"/>
      <c r="U1672" s="240"/>
      <c r="V1672" s="240"/>
      <c r="W1672" s="240"/>
      <c r="X1672" s="240"/>
      <c r="Y1672" s="240"/>
      <c r="Z1672" s="240"/>
    </row>
    <row r="1673" ht="14.25" customHeight="1">
      <c r="A1673" s="302">
        <f t="shared" si="4"/>
        <v>47845</v>
      </c>
      <c r="B1673" s="241">
        <f t="shared" si="1"/>
        <v>2030</v>
      </c>
      <c r="C1673" s="241">
        <f t="shared" si="2"/>
        <v>12</v>
      </c>
      <c r="D1673" s="301" t="str">
        <f t="shared" si="3"/>
        <v>Saturday</v>
      </c>
      <c r="E1673" s="240"/>
      <c r="F1673" s="240"/>
      <c r="G1673" s="240"/>
      <c r="H1673" s="241"/>
      <c r="I1673" s="301"/>
      <c r="J1673" s="240"/>
      <c r="K1673" s="240"/>
      <c r="L1673" s="240"/>
      <c r="M1673" s="240"/>
      <c r="N1673" s="240"/>
      <c r="O1673" s="240"/>
      <c r="P1673" s="240"/>
      <c r="Q1673" s="240"/>
      <c r="R1673" s="240"/>
      <c r="S1673" s="240"/>
      <c r="T1673" s="240"/>
      <c r="U1673" s="240"/>
      <c r="V1673" s="240"/>
      <c r="W1673" s="240"/>
      <c r="X1673" s="240"/>
      <c r="Y1673" s="240"/>
      <c r="Z1673" s="240"/>
    </row>
    <row r="1674" ht="14.25" customHeight="1">
      <c r="A1674" s="302">
        <f t="shared" si="4"/>
        <v>47846</v>
      </c>
      <c r="B1674" s="241">
        <f t="shared" si="1"/>
        <v>2030</v>
      </c>
      <c r="C1674" s="241">
        <f t="shared" si="2"/>
        <v>12</v>
      </c>
      <c r="D1674" s="301" t="str">
        <f t="shared" si="3"/>
        <v>Sunday</v>
      </c>
      <c r="E1674" s="240"/>
      <c r="F1674" s="240"/>
      <c r="G1674" s="240"/>
      <c r="H1674" s="241"/>
      <c r="I1674" s="301"/>
      <c r="J1674" s="240"/>
      <c r="K1674" s="240"/>
      <c r="L1674" s="240"/>
      <c r="M1674" s="240"/>
      <c r="N1674" s="240"/>
      <c r="O1674" s="240"/>
      <c r="P1674" s="240"/>
      <c r="Q1674" s="240"/>
      <c r="R1674" s="240"/>
      <c r="S1674" s="240"/>
      <c r="T1674" s="240"/>
      <c r="U1674" s="240"/>
      <c r="V1674" s="240"/>
      <c r="W1674" s="240"/>
      <c r="X1674" s="240"/>
      <c r="Y1674" s="240"/>
      <c r="Z1674" s="240"/>
    </row>
    <row r="1675" ht="14.25" customHeight="1">
      <c r="A1675" s="302">
        <f t="shared" si="4"/>
        <v>47847</v>
      </c>
      <c r="B1675" s="241">
        <f t="shared" si="1"/>
        <v>2030</v>
      </c>
      <c r="C1675" s="241">
        <f t="shared" si="2"/>
        <v>12</v>
      </c>
      <c r="D1675" s="301" t="str">
        <f t="shared" si="3"/>
        <v>Monday</v>
      </c>
      <c r="E1675" s="240"/>
      <c r="F1675" s="240"/>
      <c r="G1675" s="240"/>
      <c r="H1675" s="241"/>
      <c r="I1675" s="301"/>
      <c r="J1675" s="240"/>
      <c r="K1675" s="240"/>
      <c r="L1675" s="240"/>
      <c r="M1675" s="240"/>
      <c r="N1675" s="240"/>
      <c r="O1675" s="240"/>
      <c r="P1675" s="240"/>
      <c r="Q1675" s="240"/>
      <c r="R1675" s="240"/>
      <c r="S1675" s="240"/>
      <c r="T1675" s="240"/>
      <c r="U1675" s="240"/>
      <c r="V1675" s="240"/>
      <c r="W1675" s="240"/>
      <c r="X1675" s="240"/>
      <c r="Y1675" s="240"/>
      <c r="Z1675" s="240"/>
    </row>
    <row r="1676" ht="14.25" customHeight="1">
      <c r="A1676" s="302">
        <f t="shared" si="4"/>
        <v>47848</v>
      </c>
      <c r="B1676" s="241">
        <f t="shared" si="1"/>
        <v>2030</v>
      </c>
      <c r="C1676" s="241">
        <f t="shared" si="2"/>
        <v>12</v>
      </c>
      <c r="D1676" s="301" t="str">
        <f t="shared" si="3"/>
        <v>Tuesday</v>
      </c>
      <c r="E1676" s="240"/>
      <c r="F1676" s="240"/>
      <c r="G1676" s="240"/>
      <c r="H1676" s="241"/>
      <c r="I1676" s="301"/>
      <c r="J1676" s="240"/>
      <c r="K1676" s="240"/>
      <c r="L1676" s="240"/>
      <c r="M1676" s="240"/>
      <c r="N1676" s="240"/>
      <c r="O1676" s="240"/>
      <c r="P1676" s="240"/>
      <c r="Q1676" s="240"/>
      <c r="R1676" s="240"/>
      <c r="S1676" s="240"/>
      <c r="T1676" s="240"/>
      <c r="U1676" s="240"/>
      <c r="V1676" s="240"/>
      <c r="W1676" s="240"/>
      <c r="X1676" s="240"/>
      <c r="Y1676" s="240"/>
      <c r="Z1676" s="240"/>
    </row>
    <row r="1677" ht="14.25" customHeight="1">
      <c r="A1677" s="302">
        <f t="shared" si="4"/>
        <v>47849</v>
      </c>
      <c r="B1677" s="241">
        <f t="shared" si="1"/>
        <v>2031</v>
      </c>
      <c r="C1677" s="241">
        <f t="shared" si="2"/>
        <v>1</v>
      </c>
      <c r="D1677" s="301" t="str">
        <f t="shared" si="3"/>
        <v>Wednesday</v>
      </c>
      <c r="E1677" s="240"/>
      <c r="F1677" s="240"/>
      <c r="G1677" s="240"/>
      <c r="H1677" s="241"/>
      <c r="I1677" s="301"/>
      <c r="J1677" s="240"/>
      <c r="K1677" s="240"/>
      <c r="L1677" s="240"/>
      <c r="M1677" s="240"/>
      <c r="N1677" s="240"/>
      <c r="O1677" s="240"/>
      <c r="P1677" s="240"/>
      <c r="Q1677" s="240"/>
      <c r="R1677" s="240"/>
      <c r="S1677" s="240"/>
      <c r="T1677" s="240"/>
      <c r="U1677" s="240"/>
      <c r="V1677" s="240"/>
      <c r="W1677" s="240"/>
      <c r="X1677" s="240"/>
      <c r="Y1677" s="240"/>
      <c r="Z1677" s="240"/>
    </row>
    <row r="1678" ht="14.25" customHeight="1">
      <c r="A1678" s="302">
        <f t="shared" si="4"/>
        <v>47850</v>
      </c>
      <c r="B1678" s="241">
        <f t="shared" si="1"/>
        <v>2031</v>
      </c>
      <c r="C1678" s="241">
        <f t="shared" si="2"/>
        <v>1</v>
      </c>
      <c r="D1678" s="301" t="str">
        <f t="shared" si="3"/>
        <v>Thursday</v>
      </c>
      <c r="E1678" s="240"/>
      <c r="F1678" s="240"/>
      <c r="G1678" s="240"/>
      <c r="H1678" s="241"/>
      <c r="I1678" s="301"/>
      <c r="J1678" s="240"/>
      <c r="K1678" s="240"/>
      <c r="L1678" s="240"/>
      <c r="M1678" s="240"/>
      <c r="N1678" s="240"/>
      <c r="O1678" s="240"/>
      <c r="P1678" s="240"/>
      <c r="Q1678" s="240"/>
      <c r="R1678" s="240"/>
      <c r="S1678" s="240"/>
      <c r="T1678" s="240"/>
      <c r="U1678" s="240"/>
      <c r="V1678" s="240"/>
      <c r="W1678" s="240"/>
      <c r="X1678" s="240"/>
      <c r="Y1678" s="240"/>
      <c r="Z1678" s="240"/>
    </row>
    <row r="1679" ht="14.25" customHeight="1">
      <c r="A1679" s="302">
        <f t="shared" si="4"/>
        <v>47851</v>
      </c>
      <c r="B1679" s="241">
        <f t="shared" si="1"/>
        <v>2031</v>
      </c>
      <c r="C1679" s="241">
        <f t="shared" si="2"/>
        <v>1</v>
      </c>
      <c r="D1679" s="301" t="str">
        <f t="shared" si="3"/>
        <v>Friday</v>
      </c>
      <c r="E1679" s="240"/>
      <c r="F1679" s="240"/>
      <c r="G1679" s="240"/>
      <c r="H1679" s="241"/>
      <c r="I1679" s="301"/>
      <c r="J1679" s="240"/>
      <c r="K1679" s="240"/>
      <c r="L1679" s="240"/>
      <c r="M1679" s="240"/>
      <c r="N1679" s="240"/>
      <c r="O1679" s="240"/>
      <c r="P1679" s="240"/>
      <c r="Q1679" s="240"/>
      <c r="R1679" s="240"/>
      <c r="S1679" s="240"/>
      <c r="T1679" s="240"/>
      <c r="U1679" s="240"/>
      <c r="V1679" s="240"/>
      <c r="W1679" s="240"/>
      <c r="X1679" s="240"/>
      <c r="Y1679" s="240"/>
      <c r="Z1679" s="240"/>
    </row>
    <row r="1680" ht="14.25" customHeight="1">
      <c r="A1680" s="302">
        <f t="shared" si="4"/>
        <v>47852</v>
      </c>
      <c r="B1680" s="241">
        <f t="shared" si="1"/>
        <v>2031</v>
      </c>
      <c r="C1680" s="241">
        <f t="shared" si="2"/>
        <v>1</v>
      </c>
      <c r="D1680" s="301" t="str">
        <f t="shared" si="3"/>
        <v>Saturday</v>
      </c>
      <c r="E1680" s="240"/>
      <c r="F1680" s="240"/>
      <c r="G1680" s="240"/>
      <c r="H1680" s="241"/>
      <c r="I1680" s="301"/>
      <c r="J1680" s="240"/>
      <c r="K1680" s="240"/>
      <c r="L1680" s="240"/>
      <c r="M1680" s="240"/>
      <c r="N1680" s="240"/>
      <c r="O1680" s="240"/>
      <c r="P1680" s="240"/>
      <c r="Q1680" s="240"/>
      <c r="R1680" s="240"/>
      <c r="S1680" s="240"/>
      <c r="T1680" s="240"/>
      <c r="U1680" s="240"/>
      <c r="V1680" s="240"/>
      <c r="W1680" s="240"/>
      <c r="X1680" s="240"/>
      <c r="Y1680" s="240"/>
      <c r="Z1680" s="240"/>
    </row>
    <row r="1681" ht="14.25" customHeight="1">
      <c r="A1681" s="302">
        <f t="shared" si="4"/>
        <v>47853</v>
      </c>
      <c r="B1681" s="241">
        <f t="shared" si="1"/>
        <v>2031</v>
      </c>
      <c r="C1681" s="241">
        <f t="shared" si="2"/>
        <v>1</v>
      </c>
      <c r="D1681" s="301" t="str">
        <f t="shared" si="3"/>
        <v>Sunday</v>
      </c>
      <c r="E1681" s="240"/>
      <c r="F1681" s="240"/>
      <c r="G1681" s="240"/>
      <c r="H1681" s="241"/>
      <c r="I1681" s="301"/>
      <c r="J1681" s="240"/>
      <c r="K1681" s="240"/>
      <c r="L1681" s="240"/>
      <c r="M1681" s="240"/>
      <c r="N1681" s="240"/>
      <c r="O1681" s="240"/>
      <c r="P1681" s="240"/>
      <c r="Q1681" s="240"/>
      <c r="R1681" s="240"/>
      <c r="S1681" s="240"/>
      <c r="T1681" s="240"/>
      <c r="U1681" s="240"/>
      <c r="V1681" s="240"/>
      <c r="W1681" s="240"/>
      <c r="X1681" s="240"/>
      <c r="Y1681" s="240"/>
      <c r="Z1681" s="240"/>
    </row>
    <row r="1682" ht="14.25" customHeight="1">
      <c r="A1682" s="302">
        <f t="shared" si="4"/>
        <v>47854</v>
      </c>
      <c r="B1682" s="241">
        <f t="shared" si="1"/>
        <v>2031</v>
      </c>
      <c r="C1682" s="241">
        <f t="shared" si="2"/>
        <v>1</v>
      </c>
      <c r="D1682" s="301" t="str">
        <f t="shared" si="3"/>
        <v>Monday</v>
      </c>
      <c r="E1682" s="240"/>
      <c r="F1682" s="240"/>
      <c r="G1682" s="240"/>
      <c r="H1682" s="241"/>
      <c r="I1682" s="301"/>
      <c r="J1682" s="240"/>
      <c r="K1682" s="240"/>
      <c r="L1682" s="240"/>
      <c r="M1682" s="240"/>
      <c r="N1682" s="240"/>
      <c r="O1682" s="240"/>
      <c r="P1682" s="240"/>
      <c r="Q1682" s="240"/>
      <c r="R1682" s="240"/>
      <c r="S1682" s="240"/>
      <c r="T1682" s="240"/>
      <c r="U1682" s="240"/>
      <c r="V1682" s="240"/>
      <c r="W1682" s="240"/>
      <c r="X1682" s="240"/>
      <c r="Y1682" s="240"/>
      <c r="Z1682" s="240"/>
    </row>
    <row r="1683" ht="14.25" customHeight="1">
      <c r="A1683" s="302">
        <f t="shared" si="4"/>
        <v>47855</v>
      </c>
      <c r="B1683" s="241">
        <f t="shared" si="1"/>
        <v>2031</v>
      </c>
      <c r="C1683" s="241">
        <f t="shared" si="2"/>
        <v>1</v>
      </c>
      <c r="D1683" s="301" t="str">
        <f t="shared" si="3"/>
        <v>Tuesday</v>
      </c>
      <c r="E1683" s="240"/>
      <c r="F1683" s="240"/>
      <c r="G1683" s="240"/>
      <c r="H1683" s="241"/>
      <c r="I1683" s="301"/>
      <c r="J1683" s="240"/>
      <c r="K1683" s="240"/>
      <c r="L1683" s="240"/>
      <c r="M1683" s="240"/>
      <c r="N1683" s="240"/>
      <c r="O1683" s="240"/>
      <c r="P1683" s="240"/>
      <c r="Q1683" s="240"/>
      <c r="R1683" s="240"/>
      <c r="S1683" s="240"/>
      <c r="T1683" s="240"/>
      <c r="U1683" s="240"/>
      <c r="V1683" s="240"/>
      <c r="W1683" s="240"/>
      <c r="X1683" s="240"/>
      <c r="Y1683" s="240"/>
      <c r="Z1683" s="240"/>
    </row>
    <row r="1684" ht="14.25" customHeight="1">
      <c r="A1684" s="302">
        <f t="shared" si="4"/>
        <v>47856</v>
      </c>
      <c r="B1684" s="241">
        <f t="shared" si="1"/>
        <v>2031</v>
      </c>
      <c r="C1684" s="241">
        <f t="shared" si="2"/>
        <v>1</v>
      </c>
      <c r="D1684" s="301" t="str">
        <f t="shared" si="3"/>
        <v>Wednesday</v>
      </c>
      <c r="E1684" s="240"/>
      <c r="F1684" s="240"/>
      <c r="G1684" s="240"/>
      <c r="H1684" s="241"/>
      <c r="I1684" s="301"/>
      <c r="J1684" s="240"/>
      <c r="K1684" s="240"/>
      <c r="L1684" s="240"/>
      <c r="M1684" s="240"/>
      <c r="N1684" s="240"/>
      <c r="O1684" s="240"/>
      <c r="P1684" s="240"/>
      <c r="Q1684" s="240"/>
      <c r="R1684" s="240"/>
      <c r="S1684" s="240"/>
      <c r="T1684" s="240"/>
      <c r="U1684" s="240"/>
      <c r="V1684" s="240"/>
      <c r="W1684" s="240"/>
      <c r="X1684" s="240"/>
      <c r="Y1684" s="240"/>
      <c r="Z1684" s="240"/>
    </row>
    <row r="1685" ht="14.25" customHeight="1">
      <c r="A1685" s="302">
        <f t="shared" si="4"/>
        <v>47857</v>
      </c>
      <c r="B1685" s="241">
        <f t="shared" si="1"/>
        <v>2031</v>
      </c>
      <c r="C1685" s="241">
        <f t="shared" si="2"/>
        <v>1</v>
      </c>
      <c r="D1685" s="301" t="str">
        <f t="shared" si="3"/>
        <v>Thursday</v>
      </c>
      <c r="E1685" s="240"/>
      <c r="F1685" s="240"/>
      <c r="G1685" s="240"/>
      <c r="H1685" s="241"/>
      <c r="I1685" s="301"/>
      <c r="J1685" s="240"/>
      <c r="K1685" s="240"/>
      <c r="L1685" s="240"/>
      <c r="M1685" s="240"/>
      <c r="N1685" s="240"/>
      <c r="O1685" s="240"/>
      <c r="P1685" s="240"/>
      <c r="Q1685" s="240"/>
      <c r="R1685" s="240"/>
      <c r="S1685" s="240"/>
      <c r="T1685" s="240"/>
      <c r="U1685" s="240"/>
      <c r="V1685" s="240"/>
      <c r="W1685" s="240"/>
      <c r="X1685" s="240"/>
      <c r="Y1685" s="240"/>
      <c r="Z1685" s="240"/>
    </row>
    <row r="1686" ht="14.25" customHeight="1">
      <c r="A1686" s="302">
        <f t="shared" si="4"/>
        <v>47858</v>
      </c>
      <c r="B1686" s="241">
        <f t="shared" si="1"/>
        <v>2031</v>
      </c>
      <c r="C1686" s="241">
        <f t="shared" si="2"/>
        <v>1</v>
      </c>
      <c r="D1686" s="301" t="str">
        <f t="shared" si="3"/>
        <v>Friday</v>
      </c>
      <c r="E1686" s="240"/>
      <c r="F1686" s="240"/>
      <c r="G1686" s="240"/>
      <c r="H1686" s="241"/>
      <c r="I1686" s="301"/>
      <c r="J1686" s="240"/>
      <c r="K1686" s="240"/>
      <c r="L1686" s="240"/>
      <c r="M1686" s="240"/>
      <c r="N1686" s="240"/>
      <c r="O1686" s="240"/>
      <c r="P1686" s="240"/>
      <c r="Q1686" s="240"/>
      <c r="R1686" s="240"/>
      <c r="S1686" s="240"/>
      <c r="T1686" s="240"/>
      <c r="U1686" s="240"/>
      <c r="V1686" s="240"/>
      <c r="W1686" s="240"/>
      <c r="X1686" s="240"/>
      <c r="Y1686" s="240"/>
      <c r="Z1686" s="240"/>
    </row>
    <row r="1687" ht="14.25" customHeight="1">
      <c r="A1687" s="302">
        <f t="shared" si="4"/>
        <v>47859</v>
      </c>
      <c r="B1687" s="241">
        <f t="shared" si="1"/>
        <v>2031</v>
      </c>
      <c r="C1687" s="241">
        <f t="shared" si="2"/>
        <v>1</v>
      </c>
      <c r="D1687" s="301" t="str">
        <f t="shared" si="3"/>
        <v>Saturday</v>
      </c>
      <c r="E1687" s="240"/>
      <c r="F1687" s="240"/>
      <c r="G1687" s="240"/>
      <c r="H1687" s="241"/>
      <c r="I1687" s="301"/>
      <c r="J1687" s="240"/>
      <c r="K1687" s="240"/>
      <c r="L1687" s="240"/>
      <c r="M1687" s="240"/>
      <c r="N1687" s="240"/>
      <c r="O1687" s="240"/>
      <c r="P1687" s="240"/>
      <c r="Q1687" s="240"/>
      <c r="R1687" s="240"/>
      <c r="S1687" s="240"/>
      <c r="T1687" s="240"/>
      <c r="U1687" s="240"/>
      <c r="V1687" s="240"/>
      <c r="W1687" s="240"/>
      <c r="X1687" s="240"/>
      <c r="Y1687" s="240"/>
      <c r="Z1687" s="240"/>
    </row>
    <row r="1688" ht="14.25" customHeight="1">
      <c r="A1688" s="302">
        <f t="shared" si="4"/>
        <v>47860</v>
      </c>
      <c r="B1688" s="241">
        <f t="shared" si="1"/>
        <v>2031</v>
      </c>
      <c r="C1688" s="241">
        <f t="shared" si="2"/>
        <v>1</v>
      </c>
      <c r="D1688" s="301" t="str">
        <f t="shared" si="3"/>
        <v>Sunday</v>
      </c>
      <c r="E1688" s="240"/>
      <c r="F1688" s="240"/>
      <c r="G1688" s="240"/>
      <c r="H1688" s="241"/>
      <c r="I1688" s="301"/>
      <c r="J1688" s="240"/>
      <c r="K1688" s="240"/>
      <c r="L1688" s="240"/>
      <c r="M1688" s="240"/>
      <c r="N1688" s="240"/>
      <c r="O1688" s="240"/>
      <c r="P1688" s="240"/>
      <c r="Q1688" s="240"/>
      <c r="R1688" s="240"/>
      <c r="S1688" s="240"/>
      <c r="T1688" s="240"/>
      <c r="U1688" s="240"/>
      <c r="V1688" s="240"/>
      <c r="W1688" s="240"/>
      <c r="X1688" s="240"/>
      <c r="Y1688" s="240"/>
      <c r="Z1688" s="240"/>
    </row>
    <row r="1689" ht="14.25" customHeight="1">
      <c r="A1689" s="302">
        <f t="shared" si="4"/>
        <v>47861</v>
      </c>
      <c r="B1689" s="241">
        <f t="shared" si="1"/>
        <v>2031</v>
      </c>
      <c r="C1689" s="241">
        <f t="shared" si="2"/>
        <v>1</v>
      </c>
      <c r="D1689" s="301" t="str">
        <f t="shared" si="3"/>
        <v>Monday</v>
      </c>
      <c r="E1689" s="240"/>
      <c r="F1689" s="240"/>
      <c r="G1689" s="240"/>
      <c r="H1689" s="241"/>
      <c r="I1689" s="301"/>
      <c r="J1689" s="240"/>
      <c r="K1689" s="240"/>
      <c r="L1689" s="240"/>
      <c r="M1689" s="240"/>
      <c r="N1689" s="240"/>
      <c r="O1689" s="240"/>
      <c r="P1689" s="240"/>
      <c r="Q1689" s="240"/>
      <c r="R1689" s="240"/>
      <c r="S1689" s="240"/>
      <c r="T1689" s="240"/>
      <c r="U1689" s="240"/>
      <c r="V1689" s="240"/>
      <c r="W1689" s="240"/>
      <c r="X1689" s="240"/>
      <c r="Y1689" s="240"/>
      <c r="Z1689" s="240"/>
    </row>
    <row r="1690" ht="14.25" customHeight="1">
      <c r="A1690" s="302">
        <f t="shared" si="4"/>
        <v>47862</v>
      </c>
      <c r="B1690" s="241">
        <f t="shared" si="1"/>
        <v>2031</v>
      </c>
      <c r="C1690" s="241">
        <f t="shared" si="2"/>
        <v>1</v>
      </c>
      <c r="D1690" s="301" t="str">
        <f t="shared" si="3"/>
        <v>Tuesday</v>
      </c>
      <c r="E1690" s="240"/>
      <c r="F1690" s="240"/>
      <c r="G1690" s="240"/>
      <c r="H1690" s="241"/>
      <c r="I1690" s="301"/>
      <c r="J1690" s="240"/>
      <c r="K1690" s="240"/>
      <c r="L1690" s="240"/>
      <c r="M1690" s="240"/>
      <c r="N1690" s="240"/>
      <c r="O1690" s="240"/>
      <c r="P1690" s="240"/>
      <c r="Q1690" s="240"/>
      <c r="R1690" s="240"/>
      <c r="S1690" s="240"/>
      <c r="T1690" s="240"/>
      <c r="U1690" s="240"/>
      <c r="V1690" s="240"/>
      <c r="W1690" s="240"/>
      <c r="X1690" s="240"/>
      <c r="Y1690" s="240"/>
      <c r="Z1690" s="240"/>
    </row>
    <row r="1691" ht="14.25" customHeight="1">
      <c r="A1691" s="302">
        <f t="shared" si="4"/>
        <v>47863</v>
      </c>
      <c r="B1691" s="241">
        <f t="shared" si="1"/>
        <v>2031</v>
      </c>
      <c r="C1691" s="241">
        <f t="shared" si="2"/>
        <v>1</v>
      </c>
      <c r="D1691" s="301" t="str">
        <f t="shared" si="3"/>
        <v>Wednesday</v>
      </c>
      <c r="E1691" s="240"/>
      <c r="F1691" s="240"/>
      <c r="G1691" s="240"/>
      <c r="H1691" s="241"/>
      <c r="I1691" s="301"/>
      <c r="J1691" s="240"/>
      <c r="K1691" s="240"/>
      <c r="L1691" s="240"/>
      <c r="M1691" s="240"/>
      <c r="N1691" s="240"/>
      <c r="O1691" s="240"/>
      <c r="P1691" s="240"/>
      <c r="Q1691" s="240"/>
      <c r="R1691" s="240"/>
      <c r="S1691" s="240"/>
      <c r="T1691" s="240"/>
      <c r="U1691" s="240"/>
      <c r="V1691" s="240"/>
      <c r="W1691" s="240"/>
      <c r="X1691" s="240"/>
      <c r="Y1691" s="240"/>
      <c r="Z1691" s="240"/>
    </row>
    <row r="1692" ht="14.25" customHeight="1">
      <c r="A1692" s="302">
        <f t="shared" si="4"/>
        <v>47864</v>
      </c>
      <c r="B1692" s="241">
        <f t="shared" si="1"/>
        <v>2031</v>
      </c>
      <c r="C1692" s="241">
        <f t="shared" si="2"/>
        <v>1</v>
      </c>
      <c r="D1692" s="301" t="str">
        <f t="shared" si="3"/>
        <v>Thursday</v>
      </c>
      <c r="E1692" s="240"/>
      <c r="F1692" s="240"/>
      <c r="G1692" s="240"/>
      <c r="H1692" s="241"/>
      <c r="I1692" s="301"/>
      <c r="J1692" s="240"/>
      <c r="K1692" s="240"/>
      <c r="L1692" s="240"/>
      <c r="M1692" s="240"/>
      <c r="N1692" s="240"/>
      <c r="O1692" s="240"/>
      <c r="P1692" s="240"/>
      <c r="Q1692" s="240"/>
      <c r="R1692" s="240"/>
      <c r="S1692" s="240"/>
      <c r="T1692" s="240"/>
      <c r="U1692" s="240"/>
      <c r="V1692" s="240"/>
      <c r="W1692" s="240"/>
      <c r="X1692" s="240"/>
      <c r="Y1692" s="240"/>
      <c r="Z1692" s="240"/>
    </row>
    <row r="1693" ht="14.25" customHeight="1">
      <c r="A1693" s="302">
        <f t="shared" si="4"/>
        <v>47865</v>
      </c>
      <c r="B1693" s="241">
        <f t="shared" si="1"/>
        <v>2031</v>
      </c>
      <c r="C1693" s="241">
        <f t="shared" si="2"/>
        <v>1</v>
      </c>
      <c r="D1693" s="301" t="str">
        <f t="shared" si="3"/>
        <v>Friday</v>
      </c>
      <c r="E1693" s="240"/>
      <c r="F1693" s="240"/>
      <c r="G1693" s="240"/>
      <c r="H1693" s="241"/>
      <c r="I1693" s="301"/>
      <c r="J1693" s="240"/>
      <c r="K1693" s="240"/>
      <c r="L1693" s="240"/>
      <c r="M1693" s="240"/>
      <c r="N1693" s="240"/>
      <c r="O1693" s="240"/>
      <c r="P1693" s="240"/>
      <c r="Q1693" s="240"/>
      <c r="R1693" s="240"/>
      <c r="S1693" s="240"/>
      <c r="T1693" s="240"/>
      <c r="U1693" s="240"/>
      <c r="V1693" s="240"/>
      <c r="W1693" s="240"/>
      <c r="X1693" s="240"/>
      <c r="Y1693" s="240"/>
      <c r="Z1693" s="240"/>
    </row>
    <row r="1694" ht="14.25" customHeight="1">
      <c r="A1694" s="302">
        <f t="shared" si="4"/>
        <v>47866</v>
      </c>
      <c r="B1694" s="241">
        <f t="shared" si="1"/>
        <v>2031</v>
      </c>
      <c r="C1694" s="241">
        <f t="shared" si="2"/>
        <v>1</v>
      </c>
      <c r="D1694" s="301" t="str">
        <f t="shared" si="3"/>
        <v>Saturday</v>
      </c>
      <c r="E1694" s="240"/>
      <c r="F1694" s="240"/>
      <c r="G1694" s="240"/>
      <c r="H1694" s="241"/>
      <c r="I1694" s="301"/>
      <c r="J1694" s="240"/>
      <c r="K1694" s="240"/>
      <c r="L1694" s="240"/>
      <c r="M1694" s="240"/>
      <c r="N1694" s="240"/>
      <c r="O1694" s="240"/>
      <c r="P1694" s="240"/>
      <c r="Q1694" s="240"/>
      <c r="R1694" s="240"/>
      <c r="S1694" s="240"/>
      <c r="T1694" s="240"/>
      <c r="U1694" s="240"/>
      <c r="V1694" s="240"/>
      <c r="W1694" s="240"/>
      <c r="X1694" s="240"/>
      <c r="Y1694" s="240"/>
      <c r="Z1694" s="240"/>
    </row>
    <row r="1695" ht="14.25" customHeight="1">
      <c r="A1695" s="302">
        <f t="shared" si="4"/>
        <v>47867</v>
      </c>
      <c r="B1695" s="241">
        <f t="shared" si="1"/>
        <v>2031</v>
      </c>
      <c r="C1695" s="241">
        <f t="shared" si="2"/>
        <v>1</v>
      </c>
      <c r="D1695" s="301" t="str">
        <f t="shared" si="3"/>
        <v>Sunday</v>
      </c>
      <c r="E1695" s="240"/>
      <c r="F1695" s="240"/>
      <c r="G1695" s="240"/>
      <c r="H1695" s="241"/>
      <c r="I1695" s="301"/>
      <c r="J1695" s="240"/>
      <c r="K1695" s="240"/>
      <c r="L1695" s="240"/>
      <c r="M1695" s="240"/>
      <c r="N1695" s="240"/>
      <c r="O1695" s="240"/>
      <c r="P1695" s="240"/>
      <c r="Q1695" s="240"/>
      <c r="R1695" s="240"/>
      <c r="S1695" s="240"/>
      <c r="T1695" s="240"/>
      <c r="U1695" s="240"/>
      <c r="V1695" s="240"/>
      <c r="W1695" s="240"/>
      <c r="X1695" s="240"/>
      <c r="Y1695" s="240"/>
      <c r="Z1695" s="240"/>
    </row>
    <row r="1696" ht="14.25" customHeight="1">
      <c r="A1696" s="302">
        <f t="shared" si="4"/>
        <v>47868</v>
      </c>
      <c r="B1696" s="241">
        <f t="shared" si="1"/>
        <v>2031</v>
      </c>
      <c r="C1696" s="241">
        <f t="shared" si="2"/>
        <v>1</v>
      </c>
      <c r="D1696" s="301" t="str">
        <f t="shared" si="3"/>
        <v>Monday</v>
      </c>
      <c r="E1696" s="240"/>
      <c r="F1696" s="240"/>
      <c r="G1696" s="240"/>
      <c r="H1696" s="241"/>
      <c r="I1696" s="301"/>
      <c r="J1696" s="240"/>
      <c r="K1696" s="240"/>
      <c r="L1696" s="240"/>
      <c r="M1696" s="240"/>
      <c r="N1696" s="240"/>
      <c r="O1696" s="240"/>
      <c r="P1696" s="240"/>
      <c r="Q1696" s="240"/>
      <c r="R1696" s="240"/>
      <c r="S1696" s="240"/>
      <c r="T1696" s="240"/>
      <c r="U1696" s="240"/>
      <c r="V1696" s="240"/>
      <c r="W1696" s="240"/>
      <c r="X1696" s="240"/>
      <c r="Y1696" s="240"/>
      <c r="Z1696" s="240"/>
    </row>
    <row r="1697" ht="14.25" customHeight="1">
      <c r="A1697" s="302">
        <f t="shared" si="4"/>
        <v>47869</v>
      </c>
      <c r="B1697" s="241">
        <f t="shared" si="1"/>
        <v>2031</v>
      </c>
      <c r="C1697" s="241">
        <f t="shared" si="2"/>
        <v>1</v>
      </c>
      <c r="D1697" s="301" t="str">
        <f t="shared" si="3"/>
        <v>Tuesday</v>
      </c>
      <c r="E1697" s="240"/>
      <c r="F1697" s="240"/>
      <c r="G1697" s="240"/>
      <c r="H1697" s="241"/>
      <c r="I1697" s="301"/>
      <c r="J1697" s="240"/>
      <c r="K1697" s="240"/>
      <c r="L1697" s="240"/>
      <c r="M1697" s="240"/>
      <c r="N1697" s="240"/>
      <c r="O1697" s="240"/>
      <c r="P1697" s="240"/>
      <c r="Q1697" s="240"/>
      <c r="R1697" s="240"/>
      <c r="S1697" s="240"/>
      <c r="T1697" s="240"/>
      <c r="U1697" s="240"/>
      <c r="V1697" s="240"/>
      <c r="W1697" s="240"/>
      <c r="X1697" s="240"/>
      <c r="Y1697" s="240"/>
      <c r="Z1697" s="240"/>
    </row>
    <row r="1698" ht="14.25" customHeight="1">
      <c r="A1698" s="302">
        <f t="shared" si="4"/>
        <v>47870</v>
      </c>
      <c r="B1698" s="241">
        <f t="shared" si="1"/>
        <v>2031</v>
      </c>
      <c r="C1698" s="241">
        <f t="shared" si="2"/>
        <v>1</v>
      </c>
      <c r="D1698" s="301" t="str">
        <f t="shared" si="3"/>
        <v>Wednesday</v>
      </c>
      <c r="E1698" s="240"/>
      <c r="F1698" s="240"/>
      <c r="G1698" s="240"/>
      <c r="H1698" s="241"/>
      <c r="I1698" s="301"/>
      <c r="J1698" s="240"/>
      <c r="K1698" s="240"/>
      <c r="L1698" s="240"/>
      <c r="M1698" s="240"/>
      <c r="N1698" s="240"/>
      <c r="O1698" s="240"/>
      <c r="P1698" s="240"/>
      <c r="Q1698" s="240"/>
      <c r="R1698" s="240"/>
      <c r="S1698" s="240"/>
      <c r="T1698" s="240"/>
      <c r="U1698" s="240"/>
      <c r="V1698" s="240"/>
      <c r="W1698" s="240"/>
      <c r="X1698" s="240"/>
      <c r="Y1698" s="240"/>
      <c r="Z1698" s="240"/>
    </row>
    <row r="1699" ht="14.25" customHeight="1">
      <c r="A1699" s="302">
        <f t="shared" si="4"/>
        <v>47871</v>
      </c>
      <c r="B1699" s="241">
        <f t="shared" si="1"/>
        <v>2031</v>
      </c>
      <c r="C1699" s="241">
        <f t="shared" si="2"/>
        <v>1</v>
      </c>
      <c r="D1699" s="301" t="str">
        <f t="shared" si="3"/>
        <v>Thursday</v>
      </c>
      <c r="E1699" s="240"/>
      <c r="F1699" s="240"/>
      <c r="G1699" s="240"/>
      <c r="H1699" s="241"/>
      <c r="I1699" s="301"/>
      <c r="J1699" s="240"/>
      <c r="K1699" s="240"/>
      <c r="L1699" s="240"/>
      <c r="M1699" s="240"/>
      <c r="N1699" s="240"/>
      <c r="O1699" s="240"/>
      <c r="P1699" s="240"/>
      <c r="Q1699" s="240"/>
      <c r="R1699" s="240"/>
      <c r="S1699" s="240"/>
      <c r="T1699" s="240"/>
      <c r="U1699" s="240"/>
      <c r="V1699" s="240"/>
      <c r="W1699" s="240"/>
      <c r="X1699" s="240"/>
      <c r="Y1699" s="240"/>
      <c r="Z1699" s="240"/>
    </row>
    <row r="1700" ht="14.25" customHeight="1">
      <c r="A1700" s="302">
        <f t="shared" si="4"/>
        <v>47872</v>
      </c>
      <c r="B1700" s="241">
        <f t="shared" si="1"/>
        <v>2031</v>
      </c>
      <c r="C1700" s="241">
        <f t="shared" si="2"/>
        <v>1</v>
      </c>
      <c r="D1700" s="301" t="str">
        <f t="shared" si="3"/>
        <v>Friday</v>
      </c>
      <c r="E1700" s="240"/>
      <c r="F1700" s="240"/>
      <c r="G1700" s="240"/>
      <c r="H1700" s="241"/>
      <c r="I1700" s="301"/>
      <c r="J1700" s="240"/>
      <c r="K1700" s="240"/>
      <c r="L1700" s="240"/>
      <c r="M1700" s="240"/>
      <c r="N1700" s="240"/>
      <c r="O1700" s="240"/>
      <c r="P1700" s="240"/>
      <c r="Q1700" s="240"/>
      <c r="R1700" s="240"/>
      <c r="S1700" s="240"/>
      <c r="T1700" s="240"/>
      <c r="U1700" s="240"/>
      <c r="V1700" s="240"/>
      <c r="W1700" s="240"/>
      <c r="X1700" s="240"/>
      <c r="Y1700" s="240"/>
      <c r="Z1700" s="240"/>
    </row>
    <row r="1701" ht="14.25" customHeight="1">
      <c r="A1701" s="302">
        <f t="shared" si="4"/>
        <v>47873</v>
      </c>
      <c r="B1701" s="241">
        <f t="shared" si="1"/>
        <v>2031</v>
      </c>
      <c r="C1701" s="241">
        <f t="shared" si="2"/>
        <v>1</v>
      </c>
      <c r="D1701" s="301" t="str">
        <f t="shared" si="3"/>
        <v>Saturday</v>
      </c>
      <c r="E1701" s="240"/>
      <c r="F1701" s="240"/>
      <c r="G1701" s="240"/>
      <c r="H1701" s="241"/>
      <c r="I1701" s="301"/>
      <c r="J1701" s="240"/>
      <c r="K1701" s="240"/>
      <c r="L1701" s="240"/>
      <c r="M1701" s="240"/>
      <c r="N1701" s="240"/>
      <c r="O1701" s="240"/>
      <c r="P1701" s="240"/>
      <c r="Q1701" s="240"/>
      <c r="R1701" s="240"/>
      <c r="S1701" s="240"/>
      <c r="T1701" s="240"/>
      <c r="U1701" s="240"/>
      <c r="V1701" s="240"/>
      <c r="W1701" s="240"/>
      <c r="X1701" s="240"/>
      <c r="Y1701" s="240"/>
      <c r="Z1701" s="240"/>
    </row>
    <row r="1702" ht="14.25" customHeight="1">
      <c r="A1702" s="302">
        <f t="shared" si="4"/>
        <v>47874</v>
      </c>
      <c r="B1702" s="241">
        <f t="shared" si="1"/>
        <v>2031</v>
      </c>
      <c r="C1702" s="241">
        <f t="shared" si="2"/>
        <v>1</v>
      </c>
      <c r="D1702" s="301" t="str">
        <f t="shared" si="3"/>
        <v>Sunday</v>
      </c>
      <c r="E1702" s="240"/>
      <c r="F1702" s="240"/>
      <c r="G1702" s="240"/>
      <c r="H1702" s="241"/>
      <c r="I1702" s="301"/>
      <c r="J1702" s="240"/>
      <c r="K1702" s="240"/>
      <c r="L1702" s="240"/>
      <c r="M1702" s="240"/>
      <c r="N1702" s="240"/>
      <c r="O1702" s="240"/>
      <c r="P1702" s="240"/>
      <c r="Q1702" s="240"/>
      <c r="R1702" s="240"/>
      <c r="S1702" s="240"/>
      <c r="T1702" s="240"/>
      <c r="U1702" s="240"/>
      <c r="V1702" s="240"/>
      <c r="W1702" s="240"/>
      <c r="X1702" s="240"/>
      <c r="Y1702" s="240"/>
      <c r="Z1702" s="240"/>
    </row>
    <row r="1703" ht="14.25" customHeight="1">
      <c r="A1703" s="302">
        <f t="shared" si="4"/>
        <v>47875</v>
      </c>
      <c r="B1703" s="241">
        <f t="shared" si="1"/>
        <v>2031</v>
      </c>
      <c r="C1703" s="241">
        <f t="shared" si="2"/>
        <v>1</v>
      </c>
      <c r="D1703" s="301" t="str">
        <f t="shared" si="3"/>
        <v>Monday</v>
      </c>
      <c r="E1703" s="240"/>
      <c r="F1703" s="240"/>
      <c r="G1703" s="240"/>
      <c r="H1703" s="241"/>
      <c r="I1703" s="301"/>
      <c r="J1703" s="240"/>
      <c r="K1703" s="240"/>
      <c r="L1703" s="240"/>
      <c r="M1703" s="240"/>
      <c r="N1703" s="240"/>
      <c r="O1703" s="240"/>
      <c r="P1703" s="240"/>
      <c r="Q1703" s="240"/>
      <c r="R1703" s="240"/>
      <c r="S1703" s="240"/>
      <c r="T1703" s="240"/>
      <c r="U1703" s="240"/>
      <c r="V1703" s="240"/>
      <c r="W1703" s="240"/>
      <c r="X1703" s="240"/>
      <c r="Y1703" s="240"/>
      <c r="Z1703" s="240"/>
    </row>
    <row r="1704" ht="14.25" customHeight="1">
      <c r="A1704" s="302">
        <f t="shared" si="4"/>
        <v>47876</v>
      </c>
      <c r="B1704" s="241">
        <f t="shared" si="1"/>
        <v>2031</v>
      </c>
      <c r="C1704" s="241">
        <f t="shared" si="2"/>
        <v>1</v>
      </c>
      <c r="D1704" s="301" t="str">
        <f t="shared" si="3"/>
        <v>Tuesday</v>
      </c>
      <c r="E1704" s="240"/>
      <c r="F1704" s="240"/>
      <c r="G1704" s="240"/>
      <c r="H1704" s="241"/>
      <c r="I1704" s="301"/>
      <c r="J1704" s="240"/>
      <c r="K1704" s="240"/>
      <c r="L1704" s="240"/>
      <c r="M1704" s="240"/>
      <c r="N1704" s="240"/>
      <c r="O1704" s="240"/>
      <c r="P1704" s="240"/>
      <c r="Q1704" s="240"/>
      <c r="R1704" s="240"/>
      <c r="S1704" s="240"/>
      <c r="T1704" s="240"/>
      <c r="U1704" s="240"/>
      <c r="V1704" s="240"/>
      <c r="W1704" s="240"/>
      <c r="X1704" s="240"/>
      <c r="Y1704" s="240"/>
      <c r="Z1704" s="240"/>
    </row>
    <row r="1705" ht="14.25" customHeight="1">
      <c r="A1705" s="302">
        <f t="shared" si="4"/>
        <v>47877</v>
      </c>
      <c r="B1705" s="241">
        <f t="shared" si="1"/>
        <v>2031</v>
      </c>
      <c r="C1705" s="241">
        <f t="shared" si="2"/>
        <v>1</v>
      </c>
      <c r="D1705" s="301" t="str">
        <f t="shared" si="3"/>
        <v>Wednesday</v>
      </c>
      <c r="E1705" s="240"/>
      <c r="F1705" s="240"/>
      <c r="G1705" s="240"/>
      <c r="H1705" s="241"/>
      <c r="I1705" s="301"/>
      <c r="J1705" s="240"/>
      <c r="K1705" s="240"/>
      <c r="L1705" s="240"/>
      <c r="M1705" s="240"/>
      <c r="N1705" s="240"/>
      <c r="O1705" s="240"/>
      <c r="P1705" s="240"/>
      <c r="Q1705" s="240"/>
      <c r="R1705" s="240"/>
      <c r="S1705" s="240"/>
      <c r="T1705" s="240"/>
      <c r="U1705" s="240"/>
      <c r="V1705" s="240"/>
      <c r="W1705" s="240"/>
      <c r="X1705" s="240"/>
      <c r="Y1705" s="240"/>
      <c r="Z1705" s="240"/>
    </row>
    <row r="1706" ht="14.25" customHeight="1">
      <c r="A1706" s="302">
        <f t="shared" si="4"/>
        <v>47878</v>
      </c>
      <c r="B1706" s="241">
        <f t="shared" si="1"/>
        <v>2031</v>
      </c>
      <c r="C1706" s="241">
        <f t="shared" si="2"/>
        <v>1</v>
      </c>
      <c r="D1706" s="301" t="str">
        <f t="shared" si="3"/>
        <v>Thursday</v>
      </c>
      <c r="E1706" s="240"/>
      <c r="F1706" s="240"/>
      <c r="G1706" s="240"/>
      <c r="H1706" s="241"/>
      <c r="I1706" s="301"/>
      <c r="J1706" s="240"/>
      <c r="K1706" s="240"/>
      <c r="L1706" s="240"/>
      <c r="M1706" s="240"/>
      <c r="N1706" s="240"/>
      <c r="O1706" s="240"/>
      <c r="P1706" s="240"/>
      <c r="Q1706" s="240"/>
      <c r="R1706" s="240"/>
      <c r="S1706" s="240"/>
      <c r="T1706" s="240"/>
      <c r="U1706" s="240"/>
      <c r="V1706" s="240"/>
      <c r="W1706" s="240"/>
      <c r="X1706" s="240"/>
      <c r="Y1706" s="240"/>
      <c r="Z1706" s="240"/>
    </row>
    <row r="1707" ht="14.25" customHeight="1">
      <c r="A1707" s="302">
        <f t="shared" si="4"/>
        <v>47879</v>
      </c>
      <c r="B1707" s="241">
        <f t="shared" si="1"/>
        <v>2031</v>
      </c>
      <c r="C1707" s="241">
        <f t="shared" si="2"/>
        <v>1</v>
      </c>
      <c r="D1707" s="301" t="str">
        <f t="shared" si="3"/>
        <v>Friday</v>
      </c>
      <c r="E1707" s="240"/>
      <c r="F1707" s="240"/>
      <c r="G1707" s="240"/>
      <c r="H1707" s="241"/>
      <c r="I1707" s="301"/>
      <c r="J1707" s="240"/>
      <c r="K1707" s="240"/>
      <c r="L1707" s="240"/>
      <c r="M1707" s="240"/>
      <c r="N1707" s="240"/>
      <c r="O1707" s="240"/>
      <c r="P1707" s="240"/>
      <c r="Q1707" s="240"/>
      <c r="R1707" s="240"/>
      <c r="S1707" s="240"/>
      <c r="T1707" s="240"/>
      <c r="U1707" s="240"/>
      <c r="V1707" s="240"/>
      <c r="W1707" s="240"/>
      <c r="X1707" s="240"/>
      <c r="Y1707" s="240"/>
      <c r="Z1707" s="240"/>
    </row>
    <row r="1708" ht="14.25" customHeight="1">
      <c r="A1708" s="302">
        <f t="shared" si="4"/>
        <v>47880</v>
      </c>
      <c r="B1708" s="241">
        <f t="shared" si="1"/>
        <v>2031</v>
      </c>
      <c r="C1708" s="241">
        <f t="shared" si="2"/>
        <v>2</v>
      </c>
      <c r="D1708" s="301" t="str">
        <f t="shared" si="3"/>
        <v>Saturday</v>
      </c>
      <c r="E1708" s="240"/>
      <c r="F1708" s="240"/>
      <c r="G1708" s="240"/>
      <c r="H1708" s="241"/>
      <c r="I1708" s="301"/>
      <c r="J1708" s="240"/>
      <c r="K1708" s="240"/>
      <c r="L1708" s="240"/>
      <c r="M1708" s="240"/>
      <c r="N1708" s="240"/>
      <c r="O1708" s="240"/>
      <c r="P1708" s="240"/>
      <c r="Q1708" s="240"/>
      <c r="R1708" s="240"/>
      <c r="S1708" s="240"/>
      <c r="T1708" s="240"/>
      <c r="U1708" s="240"/>
      <c r="V1708" s="240"/>
      <c r="W1708" s="240"/>
      <c r="X1708" s="240"/>
      <c r="Y1708" s="240"/>
      <c r="Z1708" s="240"/>
    </row>
    <row r="1709" ht="14.25" customHeight="1">
      <c r="A1709" s="302">
        <f t="shared" si="4"/>
        <v>47881</v>
      </c>
      <c r="B1709" s="241">
        <f t="shared" si="1"/>
        <v>2031</v>
      </c>
      <c r="C1709" s="241">
        <f t="shared" si="2"/>
        <v>2</v>
      </c>
      <c r="D1709" s="301" t="str">
        <f t="shared" si="3"/>
        <v>Sunday</v>
      </c>
      <c r="E1709" s="240"/>
      <c r="F1709" s="240"/>
      <c r="G1709" s="240"/>
      <c r="H1709" s="241"/>
      <c r="I1709" s="301"/>
      <c r="J1709" s="240"/>
      <c r="K1709" s="240"/>
      <c r="L1709" s="240"/>
      <c r="M1709" s="240"/>
      <c r="N1709" s="240"/>
      <c r="O1709" s="240"/>
      <c r="P1709" s="240"/>
      <c r="Q1709" s="240"/>
      <c r="R1709" s="240"/>
      <c r="S1709" s="240"/>
      <c r="T1709" s="240"/>
      <c r="U1709" s="240"/>
      <c r="V1709" s="240"/>
      <c r="W1709" s="240"/>
      <c r="X1709" s="240"/>
      <c r="Y1709" s="240"/>
      <c r="Z1709" s="240"/>
    </row>
    <row r="1710" ht="14.25" customHeight="1">
      <c r="A1710" s="302">
        <f t="shared" si="4"/>
        <v>47882</v>
      </c>
      <c r="B1710" s="241">
        <f t="shared" si="1"/>
        <v>2031</v>
      </c>
      <c r="C1710" s="241">
        <f t="shared" si="2"/>
        <v>2</v>
      </c>
      <c r="D1710" s="301" t="str">
        <f t="shared" si="3"/>
        <v>Monday</v>
      </c>
      <c r="E1710" s="240"/>
      <c r="F1710" s="240"/>
      <c r="G1710" s="240"/>
      <c r="H1710" s="241"/>
      <c r="I1710" s="301"/>
      <c r="J1710" s="240"/>
      <c r="K1710" s="240"/>
      <c r="L1710" s="240"/>
      <c r="M1710" s="240"/>
      <c r="N1710" s="240"/>
      <c r="O1710" s="240"/>
      <c r="P1710" s="240"/>
      <c r="Q1710" s="240"/>
      <c r="R1710" s="240"/>
      <c r="S1710" s="240"/>
      <c r="T1710" s="240"/>
      <c r="U1710" s="240"/>
      <c r="V1710" s="240"/>
      <c r="W1710" s="240"/>
      <c r="X1710" s="240"/>
      <c r="Y1710" s="240"/>
      <c r="Z1710" s="240"/>
    </row>
    <row r="1711" ht="14.25" customHeight="1">
      <c r="A1711" s="302">
        <f t="shared" si="4"/>
        <v>47883</v>
      </c>
      <c r="B1711" s="241">
        <f t="shared" si="1"/>
        <v>2031</v>
      </c>
      <c r="C1711" s="241">
        <f t="shared" si="2"/>
        <v>2</v>
      </c>
      <c r="D1711" s="301" t="str">
        <f t="shared" si="3"/>
        <v>Tuesday</v>
      </c>
      <c r="E1711" s="240"/>
      <c r="F1711" s="240"/>
      <c r="G1711" s="240"/>
      <c r="H1711" s="241"/>
      <c r="I1711" s="301"/>
      <c r="J1711" s="240"/>
      <c r="K1711" s="240"/>
      <c r="L1711" s="240"/>
      <c r="M1711" s="240"/>
      <c r="N1711" s="240"/>
      <c r="O1711" s="240"/>
      <c r="P1711" s="240"/>
      <c r="Q1711" s="240"/>
      <c r="R1711" s="240"/>
      <c r="S1711" s="240"/>
      <c r="T1711" s="240"/>
      <c r="U1711" s="240"/>
      <c r="V1711" s="240"/>
      <c r="W1711" s="240"/>
      <c r="X1711" s="240"/>
      <c r="Y1711" s="240"/>
      <c r="Z1711" s="240"/>
    </row>
    <row r="1712" ht="14.25" customHeight="1">
      <c r="A1712" s="302">
        <f t="shared" si="4"/>
        <v>47884</v>
      </c>
      <c r="B1712" s="241">
        <f t="shared" si="1"/>
        <v>2031</v>
      </c>
      <c r="C1712" s="241">
        <f t="shared" si="2"/>
        <v>2</v>
      </c>
      <c r="D1712" s="301" t="str">
        <f t="shared" si="3"/>
        <v>Wednesday</v>
      </c>
      <c r="E1712" s="240"/>
      <c r="F1712" s="240"/>
      <c r="G1712" s="240"/>
      <c r="H1712" s="241"/>
      <c r="I1712" s="301"/>
      <c r="J1712" s="240"/>
      <c r="K1712" s="240"/>
      <c r="L1712" s="240"/>
      <c r="M1712" s="240"/>
      <c r="N1712" s="240"/>
      <c r="O1712" s="240"/>
      <c r="P1712" s="240"/>
      <c r="Q1712" s="240"/>
      <c r="R1712" s="240"/>
      <c r="S1712" s="240"/>
      <c r="T1712" s="240"/>
      <c r="U1712" s="240"/>
      <c r="V1712" s="240"/>
      <c r="W1712" s="240"/>
      <c r="X1712" s="240"/>
      <c r="Y1712" s="240"/>
      <c r="Z1712" s="240"/>
    </row>
    <row r="1713" ht="14.25" customHeight="1">
      <c r="A1713" s="302">
        <f t="shared" si="4"/>
        <v>47885</v>
      </c>
      <c r="B1713" s="241">
        <f t="shared" si="1"/>
        <v>2031</v>
      </c>
      <c r="C1713" s="241">
        <f t="shared" si="2"/>
        <v>2</v>
      </c>
      <c r="D1713" s="301" t="str">
        <f t="shared" si="3"/>
        <v>Thursday</v>
      </c>
      <c r="E1713" s="240"/>
      <c r="F1713" s="240"/>
      <c r="G1713" s="240"/>
      <c r="H1713" s="241"/>
      <c r="I1713" s="301"/>
      <c r="J1713" s="240"/>
      <c r="K1713" s="240"/>
      <c r="L1713" s="240"/>
      <c r="M1713" s="240"/>
      <c r="N1713" s="240"/>
      <c r="O1713" s="240"/>
      <c r="P1713" s="240"/>
      <c r="Q1713" s="240"/>
      <c r="R1713" s="240"/>
      <c r="S1713" s="240"/>
      <c r="T1713" s="240"/>
      <c r="U1713" s="240"/>
      <c r="V1713" s="240"/>
      <c r="W1713" s="240"/>
      <c r="X1713" s="240"/>
      <c r="Y1713" s="240"/>
      <c r="Z1713" s="240"/>
    </row>
    <row r="1714" ht="14.25" customHeight="1">
      <c r="A1714" s="302">
        <f t="shared" si="4"/>
        <v>47886</v>
      </c>
      <c r="B1714" s="241">
        <f t="shared" si="1"/>
        <v>2031</v>
      </c>
      <c r="C1714" s="241">
        <f t="shared" si="2"/>
        <v>2</v>
      </c>
      <c r="D1714" s="301" t="str">
        <f t="shared" si="3"/>
        <v>Friday</v>
      </c>
      <c r="E1714" s="240"/>
      <c r="F1714" s="240"/>
      <c r="G1714" s="240"/>
      <c r="H1714" s="241"/>
      <c r="I1714" s="301"/>
      <c r="J1714" s="240"/>
      <c r="K1714" s="240"/>
      <c r="L1714" s="240"/>
      <c r="M1714" s="240"/>
      <c r="N1714" s="240"/>
      <c r="O1714" s="240"/>
      <c r="P1714" s="240"/>
      <c r="Q1714" s="240"/>
      <c r="R1714" s="240"/>
      <c r="S1714" s="240"/>
      <c r="T1714" s="240"/>
      <c r="U1714" s="240"/>
      <c r="V1714" s="240"/>
      <c r="W1714" s="240"/>
      <c r="X1714" s="240"/>
      <c r="Y1714" s="240"/>
      <c r="Z1714" s="240"/>
    </row>
    <row r="1715" ht="14.25" customHeight="1">
      <c r="A1715" s="302">
        <f t="shared" si="4"/>
        <v>47887</v>
      </c>
      <c r="B1715" s="241">
        <f t="shared" si="1"/>
        <v>2031</v>
      </c>
      <c r="C1715" s="241">
        <f t="shared" si="2"/>
        <v>2</v>
      </c>
      <c r="D1715" s="301" t="str">
        <f t="shared" si="3"/>
        <v>Saturday</v>
      </c>
      <c r="E1715" s="240"/>
      <c r="F1715" s="240"/>
      <c r="G1715" s="240"/>
      <c r="H1715" s="241"/>
      <c r="I1715" s="301"/>
      <c r="J1715" s="240"/>
      <c r="K1715" s="240"/>
      <c r="L1715" s="240"/>
      <c r="M1715" s="240"/>
      <c r="N1715" s="240"/>
      <c r="O1715" s="240"/>
      <c r="P1715" s="240"/>
      <c r="Q1715" s="240"/>
      <c r="R1715" s="240"/>
      <c r="S1715" s="240"/>
      <c r="T1715" s="240"/>
      <c r="U1715" s="240"/>
      <c r="V1715" s="240"/>
      <c r="W1715" s="240"/>
      <c r="X1715" s="240"/>
      <c r="Y1715" s="240"/>
      <c r="Z1715" s="240"/>
    </row>
    <row r="1716" ht="14.25" customHeight="1">
      <c r="A1716" s="302">
        <f t="shared" si="4"/>
        <v>47888</v>
      </c>
      <c r="B1716" s="241">
        <f t="shared" si="1"/>
        <v>2031</v>
      </c>
      <c r="C1716" s="241">
        <f t="shared" si="2"/>
        <v>2</v>
      </c>
      <c r="D1716" s="301" t="str">
        <f t="shared" si="3"/>
        <v>Sunday</v>
      </c>
      <c r="E1716" s="240"/>
      <c r="F1716" s="240"/>
      <c r="G1716" s="240"/>
      <c r="H1716" s="241"/>
      <c r="I1716" s="301"/>
      <c r="J1716" s="240"/>
      <c r="K1716" s="240"/>
      <c r="L1716" s="240"/>
      <c r="M1716" s="240"/>
      <c r="N1716" s="240"/>
      <c r="O1716" s="240"/>
      <c r="P1716" s="240"/>
      <c r="Q1716" s="240"/>
      <c r="R1716" s="240"/>
      <c r="S1716" s="240"/>
      <c r="T1716" s="240"/>
      <c r="U1716" s="240"/>
      <c r="V1716" s="240"/>
      <c r="W1716" s="240"/>
      <c r="X1716" s="240"/>
      <c r="Y1716" s="240"/>
      <c r="Z1716" s="240"/>
    </row>
    <row r="1717" ht="14.25" customHeight="1">
      <c r="A1717" s="302">
        <f t="shared" si="4"/>
        <v>47889</v>
      </c>
      <c r="B1717" s="241">
        <f t="shared" si="1"/>
        <v>2031</v>
      </c>
      <c r="C1717" s="241">
        <f t="shared" si="2"/>
        <v>2</v>
      </c>
      <c r="D1717" s="301" t="str">
        <f t="shared" si="3"/>
        <v>Monday</v>
      </c>
      <c r="E1717" s="240"/>
      <c r="F1717" s="240"/>
      <c r="G1717" s="240"/>
      <c r="H1717" s="241"/>
      <c r="I1717" s="301"/>
      <c r="J1717" s="240"/>
      <c r="K1717" s="240"/>
      <c r="L1717" s="240"/>
      <c r="M1717" s="240"/>
      <c r="N1717" s="240"/>
      <c r="O1717" s="240"/>
      <c r="P1717" s="240"/>
      <c r="Q1717" s="240"/>
      <c r="R1717" s="240"/>
      <c r="S1717" s="240"/>
      <c r="T1717" s="240"/>
      <c r="U1717" s="240"/>
      <c r="V1717" s="240"/>
      <c r="W1717" s="240"/>
      <c r="X1717" s="240"/>
      <c r="Y1717" s="240"/>
      <c r="Z1717" s="240"/>
    </row>
    <row r="1718" ht="14.25" customHeight="1">
      <c r="A1718" s="302">
        <f t="shared" si="4"/>
        <v>47890</v>
      </c>
      <c r="B1718" s="241">
        <f t="shared" si="1"/>
        <v>2031</v>
      </c>
      <c r="C1718" s="241">
        <f t="shared" si="2"/>
        <v>2</v>
      </c>
      <c r="D1718" s="301" t="str">
        <f t="shared" si="3"/>
        <v>Tuesday</v>
      </c>
      <c r="E1718" s="240"/>
      <c r="F1718" s="240"/>
      <c r="G1718" s="240"/>
      <c r="H1718" s="241"/>
      <c r="I1718" s="301"/>
      <c r="J1718" s="240"/>
      <c r="K1718" s="240"/>
      <c r="L1718" s="240"/>
      <c r="M1718" s="240"/>
      <c r="N1718" s="240"/>
      <c r="O1718" s="240"/>
      <c r="P1718" s="240"/>
      <c r="Q1718" s="240"/>
      <c r="R1718" s="240"/>
      <c r="S1718" s="240"/>
      <c r="T1718" s="240"/>
      <c r="U1718" s="240"/>
      <c r="V1718" s="240"/>
      <c r="W1718" s="240"/>
      <c r="X1718" s="240"/>
      <c r="Y1718" s="240"/>
      <c r="Z1718" s="240"/>
    </row>
    <row r="1719" ht="14.25" customHeight="1">
      <c r="A1719" s="302">
        <f t="shared" si="4"/>
        <v>47891</v>
      </c>
      <c r="B1719" s="241">
        <f t="shared" si="1"/>
        <v>2031</v>
      </c>
      <c r="C1719" s="241">
        <f t="shared" si="2"/>
        <v>2</v>
      </c>
      <c r="D1719" s="301" t="str">
        <f t="shared" si="3"/>
        <v>Wednesday</v>
      </c>
      <c r="E1719" s="240"/>
      <c r="F1719" s="240"/>
      <c r="G1719" s="240"/>
      <c r="H1719" s="241"/>
      <c r="I1719" s="301"/>
      <c r="J1719" s="240"/>
      <c r="K1719" s="240"/>
      <c r="L1719" s="240"/>
      <c r="M1719" s="240"/>
      <c r="N1719" s="240"/>
      <c r="O1719" s="240"/>
      <c r="P1719" s="240"/>
      <c r="Q1719" s="240"/>
      <c r="R1719" s="240"/>
      <c r="S1719" s="240"/>
      <c r="T1719" s="240"/>
      <c r="U1719" s="240"/>
      <c r="V1719" s="240"/>
      <c r="W1719" s="240"/>
      <c r="X1719" s="240"/>
      <c r="Y1719" s="240"/>
      <c r="Z1719" s="240"/>
    </row>
    <row r="1720" ht="14.25" customHeight="1">
      <c r="A1720" s="302">
        <f t="shared" si="4"/>
        <v>47892</v>
      </c>
      <c r="B1720" s="241">
        <f t="shared" si="1"/>
        <v>2031</v>
      </c>
      <c r="C1720" s="241">
        <f t="shared" si="2"/>
        <v>2</v>
      </c>
      <c r="D1720" s="301" t="str">
        <f t="shared" si="3"/>
        <v>Thursday</v>
      </c>
      <c r="E1720" s="240"/>
      <c r="F1720" s="240"/>
      <c r="G1720" s="240"/>
      <c r="H1720" s="241"/>
      <c r="I1720" s="301"/>
      <c r="J1720" s="240"/>
      <c r="K1720" s="240"/>
      <c r="L1720" s="240"/>
      <c r="M1720" s="240"/>
      <c r="N1720" s="240"/>
      <c r="O1720" s="240"/>
      <c r="P1720" s="240"/>
      <c r="Q1720" s="240"/>
      <c r="R1720" s="240"/>
      <c r="S1720" s="240"/>
      <c r="T1720" s="240"/>
      <c r="U1720" s="240"/>
      <c r="V1720" s="240"/>
      <c r="W1720" s="240"/>
      <c r="X1720" s="240"/>
      <c r="Y1720" s="240"/>
      <c r="Z1720" s="240"/>
    </row>
    <row r="1721" ht="14.25" customHeight="1">
      <c r="A1721" s="302">
        <f t="shared" si="4"/>
        <v>47893</v>
      </c>
      <c r="B1721" s="241">
        <f t="shared" si="1"/>
        <v>2031</v>
      </c>
      <c r="C1721" s="241">
        <f t="shared" si="2"/>
        <v>2</v>
      </c>
      <c r="D1721" s="301" t="str">
        <f t="shared" si="3"/>
        <v>Friday</v>
      </c>
      <c r="E1721" s="240"/>
      <c r="F1721" s="240"/>
      <c r="G1721" s="240"/>
      <c r="H1721" s="241"/>
      <c r="I1721" s="301"/>
      <c r="J1721" s="240"/>
      <c r="K1721" s="240"/>
      <c r="L1721" s="240"/>
      <c r="M1721" s="240"/>
      <c r="N1721" s="240"/>
      <c r="O1721" s="240"/>
      <c r="P1721" s="240"/>
      <c r="Q1721" s="240"/>
      <c r="R1721" s="240"/>
      <c r="S1721" s="240"/>
      <c r="T1721" s="240"/>
      <c r="U1721" s="240"/>
      <c r="V1721" s="240"/>
      <c r="W1721" s="240"/>
      <c r="X1721" s="240"/>
      <c r="Y1721" s="240"/>
      <c r="Z1721" s="240"/>
    </row>
    <row r="1722" ht="14.25" customHeight="1">
      <c r="A1722" s="302">
        <f t="shared" si="4"/>
        <v>47894</v>
      </c>
      <c r="B1722" s="241">
        <f t="shared" si="1"/>
        <v>2031</v>
      </c>
      <c r="C1722" s="241">
        <f t="shared" si="2"/>
        <v>2</v>
      </c>
      <c r="D1722" s="301" t="str">
        <f t="shared" si="3"/>
        <v>Saturday</v>
      </c>
      <c r="E1722" s="240"/>
      <c r="F1722" s="240"/>
      <c r="G1722" s="240"/>
      <c r="H1722" s="241"/>
      <c r="I1722" s="301"/>
      <c r="J1722" s="240"/>
      <c r="K1722" s="240"/>
      <c r="L1722" s="240"/>
      <c r="M1722" s="240"/>
      <c r="N1722" s="240"/>
      <c r="O1722" s="240"/>
      <c r="P1722" s="240"/>
      <c r="Q1722" s="240"/>
      <c r="R1722" s="240"/>
      <c r="S1722" s="240"/>
      <c r="T1722" s="240"/>
      <c r="U1722" s="240"/>
      <c r="V1722" s="240"/>
      <c r="W1722" s="240"/>
      <c r="X1722" s="240"/>
      <c r="Y1722" s="240"/>
      <c r="Z1722" s="240"/>
    </row>
    <row r="1723" ht="14.25" customHeight="1">
      <c r="A1723" s="302">
        <f t="shared" si="4"/>
        <v>47895</v>
      </c>
      <c r="B1723" s="241">
        <f t="shared" si="1"/>
        <v>2031</v>
      </c>
      <c r="C1723" s="241">
        <f t="shared" si="2"/>
        <v>2</v>
      </c>
      <c r="D1723" s="301" t="str">
        <f t="shared" si="3"/>
        <v>Sunday</v>
      </c>
      <c r="E1723" s="240"/>
      <c r="F1723" s="240"/>
      <c r="G1723" s="240"/>
      <c r="H1723" s="241"/>
      <c r="I1723" s="301"/>
      <c r="J1723" s="240"/>
      <c r="K1723" s="240"/>
      <c r="L1723" s="240"/>
      <c r="M1723" s="240"/>
      <c r="N1723" s="240"/>
      <c r="O1723" s="240"/>
      <c r="P1723" s="240"/>
      <c r="Q1723" s="240"/>
      <c r="R1723" s="240"/>
      <c r="S1723" s="240"/>
      <c r="T1723" s="240"/>
      <c r="U1723" s="240"/>
      <c r="V1723" s="240"/>
      <c r="W1723" s="240"/>
      <c r="X1723" s="240"/>
      <c r="Y1723" s="240"/>
      <c r="Z1723" s="240"/>
    </row>
    <row r="1724" ht="14.25" customHeight="1">
      <c r="A1724" s="302">
        <f t="shared" si="4"/>
        <v>47896</v>
      </c>
      <c r="B1724" s="241">
        <f t="shared" si="1"/>
        <v>2031</v>
      </c>
      <c r="C1724" s="241">
        <f t="shared" si="2"/>
        <v>2</v>
      </c>
      <c r="D1724" s="301" t="str">
        <f t="shared" si="3"/>
        <v>Monday</v>
      </c>
      <c r="E1724" s="240"/>
      <c r="F1724" s="240"/>
      <c r="G1724" s="240"/>
      <c r="H1724" s="241"/>
      <c r="I1724" s="301"/>
      <c r="J1724" s="240"/>
      <c r="K1724" s="240"/>
      <c r="L1724" s="240"/>
      <c r="M1724" s="240"/>
      <c r="N1724" s="240"/>
      <c r="O1724" s="240"/>
      <c r="P1724" s="240"/>
      <c r="Q1724" s="240"/>
      <c r="R1724" s="240"/>
      <c r="S1724" s="240"/>
      <c r="T1724" s="240"/>
      <c r="U1724" s="240"/>
      <c r="V1724" s="240"/>
      <c r="W1724" s="240"/>
      <c r="X1724" s="240"/>
      <c r="Y1724" s="240"/>
      <c r="Z1724" s="240"/>
    </row>
    <row r="1725" ht="14.25" customHeight="1">
      <c r="A1725" s="302">
        <f t="shared" si="4"/>
        <v>47897</v>
      </c>
      <c r="B1725" s="241">
        <f t="shared" si="1"/>
        <v>2031</v>
      </c>
      <c r="C1725" s="241">
        <f t="shared" si="2"/>
        <v>2</v>
      </c>
      <c r="D1725" s="301" t="str">
        <f t="shared" si="3"/>
        <v>Tuesday</v>
      </c>
      <c r="E1725" s="240"/>
      <c r="F1725" s="240"/>
      <c r="G1725" s="240"/>
      <c r="H1725" s="241"/>
      <c r="I1725" s="301"/>
      <c r="J1725" s="240"/>
      <c r="K1725" s="240"/>
      <c r="L1725" s="240"/>
      <c r="M1725" s="240"/>
      <c r="N1725" s="240"/>
      <c r="O1725" s="240"/>
      <c r="P1725" s="240"/>
      <c r="Q1725" s="240"/>
      <c r="R1725" s="240"/>
      <c r="S1725" s="240"/>
      <c r="T1725" s="240"/>
      <c r="U1725" s="240"/>
      <c r="V1725" s="240"/>
      <c r="W1725" s="240"/>
      <c r="X1725" s="240"/>
      <c r="Y1725" s="240"/>
      <c r="Z1725" s="240"/>
    </row>
    <row r="1726" ht="14.25" customHeight="1">
      <c r="A1726" s="302">
        <f t="shared" si="4"/>
        <v>47898</v>
      </c>
      <c r="B1726" s="241">
        <f t="shared" si="1"/>
        <v>2031</v>
      </c>
      <c r="C1726" s="241">
        <f t="shared" si="2"/>
        <v>2</v>
      </c>
      <c r="D1726" s="301" t="str">
        <f t="shared" si="3"/>
        <v>Wednesday</v>
      </c>
      <c r="E1726" s="240"/>
      <c r="F1726" s="240"/>
      <c r="G1726" s="240"/>
      <c r="H1726" s="241"/>
      <c r="I1726" s="301"/>
      <c r="J1726" s="240"/>
      <c r="K1726" s="240"/>
      <c r="L1726" s="240"/>
      <c r="M1726" s="240"/>
      <c r="N1726" s="240"/>
      <c r="O1726" s="240"/>
      <c r="P1726" s="240"/>
      <c r="Q1726" s="240"/>
      <c r="R1726" s="240"/>
      <c r="S1726" s="240"/>
      <c r="T1726" s="240"/>
      <c r="U1726" s="240"/>
      <c r="V1726" s="240"/>
      <c r="W1726" s="240"/>
      <c r="X1726" s="240"/>
      <c r="Y1726" s="240"/>
      <c r="Z1726" s="240"/>
    </row>
    <row r="1727" ht="14.25" customHeight="1">
      <c r="A1727" s="302">
        <f t="shared" si="4"/>
        <v>47899</v>
      </c>
      <c r="B1727" s="241">
        <f t="shared" si="1"/>
        <v>2031</v>
      </c>
      <c r="C1727" s="241">
        <f t="shared" si="2"/>
        <v>2</v>
      </c>
      <c r="D1727" s="301" t="str">
        <f t="shared" si="3"/>
        <v>Thursday</v>
      </c>
      <c r="E1727" s="240"/>
      <c r="F1727" s="240"/>
      <c r="G1727" s="240"/>
      <c r="H1727" s="241"/>
      <c r="I1727" s="301"/>
      <c r="J1727" s="240"/>
      <c r="K1727" s="240"/>
      <c r="L1727" s="240"/>
      <c r="M1727" s="240"/>
      <c r="N1727" s="240"/>
      <c r="O1727" s="240"/>
      <c r="P1727" s="240"/>
      <c r="Q1727" s="240"/>
      <c r="R1727" s="240"/>
      <c r="S1727" s="240"/>
      <c r="T1727" s="240"/>
      <c r="U1727" s="240"/>
      <c r="V1727" s="240"/>
      <c r="W1727" s="240"/>
      <c r="X1727" s="240"/>
      <c r="Y1727" s="240"/>
      <c r="Z1727" s="240"/>
    </row>
    <row r="1728" ht="14.25" customHeight="1">
      <c r="A1728" s="302">
        <f t="shared" si="4"/>
        <v>47900</v>
      </c>
      <c r="B1728" s="241">
        <f t="shared" si="1"/>
        <v>2031</v>
      </c>
      <c r="C1728" s="241">
        <f t="shared" si="2"/>
        <v>2</v>
      </c>
      <c r="D1728" s="301" t="str">
        <f t="shared" si="3"/>
        <v>Friday</v>
      </c>
      <c r="E1728" s="240"/>
      <c r="F1728" s="240"/>
      <c r="G1728" s="240"/>
      <c r="H1728" s="241"/>
      <c r="I1728" s="301"/>
      <c r="J1728" s="240"/>
      <c r="K1728" s="240"/>
      <c r="L1728" s="240"/>
      <c r="M1728" s="240"/>
      <c r="N1728" s="240"/>
      <c r="O1728" s="240"/>
      <c r="P1728" s="240"/>
      <c r="Q1728" s="240"/>
      <c r="R1728" s="240"/>
      <c r="S1728" s="240"/>
      <c r="T1728" s="240"/>
      <c r="U1728" s="240"/>
      <c r="V1728" s="240"/>
      <c r="W1728" s="240"/>
      <c r="X1728" s="240"/>
      <c r="Y1728" s="240"/>
      <c r="Z1728" s="240"/>
    </row>
    <row r="1729" ht="14.25" customHeight="1">
      <c r="A1729" s="302">
        <f t="shared" si="4"/>
        <v>47901</v>
      </c>
      <c r="B1729" s="241">
        <f t="shared" si="1"/>
        <v>2031</v>
      </c>
      <c r="C1729" s="241">
        <f t="shared" si="2"/>
        <v>2</v>
      </c>
      <c r="D1729" s="301" t="str">
        <f t="shared" si="3"/>
        <v>Saturday</v>
      </c>
      <c r="E1729" s="240"/>
      <c r="F1729" s="240"/>
      <c r="G1729" s="240"/>
      <c r="H1729" s="241"/>
      <c r="I1729" s="301"/>
      <c r="J1729" s="240"/>
      <c r="K1729" s="240"/>
      <c r="L1729" s="240"/>
      <c r="M1729" s="240"/>
      <c r="N1729" s="240"/>
      <c r="O1729" s="240"/>
      <c r="P1729" s="240"/>
      <c r="Q1729" s="240"/>
      <c r="R1729" s="240"/>
      <c r="S1729" s="240"/>
      <c r="T1729" s="240"/>
      <c r="U1729" s="240"/>
      <c r="V1729" s="240"/>
      <c r="W1729" s="240"/>
      <c r="X1729" s="240"/>
      <c r="Y1729" s="240"/>
      <c r="Z1729" s="240"/>
    </row>
    <row r="1730" ht="14.25" customHeight="1">
      <c r="A1730" s="302">
        <f t="shared" si="4"/>
        <v>47902</v>
      </c>
      <c r="B1730" s="241">
        <f t="shared" si="1"/>
        <v>2031</v>
      </c>
      <c r="C1730" s="241">
        <f t="shared" si="2"/>
        <v>2</v>
      </c>
      <c r="D1730" s="301" t="str">
        <f t="shared" si="3"/>
        <v>Sunday</v>
      </c>
      <c r="E1730" s="240"/>
      <c r="F1730" s="240"/>
      <c r="G1730" s="240"/>
      <c r="H1730" s="241"/>
      <c r="I1730" s="301"/>
      <c r="J1730" s="240"/>
      <c r="K1730" s="240"/>
      <c r="L1730" s="240"/>
      <c r="M1730" s="240"/>
      <c r="N1730" s="240"/>
      <c r="O1730" s="240"/>
      <c r="P1730" s="240"/>
      <c r="Q1730" s="240"/>
      <c r="R1730" s="240"/>
      <c r="S1730" s="240"/>
      <c r="T1730" s="240"/>
      <c r="U1730" s="240"/>
      <c r="V1730" s="240"/>
      <c r="W1730" s="240"/>
      <c r="X1730" s="240"/>
      <c r="Y1730" s="240"/>
      <c r="Z1730" s="240"/>
    </row>
    <row r="1731" ht="14.25" customHeight="1">
      <c r="A1731" s="302">
        <f t="shared" si="4"/>
        <v>47903</v>
      </c>
      <c r="B1731" s="241">
        <f t="shared" si="1"/>
        <v>2031</v>
      </c>
      <c r="C1731" s="241">
        <f t="shared" si="2"/>
        <v>2</v>
      </c>
      <c r="D1731" s="301" t="str">
        <f t="shared" si="3"/>
        <v>Monday</v>
      </c>
      <c r="E1731" s="240"/>
      <c r="F1731" s="240"/>
      <c r="G1731" s="240"/>
      <c r="H1731" s="241"/>
      <c r="I1731" s="301"/>
      <c r="J1731" s="240"/>
      <c r="K1731" s="240"/>
      <c r="L1731" s="240"/>
      <c r="M1731" s="240"/>
      <c r="N1731" s="240"/>
      <c r="O1731" s="240"/>
      <c r="P1731" s="240"/>
      <c r="Q1731" s="240"/>
      <c r="R1731" s="240"/>
      <c r="S1731" s="240"/>
      <c r="T1731" s="240"/>
      <c r="U1731" s="240"/>
      <c r="V1731" s="240"/>
      <c r="W1731" s="240"/>
      <c r="X1731" s="240"/>
      <c r="Y1731" s="240"/>
      <c r="Z1731" s="240"/>
    </row>
    <row r="1732" ht="14.25" customHeight="1">
      <c r="A1732" s="302">
        <f t="shared" si="4"/>
        <v>47904</v>
      </c>
      <c r="B1732" s="241">
        <f t="shared" si="1"/>
        <v>2031</v>
      </c>
      <c r="C1732" s="241">
        <f t="shared" si="2"/>
        <v>2</v>
      </c>
      <c r="D1732" s="301" t="str">
        <f t="shared" si="3"/>
        <v>Tuesday</v>
      </c>
      <c r="E1732" s="240"/>
      <c r="F1732" s="240"/>
      <c r="G1732" s="240"/>
      <c r="H1732" s="241"/>
      <c r="I1732" s="301"/>
      <c r="J1732" s="240"/>
      <c r="K1732" s="240"/>
      <c r="L1732" s="240"/>
      <c r="M1732" s="240"/>
      <c r="N1732" s="240"/>
      <c r="O1732" s="240"/>
      <c r="P1732" s="240"/>
      <c r="Q1732" s="240"/>
      <c r="R1732" s="240"/>
      <c r="S1732" s="240"/>
      <c r="T1732" s="240"/>
      <c r="U1732" s="240"/>
      <c r="V1732" s="240"/>
      <c r="W1732" s="240"/>
      <c r="X1732" s="240"/>
      <c r="Y1732" s="240"/>
      <c r="Z1732" s="240"/>
    </row>
    <row r="1733" ht="14.25" customHeight="1">
      <c r="A1733" s="302">
        <f t="shared" si="4"/>
        <v>47905</v>
      </c>
      <c r="B1733" s="241">
        <f t="shared" si="1"/>
        <v>2031</v>
      </c>
      <c r="C1733" s="241">
        <f t="shared" si="2"/>
        <v>2</v>
      </c>
      <c r="D1733" s="301" t="str">
        <f t="shared" si="3"/>
        <v>Wednesday</v>
      </c>
      <c r="E1733" s="240"/>
      <c r="F1733" s="240"/>
      <c r="G1733" s="240"/>
      <c r="H1733" s="241"/>
      <c r="I1733" s="301"/>
      <c r="J1733" s="240"/>
      <c r="K1733" s="240"/>
      <c r="L1733" s="240"/>
      <c r="M1733" s="240"/>
      <c r="N1733" s="240"/>
      <c r="O1733" s="240"/>
      <c r="P1733" s="240"/>
      <c r="Q1733" s="240"/>
      <c r="R1733" s="240"/>
      <c r="S1733" s="240"/>
      <c r="T1733" s="240"/>
      <c r="U1733" s="240"/>
      <c r="V1733" s="240"/>
      <c r="W1733" s="240"/>
      <c r="X1733" s="240"/>
      <c r="Y1733" s="240"/>
      <c r="Z1733" s="240"/>
    </row>
    <row r="1734" ht="14.25" customHeight="1">
      <c r="A1734" s="302">
        <f t="shared" si="4"/>
        <v>47906</v>
      </c>
      <c r="B1734" s="241">
        <f t="shared" si="1"/>
        <v>2031</v>
      </c>
      <c r="C1734" s="241">
        <f t="shared" si="2"/>
        <v>2</v>
      </c>
      <c r="D1734" s="301" t="str">
        <f t="shared" si="3"/>
        <v>Thursday</v>
      </c>
      <c r="E1734" s="240"/>
      <c r="F1734" s="240"/>
      <c r="G1734" s="240"/>
      <c r="H1734" s="241"/>
      <c r="I1734" s="301"/>
      <c r="J1734" s="240"/>
      <c r="K1734" s="240"/>
      <c r="L1734" s="240"/>
      <c r="M1734" s="240"/>
      <c r="N1734" s="240"/>
      <c r="O1734" s="240"/>
      <c r="P1734" s="240"/>
      <c r="Q1734" s="240"/>
      <c r="R1734" s="240"/>
      <c r="S1734" s="240"/>
      <c r="T1734" s="240"/>
      <c r="U1734" s="240"/>
      <c r="V1734" s="240"/>
      <c r="W1734" s="240"/>
      <c r="X1734" s="240"/>
      <c r="Y1734" s="240"/>
      <c r="Z1734" s="240"/>
    </row>
    <row r="1735" ht="14.25" customHeight="1">
      <c r="A1735" s="302">
        <f t="shared" si="4"/>
        <v>47907</v>
      </c>
      <c r="B1735" s="241">
        <f t="shared" si="1"/>
        <v>2031</v>
      </c>
      <c r="C1735" s="241">
        <f t="shared" si="2"/>
        <v>2</v>
      </c>
      <c r="D1735" s="301" t="str">
        <f t="shared" si="3"/>
        <v>Friday</v>
      </c>
      <c r="E1735" s="240"/>
      <c r="F1735" s="240"/>
      <c r="G1735" s="240"/>
      <c r="H1735" s="241"/>
      <c r="I1735" s="301"/>
      <c r="J1735" s="240"/>
      <c r="K1735" s="240"/>
      <c r="L1735" s="240"/>
      <c r="M1735" s="240"/>
      <c r="N1735" s="240"/>
      <c r="O1735" s="240"/>
      <c r="P1735" s="240"/>
      <c r="Q1735" s="240"/>
      <c r="R1735" s="240"/>
      <c r="S1735" s="240"/>
      <c r="T1735" s="240"/>
      <c r="U1735" s="240"/>
      <c r="V1735" s="240"/>
      <c r="W1735" s="240"/>
      <c r="X1735" s="240"/>
      <c r="Y1735" s="240"/>
      <c r="Z1735" s="240"/>
    </row>
    <row r="1736" ht="14.25" customHeight="1">
      <c r="A1736" s="302">
        <f t="shared" si="4"/>
        <v>47908</v>
      </c>
      <c r="B1736" s="241">
        <f t="shared" si="1"/>
        <v>2031</v>
      </c>
      <c r="C1736" s="241">
        <f t="shared" si="2"/>
        <v>3</v>
      </c>
      <c r="D1736" s="301" t="str">
        <f t="shared" si="3"/>
        <v>Saturday</v>
      </c>
      <c r="E1736" s="240"/>
      <c r="F1736" s="240"/>
      <c r="G1736" s="240"/>
      <c r="H1736" s="241"/>
      <c r="I1736" s="301"/>
      <c r="J1736" s="240"/>
      <c r="K1736" s="240"/>
      <c r="L1736" s="240"/>
      <c r="M1736" s="240"/>
      <c r="N1736" s="240"/>
      <c r="O1736" s="240"/>
      <c r="P1736" s="240"/>
      <c r="Q1736" s="240"/>
      <c r="R1736" s="240"/>
      <c r="S1736" s="240"/>
      <c r="T1736" s="240"/>
      <c r="U1736" s="240"/>
      <c r="V1736" s="240"/>
      <c r="W1736" s="240"/>
      <c r="X1736" s="240"/>
      <c r="Y1736" s="240"/>
      <c r="Z1736" s="240"/>
    </row>
    <row r="1737" ht="14.25" customHeight="1">
      <c r="A1737" s="302">
        <f t="shared" si="4"/>
        <v>47909</v>
      </c>
      <c r="B1737" s="241">
        <f t="shared" si="1"/>
        <v>2031</v>
      </c>
      <c r="C1737" s="241">
        <f t="shared" si="2"/>
        <v>3</v>
      </c>
      <c r="D1737" s="301" t="str">
        <f t="shared" si="3"/>
        <v>Sunday</v>
      </c>
      <c r="E1737" s="240"/>
      <c r="F1737" s="240"/>
      <c r="G1737" s="240"/>
      <c r="H1737" s="241"/>
      <c r="I1737" s="301"/>
      <c r="J1737" s="240"/>
      <c r="K1737" s="240"/>
      <c r="L1737" s="240"/>
      <c r="M1737" s="240"/>
      <c r="N1737" s="240"/>
      <c r="O1737" s="240"/>
      <c r="P1737" s="240"/>
      <c r="Q1737" s="240"/>
      <c r="R1737" s="240"/>
      <c r="S1737" s="240"/>
      <c r="T1737" s="240"/>
      <c r="U1737" s="240"/>
      <c r="V1737" s="240"/>
      <c r="W1737" s="240"/>
      <c r="X1737" s="240"/>
      <c r="Y1737" s="240"/>
      <c r="Z1737" s="240"/>
    </row>
    <row r="1738" ht="14.25" customHeight="1">
      <c r="A1738" s="302">
        <f t="shared" si="4"/>
        <v>47910</v>
      </c>
      <c r="B1738" s="241">
        <f t="shared" si="1"/>
        <v>2031</v>
      </c>
      <c r="C1738" s="241">
        <f t="shared" si="2"/>
        <v>3</v>
      </c>
      <c r="D1738" s="301" t="str">
        <f t="shared" si="3"/>
        <v>Monday</v>
      </c>
      <c r="E1738" s="240"/>
      <c r="F1738" s="240"/>
      <c r="G1738" s="240"/>
      <c r="H1738" s="241"/>
      <c r="I1738" s="301"/>
      <c r="J1738" s="240"/>
      <c r="K1738" s="240"/>
      <c r="L1738" s="240"/>
      <c r="M1738" s="240"/>
      <c r="N1738" s="240"/>
      <c r="O1738" s="240"/>
      <c r="P1738" s="240"/>
      <c r="Q1738" s="240"/>
      <c r="R1738" s="240"/>
      <c r="S1738" s="240"/>
      <c r="T1738" s="240"/>
      <c r="U1738" s="240"/>
      <c r="V1738" s="240"/>
      <c r="W1738" s="240"/>
      <c r="X1738" s="240"/>
      <c r="Y1738" s="240"/>
      <c r="Z1738" s="240"/>
    </row>
    <row r="1739" ht="14.25" customHeight="1">
      <c r="A1739" s="302">
        <f t="shared" si="4"/>
        <v>47911</v>
      </c>
      <c r="B1739" s="241">
        <f t="shared" si="1"/>
        <v>2031</v>
      </c>
      <c r="C1739" s="241">
        <f t="shared" si="2"/>
        <v>3</v>
      </c>
      <c r="D1739" s="301" t="str">
        <f t="shared" si="3"/>
        <v>Tuesday</v>
      </c>
      <c r="E1739" s="240"/>
      <c r="F1739" s="240"/>
      <c r="G1739" s="240"/>
      <c r="H1739" s="241"/>
      <c r="I1739" s="301"/>
      <c r="J1739" s="240"/>
      <c r="K1739" s="240"/>
      <c r="L1739" s="240"/>
      <c r="M1739" s="240"/>
      <c r="N1739" s="240"/>
      <c r="O1739" s="240"/>
      <c r="P1739" s="240"/>
      <c r="Q1739" s="240"/>
      <c r="R1739" s="240"/>
      <c r="S1739" s="240"/>
      <c r="T1739" s="240"/>
      <c r="U1739" s="240"/>
      <c r="V1739" s="240"/>
      <c r="W1739" s="240"/>
      <c r="X1739" s="240"/>
      <c r="Y1739" s="240"/>
      <c r="Z1739" s="240"/>
    </row>
    <row r="1740" ht="14.25" customHeight="1">
      <c r="A1740" s="302">
        <f t="shared" si="4"/>
        <v>47912</v>
      </c>
      <c r="B1740" s="241">
        <f t="shared" si="1"/>
        <v>2031</v>
      </c>
      <c r="C1740" s="241">
        <f t="shared" si="2"/>
        <v>3</v>
      </c>
      <c r="D1740" s="301" t="str">
        <f t="shared" si="3"/>
        <v>Wednesday</v>
      </c>
      <c r="E1740" s="240"/>
      <c r="F1740" s="240"/>
      <c r="G1740" s="240"/>
      <c r="H1740" s="241"/>
      <c r="I1740" s="301"/>
      <c r="J1740" s="240"/>
      <c r="K1740" s="240"/>
      <c r="L1740" s="240"/>
      <c r="M1740" s="240"/>
      <c r="N1740" s="240"/>
      <c r="O1740" s="240"/>
      <c r="P1740" s="240"/>
      <c r="Q1740" s="240"/>
      <c r="R1740" s="240"/>
      <c r="S1740" s="240"/>
      <c r="T1740" s="240"/>
      <c r="U1740" s="240"/>
      <c r="V1740" s="240"/>
      <c r="W1740" s="240"/>
      <c r="X1740" s="240"/>
      <c r="Y1740" s="240"/>
      <c r="Z1740" s="240"/>
    </row>
    <row r="1741" ht="14.25" customHeight="1">
      <c r="A1741" s="302">
        <f t="shared" si="4"/>
        <v>47913</v>
      </c>
      <c r="B1741" s="241">
        <f t="shared" si="1"/>
        <v>2031</v>
      </c>
      <c r="C1741" s="241">
        <f t="shared" si="2"/>
        <v>3</v>
      </c>
      <c r="D1741" s="301" t="str">
        <f t="shared" si="3"/>
        <v>Thursday</v>
      </c>
      <c r="E1741" s="240"/>
      <c r="F1741" s="240"/>
      <c r="G1741" s="240"/>
      <c r="H1741" s="241"/>
      <c r="I1741" s="301"/>
      <c r="J1741" s="240"/>
      <c r="K1741" s="240"/>
      <c r="L1741" s="240"/>
      <c r="M1741" s="240"/>
      <c r="N1741" s="240"/>
      <c r="O1741" s="240"/>
      <c r="P1741" s="240"/>
      <c r="Q1741" s="240"/>
      <c r="R1741" s="240"/>
      <c r="S1741" s="240"/>
      <c r="T1741" s="240"/>
      <c r="U1741" s="240"/>
      <c r="V1741" s="240"/>
      <c r="W1741" s="240"/>
      <c r="X1741" s="240"/>
      <c r="Y1741" s="240"/>
      <c r="Z1741" s="240"/>
    </row>
    <row r="1742" ht="14.25" customHeight="1">
      <c r="A1742" s="302">
        <f t="shared" si="4"/>
        <v>47914</v>
      </c>
      <c r="B1742" s="241">
        <f t="shared" si="1"/>
        <v>2031</v>
      </c>
      <c r="C1742" s="241">
        <f t="shared" si="2"/>
        <v>3</v>
      </c>
      <c r="D1742" s="301" t="str">
        <f t="shared" si="3"/>
        <v>Friday</v>
      </c>
      <c r="E1742" s="240"/>
      <c r="F1742" s="240"/>
      <c r="G1742" s="240"/>
      <c r="H1742" s="241"/>
      <c r="I1742" s="301"/>
      <c r="J1742" s="240"/>
      <c r="K1742" s="240"/>
      <c r="L1742" s="240"/>
      <c r="M1742" s="240"/>
      <c r="N1742" s="240"/>
      <c r="O1742" s="240"/>
      <c r="P1742" s="240"/>
      <c r="Q1742" s="240"/>
      <c r="R1742" s="240"/>
      <c r="S1742" s="240"/>
      <c r="T1742" s="240"/>
      <c r="U1742" s="240"/>
      <c r="V1742" s="240"/>
      <c r="W1742" s="240"/>
      <c r="X1742" s="240"/>
      <c r="Y1742" s="240"/>
      <c r="Z1742" s="240"/>
    </row>
    <row r="1743" ht="14.25" customHeight="1">
      <c r="A1743" s="302">
        <f t="shared" si="4"/>
        <v>47915</v>
      </c>
      <c r="B1743" s="241">
        <f t="shared" si="1"/>
        <v>2031</v>
      </c>
      <c r="C1743" s="241">
        <f t="shared" si="2"/>
        <v>3</v>
      </c>
      <c r="D1743" s="301" t="str">
        <f t="shared" si="3"/>
        <v>Saturday</v>
      </c>
      <c r="E1743" s="240"/>
      <c r="F1743" s="240"/>
      <c r="G1743" s="240"/>
      <c r="H1743" s="241"/>
      <c r="I1743" s="301"/>
      <c r="J1743" s="240"/>
      <c r="K1743" s="240"/>
      <c r="L1743" s="240"/>
      <c r="M1743" s="240"/>
      <c r="N1743" s="240"/>
      <c r="O1743" s="240"/>
      <c r="P1743" s="240"/>
      <c r="Q1743" s="240"/>
      <c r="R1743" s="240"/>
      <c r="S1743" s="240"/>
      <c r="T1743" s="240"/>
      <c r="U1743" s="240"/>
      <c r="V1743" s="240"/>
      <c r="W1743" s="240"/>
      <c r="X1743" s="240"/>
      <c r="Y1743" s="240"/>
      <c r="Z1743" s="240"/>
    </row>
    <row r="1744" ht="14.25" customHeight="1">
      <c r="A1744" s="302">
        <f t="shared" si="4"/>
        <v>47916</v>
      </c>
      <c r="B1744" s="241">
        <f t="shared" si="1"/>
        <v>2031</v>
      </c>
      <c r="C1744" s="241">
        <f t="shared" si="2"/>
        <v>3</v>
      </c>
      <c r="D1744" s="301" t="str">
        <f t="shared" si="3"/>
        <v>Sunday</v>
      </c>
      <c r="E1744" s="240"/>
      <c r="F1744" s="240"/>
      <c r="G1744" s="240"/>
      <c r="H1744" s="241"/>
      <c r="I1744" s="301"/>
      <c r="J1744" s="240"/>
      <c r="K1744" s="240"/>
      <c r="L1744" s="240"/>
      <c r="M1744" s="240"/>
      <c r="N1744" s="240"/>
      <c r="O1744" s="240"/>
      <c r="P1744" s="240"/>
      <c r="Q1744" s="240"/>
      <c r="R1744" s="240"/>
      <c r="S1744" s="240"/>
      <c r="T1744" s="240"/>
      <c r="U1744" s="240"/>
      <c r="V1744" s="240"/>
      <c r="W1744" s="240"/>
      <c r="X1744" s="240"/>
      <c r="Y1744" s="240"/>
      <c r="Z1744" s="240"/>
    </row>
    <row r="1745" ht="14.25" customHeight="1">
      <c r="A1745" s="302">
        <f t="shared" si="4"/>
        <v>47917</v>
      </c>
      <c r="B1745" s="241">
        <f t="shared" si="1"/>
        <v>2031</v>
      </c>
      <c r="C1745" s="241">
        <f t="shared" si="2"/>
        <v>3</v>
      </c>
      <c r="D1745" s="301" t="str">
        <f t="shared" si="3"/>
        <v>Monday</v>
      </c>
      <c r="E1745" s="240"/>
      <c r="F1745" s="240"/>
      <c r="G1745" s="240"/>
      <c r="H1745" s="241"/>
      <c r="I1745" s="301"/>
      <c r="J1745" s="240"/>
      <c r="K1745" s="240"/>
      <c r="L1745" s="240"/>
      <c r="M1745" s="240"/>
      <c r="N1745" s="240"/>
      <c r="O1745" s="240"/>
      <c r="P1745" s="240"/>
      <c r="Q1745" s="240"/>
      <c r="R1745" s="240"/>
      <c r="S1745" s="240"/>
      <c r="T1745" s="240"/>
      <c r="U1745" s="240"/>
      <c r="V1745" s="240"/>
      <c r="W1745" s="240"/>
      <c r="X1745" s="240"/>
      <c r="Y1745" s="240"/>
      <c r="Z1745" s="240"/>
    </row>
    <row r="1746" ht="14.25" customHeight="1">
      <c r="A1746" s="302">
        <f t="shared" si="4"/>
        <v>47918</v>
      </c>
      <c r="B1746" s="241">
        <f t="shared" si="1"/>
        <v>2031</v>
      </c>
      <c r="C1746" s="241">
        <f t="shared" si="2"/>
        <v>3</v>
      </c>
      <c r="D1746" s="301" t="str">
        <f t="shared" si="3"/>
        <v>Tuesday</v>
      </c>
      <c r="E1746" s="240"/>
      <c r="F1746" s="240"/>
      <c r="G1746" s="240"/>
      <c r="H1746" s="241"/>
      <c r="I1746" s="301"/>
      <c r="J1746" s="240"/>
      <c r="K1746" s="240"/>
      <c r="L1746" s="240"/>
      <c r="M1746" s="240"/>
      <c r="N1746" s="240"/>
      <c r="O1746" s="240"/>
      <c r="P1746" s="240"/>
      <c r="Q1746" s="240"/>
      <c r="R1746" s="240"/>
      <c r="S1746" s="240"/>
      <c r="T1746" s="240"/>
      <c r="U1746" s="240"/>
      <c r="V1746" s="240"/>
      <c r="W1746" s="240"/>
      <c r="X1746" s="240"/>
      <c r="Y1746" s="240"/>
      <c r="Z1746" s="240"/>
    </row>
    <row r="1747" ht="14.25" customHeight="1">
      <c r="A1747" s="302">
        <f t="shared" si="4"/>
        <v>47919</v>
      </c>
      <c r="B1747" s="241">
        <f t="shared" si="1"/>
        <v>2031</v>
      </c>
      <c r="C1747" s="241">
        <f t="shared" si="2"/>
        <v>3</v>
      </c>
      <c r="D1747" s="301" t="str">
        <f t="shared" si="3"/>
        <v>Wednesday</v>
      </c>
      <c r="E1747" s="240"/>
      <c r="F1747" s="240"/>
      <c r="G1747" s="240"/>
      <c r="H1747" s="241"/>
      <c r="I1747" s="301"/>
      <c r="J1747" s="240"/>
      <c r="K1747" s="240"/>
      <c r="L1747" s="240"/>
      <c r="M1747" s="240"/>
      <c r="N1747" s="240"/>
      <c r="O1747" s="240"/>
      <c r="P1747" s="240"/>
      <c r="Q1747" s="240"/>
      <c r="R1747" s="240"/>
      <c r="S1747" s="240"/>
      <c r="T1747" s="240"/>
      <c r="U1747" s="240"/>
      <c r="V1747" s="240"/>
      <c r="W1747" s="240"/>
      <c r="X1747" s="240"/>
      <c r="Y1747" s="240"/>
      <c r="Z1747" s="240"/>
    </row>
    <row r="1748" ht="14.25" customHeight="1">
      <c r="A1748" s="302">
        <f t="shared" si="4"/>
        <v>47920</v>
      </c>
      <c r="B1748" s="241">
        <f t="shared" si="1"/>
        <v>2031</v>
      </c>
      <c r="C1748" s="241">
        <f t="shared" si="2"/>
        <v>3</v>
      </c>
      <c r="D1748" s="301" t="str">
        <f t="shared" si="3"/>
        <v>Thursday</v>
      </c>
      <c r="E1748" s="240"/>
      <c r="F1748" s="240"/>
      <c r="G1748" s="240"/>
      <c r="H1748" s="241"/>
      <c r="I1748" s="301"/>
      <c r="J1748" s="240"/>
      <c r="K1748" s="240"/>
      <c r="L1748" s="240"/>
      <c r="M1748" s="240"/>
      <c r="N1748" s="240"/>
      <c r="O1748" s="240"/>
      <c r="P1748" s="240"/>
      <c r="Q1748" s="240"/>
      <c r="R1748" s="240"/>
      <c r="S1748" s="240"/>
      <c r="T1748" s="240"/>
      <c r="U1748" s="240"/>
      <c r="V1748" s="240"/>
      <c r="W1748" s="240"/>
      <c r="X1748" s="240"/>
      <c r="Y1748" s="240"/>
      <c r="Z1748" s="240"/>
    </row>
    <row r="1749" ht="14.25" customHeight="1">
      <c r="A1749" s="302">
        <f t="shared" si="4"/>
        <v>47921</v>
      </c>
      <c r="B1749" s="241">
        <f t="shared" si="1"/>
        <v>2031</v>
      </c>
      <c r="C1749" s="241">
        <f t="shared" si="2"/>
        <v>3</v>
      </c>
      <c r="D1749" s="301" t="str">
        <f t="shared" si="3"/>
        <v>Friday</v>
      </c>
      <c r="E1749" s="240"/>
      <c r="F1749" s="240"/>
      <c r="G1749" s="240"/>
      <c r="H1749" s="241"/>
      <c r="I1749" s="301"/>
      <c r="J1749" s="240"/>
      <c r="K1749" s="240"/>
      <c r="L1749" s="240"/>
      <c r="M1749" s="240"/>
      <c r="N1749" s="240"/>
      <c r="O1749" s="240"/>
      <c r="P1749" s="240"/>
      <c r="Q1749" s="240"/>
      <c r="R1749" s="240"/>
      <c r="S1749" s="240"/>
      <c r="T1749" s="240"/>
      <c r="U1749" s="240"/>
      <c r="V1749" s="240"/>
      <c r="W1749" s="240"/>
      <c r="X1749" s="240"/>
      <c r="Y1749" s="240"/>
      <c r="Z1749" s="240"/>
    </row>
    <row r="1750" ht="14.25" customHeight="1">
      <c r="A1750" s="302">
        <f t="shared" si="4"/>
        <v>47922</v>
      </c>
      <c r="B1750" s="241">
        <f t="shared" si="1"/>
        <v>2031</v>
      </c>
      <c r="C1750" s="241">
        <f t="shared" si="2"/>
        <v>3</v>
      </c>
      <c r="D1750" s="301" t="str">
        <f t="shared" si="3"/>
        <v>Saturday</v>
      </c>
      <c r="E1750" s="240"/>
      <c r="F1750" s="240"/>
      <c r="G1750" s="240"/>
      <c r="H1750" s="241"/>
      <c r="I1750" s="301"/>
      <c r="J1750" s="240"/>
      <c r="K1750" s="240"/>
      <c r="L1750" s="240"/>
      <c r="M1750" s="240"/>
      <c r="N1750" s="240"/>
      <c r="O1750" s="240"/>
      <c r="P1750" s="240"/>
      <c r="Q1750" s="240"/>
      <c r="R1750" s="240"/>
      <c r="S1750" s="240"/>
      <c r="T1750" s="240"/>
      <c r="U1750" s="240"/>
      <c r="V1750" s="240"/>
      <c r="W1750" s="240"/>
      <c r="X1750" s="240"/>
      <c r="Y1750" s="240"/>
      <c r="Z1750" s="240"/>
    </row>
    <row r="1751" ht="14.25" customHeight="1">
      <c r="A1751" s="302">
        <f t="shared" si="4"/>
        <v>47923</v>
      </c>
      <c r="B1751" s="241">
        <f t="shared" si="1"/>
        <v>2031</v>
      </c>
      <c r="C1751" s="241">
        <f t="shared" si="2"/>
        <v>3</v>
      </c>
      <c r="D1751" s="301" t="str">
        <f t="shared" si="3"/>
        <v>Sunday</v>
      </c>
      <c r="E1751" s="240"/>
      <c r="F1751" s="240"/>
      <c r="G1751" s="240"/>
      <c r="H1751" s="241"/>
      <c r="I1751" s="301"/>
      <c r="J1751" s="240"/>
      <c r="K1751" s="240"/>
      <c r="L1751" s="240"/>
      <c r="M1751" s="240"/>
      <c r="N1751" s="240"/>
      <c r="O1751" s="240"/>
      <c r="P1751" s="240"/>
      <c r="Q1751" s="240"/>
      <c r="R1751" s="240"/>
      <c r="S1751" s="240"/>
      <c r="T1751" s="240"/>
      <c r="U1751" s="240"/>
      <c r="V1751" s="240"/>
      <c r="W1751" s="240"/>
      <c r="X1751" s="240"/>
      <c r="Y1751" s="240"/>
      <c r="Z1751" s="240"/>
    </row>
    <row r="1752" ht="14.25" customHeight="1">
      <c r="A1752" s="302">
        <f t="shared" si="4"/>
        <v>47924</v>
      </c>
      <c r="B1752" s="241">
        <f t="shared" si="1"/>
        <v>2031</v>
      </c>
      <c r="C1752" s="241">
        <f t="shared" si="2"/>
        <v>3</v>
      </c>
      <c r="D1752" s="301" t="str">
        <f t="shared" si="3"/>
        <v>Monday</v>
      </c>
      <c r="E1752" s="240"/>
      <c r="F1752" s="240"/>
      <c r="G1752" s="240"/>
      <c r="H1752" s="241"/>
      <c r="I1752" s="301"/>
      <c r="J1752" s="240"/>
      <c r="K1752" s="240"/>
      <c r="L1752" s="240"/>
      <c r="M1752" s="240"/>
      <c r="N1752" s="240"/>
      <c r="O1752" s="240"/>
      <c r="P1752" s="240"/>
      <c r="Q1752" s="240"/>
      <c r="R1752" s="240"/>
      <c r="S1752" s="240"/>
      <c r="T1752" s="240"/>
      <c r="U1752" s="240"/>
      <c r="V1752" s="240"/>
      <c r="W1752" s="240"/>
      <c r="X1752" s="240"/>
      <c r="Y1752" s="240"/>
      <c r="Z1752" s="240"/>
    </row>
    <row r="1753" ht="14.25" customHeight="1">
      <c r="A1753" s="302">
        <f t="shared" si="4"/>
        <v>47925</v>
      </c>
      <c r="B1753" s="241">
        <f t="shared" si="1"/>
        <v>2031</v>
      </c>
      <c r="C1753" s="241">
        <f t="shared" si="2"/>
        <v>3</v>
      </c>
      <c r="D1753" s="301" t="str">
        <f t="shared" si="3"/>
        <v>Tuesday</v>
      </c>
      <c r="E1753" s="240"/>
      <c r="F1753" s="240"/>
      <c r="G1753" s="240"/>
      <c r="H1753" s="241"/>
      <c r="I1753" s="301"/>
      <c r="J1753" s="240"/>
      <c r="K1753" s="240"/>
      <c r="L1753" s="240"/>
      <c r="M1753" s="240"/>
      <c r="N1753" s="240"/>
      <c r="O1753" s="240"/>
      <c r="P1753" s="240"/>
      <c r="Q1753" s="240"/>
      <c r="R1753" s="240"/>
      <c r="S1753" s="240"/>
      <c r="T1753" s="240"/>
      <c r="U1753" s="240"/>
      <c r="V1753" s="240"/>
      <c r="W1753" s="240"/>
      <c r="X1753" s="240"/>
      <c r="Y1753" s="240"/>
      <c r="Z1753" s="240"/>
    </row>
    <row r="1754" ht="14.25" customHeight="1">
      <c r="A1754" s="302">
        <f t="shared" si="4"/>
        <v>47926</v>
      </c>
      <c r="B1754" s="241">
        <f t="shared" si="1"/>
        <v>2031</v>
      </c>
      <c r="C1754" s="241">
        <f t="shared" si="2"/>
        <v>3</v>
      </c>
      <c r="D1754" s="301" t="str">
        <f t="shared" si="3"/>
        <v>Wednesday</v>
      </c>
      <c r="E1754" s="240"/>
      <c r="F1754" s="240"/>
      <c r="G1754" s="240"/>
      <c r="H1754" s="241"/>
      <c r="I1754" s="301"/>
      <c r="J1754" s="240"/>
      <c r="K1754" s="240"/>
      <c r="L1754" s="240"/>
      <c r="M1754" s="240"/>
      <c r="N1754" s="240"/>
      <c r="O1754" s="240"/>
      <c r="P1754" s="240"/>
      <c r="Q1754" s="240"/>
      <c r="R1754" s="240"/>
      <c r="S1754" s="240"/>
      <c r="T1754" s="240"/>
      <c r="U1754" s="240"/>
      <c r="V1754" s="240"/>
      <c r="W1754" s="240"/>
      <c r="X1754" s="240"/>
      <c r="Y1754" s="240"/>
      <c r="Z1754" s="240"/>
    </row>
    <row r="1755" ht="14.25" customHeight="1">
      <c r="A1755" s="302">
        <f t="shared" si="4"/>
        <v>47927</v>
      </c>
      <c r="B1755" s="241">
        <f t="shared" si="1"/>
        <v>2031</v>
      </c>
      <c r="C1755" s="241">
        <f t="shared" si="2"/>
        <v>3</v>
      </c>
      <c r="D1755" s="301" t="str">
        <f t="shared" si="3"/>
        <v>Thursday</v>
      </c>
      <c r="E1755" s="240"/>
      <c r="F1755" s="240"/>
      <c r="G1755" s="240"/>
      <c r="H1755" s="241"/>
      <c r="I1755" s="301"/>
      <c r="J1755" s="240"/>
      <c r="K1755" s="240"/>
      <c r="L1755" s="240"/>
      <c r="M1755" s="240"/>
      <c r="N1755" s="240"/>
      <c r="O1755" s="240"/>
      <c r="P1755" s="240"/>
      <c r="Q1755" s="240"/>
      <c r="R1755" s="240"/>
      <c r="S1755" s="240"/>
      <c r="T1755" s="240"/>
      <c r="U1755" s="240"/>
      <c r="V1755" s="240"/>
      <c r="W1755" s="240"/>
      <c r="X1755" s="240"/>
      <c r="Y1755" s="240"/>
      <c r="Z1755" s="240"/>
    </row>
    <row r="1756" ht="14.25" customHeight="1">
      <c r="A1756" s="302">
        <f t="shared" si="4"/>
        <v>47928</v>
      </c>
      <c r="B1756" s="241">
        <f t="shared" si="1"/>
        <v>2031</v>
      </c>
      <c r="C1756" s="241">
        <f t="shared" si="2"/>
        <v>3</v>
      </c>
      <c r="D1756" s="301" t="str">
        <f t="shared" si="3"/>
        <v>Friday</v>
      </c>
      <c r="E1756" s="240"/>
      <c r="F1756" s="240"/>
      <c r="G1756" s="240"/>
      <c r="H1756" s="241"/>
      <c r="I1756" s="301"/>
      <c r="J1756" s="240"/>
      <c r="K1756" s="240"/>
      <c r="L1756" s="240"/>
      <c r="M1756" s="240"/>
      <c r="N1756" s="240"/>
      <c r="O1756" s="240"/>
      <c r="P1756" s="240"/>
      <c r="Q1756" s="240"/>
      <c r="R1756" s="240"/>
      <c r="S1756" s="240"/>
      <c r="T1756" s="240"/>
      <c r="U1756" s="240"/>
      <c r="V1756" s="240"/>
      <c r="W1756" s="240"/>
      <c r="X1756" s="240"/>
      <c r="Y1756" s="240"/>
      <c r="Z1756" s="240"/>
    </row>
    <row r="1757" ht="14.25" customHeight="1">
      <c r="A1757" s="302">
        <f t="shared" si="4"/>
        <v>47929</v>
      </c>
      <c r="B1757" s="241">
        <f t="shared" si="1"/>
        <v>2031</v>
      </c>
      <c r="C1757" s="241">
        <f t="shared" si="2"/>
        <v>3</v>
      </c>
      <c r="D1757" s="301" t="str">
        <f t="shared" si="3"/>
        <v>Saturday</v>
      </c>
      <c r="E1757" s="240"/>
      <c r="F1757" s="240"/>
      <c r="G1757" s="240"/>
      <c r="H1757" s="241"/>
      <c r="I1757" s="301"/>
      <c r="J1757" s="240"/>
      <c r="K1757" s="240"/>
      <c r="L1757" s="240"/>
      <c r="M1757" s="240"/>
      <c r="N1757" s="240"/>
      <c r="O1757" s="240"/>
      <c r="P1757" s="240"/>
      <c r="Q1757" s="240"/>
      <c r="R1757" s="240"/>
      <c r="S1757" s="240"/>
      <c r="T1757" s="240"/>
      <c r="U1757" s="240"/>
      <c r="V1757" s="240"/>
      <c r="W1757" s="240"/>
      <c r="X1757" s="240"/>
      <c r="Y1757" s="240"/>
      <c r="Z1757" s="240"/>
    </row>
    <row r="1758" ht="14.25" customHeight="1">
      <c r="A1758" s="302">
        <f t="shared" si="4"/>
        <v>47930</v>
      </c>
      <c r="B1758" s="241">
        <f t="shared" si="1"/>
        <v>2031</v>
      </c>
      <c r="C1758" s="241">
        <f t="shared" si="2"/>
        <v>3</v>
      </c>
      <c r="D1758" s="301" t="str">
        <f t="shared" si="3"/>
        <v>Sunday</v>
      </c>
      <c r="E1758" s="240"/>
      <c r="F1758" s="240"/>
      <c r="G1758" s="240"/>
      <c r="H1758" s="241"/>
      <c r="I1758" s="301"/>
      <c r="J1758" s="240"/>
      <c r="K1758" s="240"/>
      <c r="L1758" s="240"/>
      <c r="M1758" s="240"/>
      <c r="N1758" s="240"/>
      <c r="O1758" s="240"/>
      <c r="P1758" s="240"/>
      <c r="Q1758" s="240"/>
      <c r="R1758" s="240"/>
      <c r="S1758" s="240"/>
      <c r="T1758" s="240"/>
      <c r="U1758" s="240"/>
      <c r="V1758" s="240"/>
      <c r="W1758" s="240"/>
      <c r="X1758" s="240"/>
      <c r="Y1758" s="240"/>
      <c r="Z1758" s="240"/>
    </row>
    <row r="1759" ht="14.25" customHeight="1">
      <c r="A1759" s="302">
        <f t="shared" si="4"/>
        <v>47931</v>
      </c>
      <c r="B1759" s="241">
        <f t="shared" si="1"/>
        <v>2031</v>
      </c>
      <c r="C1759" s="241">
        <f t="shared" si="2"/>
        <v>3</v>
      </c>
      <c r="D1759" s="301" t="str">
        <f t="shared" si="3"/>
        <v>Monday</v>
      </c>
      <c r="E1759" s="240"/>
      <c r="F1759" s="240"/>
      <c r="G1759" s="240"/>
      <c r="H1759" s="241"/>
      <c r="I1759" s="301"/>
      <c r="J1759" s="240"/>
      <c r="K1759" s="240"/>
      <c r="L1759" s="240"/>
      <c r="M1759" s="240"/>
      <c r="N1759" s="240"/>
      <c r="O1759" s="240"/>
      <c r="P1759" s="240"/>
      <c r="Q1759" s="240"/>
      <c r="R1759" s="240"/>
      <c r="S1759" s="240"/>
      <c r="T1759" s="240"/>
      <c r="U1759" s="240"/>
      <c r="V1759" s="240"/>
      <c r="W1759" s="240"/>
      <c r="X1759" s="240"/>
      <c r="Y1759" s="240"/>
      <c r="Z1759" s="240"/>
    </row>
    <row r="1760" ht="14.25" customHeight="1">
      <c r="A1760" s="302">
        <f t="shared" si="4"/>
        <v>47932</v>
      </c>
      <c r="B1760" s="241">
        <f t="shared" si="1"/>
        <v>2031</v>
      </c>
      <c r="C1760" s="241">
        <f t="shared" si="2"/>
        <v>3</v>
      </c>
      <c r="D1760" s="301" t="str">
        <f t="shared" si="3"/>
        <v>Tuesday</v>
      </c>
      <c r="E1760" s="240"/>
      <c r="F1760" s="240"/>
      <c r="G1760" s="240"/>
      <c r="H1760" s="241"/>
      <c r="I1760" s="301"/>
      <c r="J1760" s="240"/>
      <c r="K1760" s="240"/>
      <c r="L1760" s="240"/>
      <c r="M1760" s="240"/>
      <c r="N1760" s="240"/>
      <c r="O1760" s="240"/>
      <c r="P1760" s="240"/>
      <c r="Q1760" s="240"/>
      <c r="R1760" s="240"/>
      <c r="S1760" s="240"/>
      <c r="T1760" s="240"/>
      <c r="U1760" s="240"/>
      <c r="V1760" s="240"/>
      <c r="W1760" s="240"/>
      <c r="X1760" s="240"/>
      <c r="Y1760" s="240"/>
      <c r="Z1760" s="240"/>
    </row>
    <row r="1761" ht="14.25" customHeight="1">
      <c r="A1761" s="302">
        <f t="shared" si="4"/>
        <v>47933</v>
      </c>
      <c r="B1761" s="241">
        <f t="shared" si="1"/>
        <v>2031</v>
      </c>
      <c r="C1761" s="241">
        <f t="shared" si="2"/>
        <v>3</v>
      </c>
      <c r="D1761" s="301" t="str">
        <f t="shared" si="3"/>
        <v>Wednesday</v>
      </c>
      <c r="E1761" s="240"/>
      <c r="F1761" s="240"/>
      <c r="G1761" s="240"/>
      <c r="H1761" s="241"/>
      <c r="I1761" s="301"/>
      <c r="J1761" s="240"/>
      <c r="K1761" s="240"/>
      <c r="L1761" s="240"/>
      <c r="M1761" s="240"/>
      <c r="N1761" s="240"/>
      <c r="O1761" s="240"/>
      <c r="P1761" s="240"/>
      <c r="Q1761" s="240"/>
      <c r="R1761" s="240"/>
      <c r="S1761" s="240"/>
      <c r="T1761" s="240"/>
      <c r="U1761" s="240"/>
      <c r="V1761" s="240"/>
      <c r="W1761" s="240"/>
      <c r="X1761" s="240"/>
      <c r="Y1761" s="240"/>
      <c r="Z1761" s="240"/>
    </row>
    <row r="1762" ht="14.25" customHeight="1">
      <c r="A1762" s="302">
        <f t="shared" si="4"/>
        <v>47934</v>
      </c>
      <c r="B1762" s="241">
        <f t="shared" si="1"/>
        <v>2031</v>
      </c>
      <c r="C1762" s="241">
        <f t="shared" si="2"/>
        <v>3</v>
      </c>
      <c r="D1762" s="301" t="str">
        <f t="shared" si="3"/>
        <v>Thursday</v>
      </c>
      <c r="E1762" s="240"/>
      <c r="F1762" s="240"/>
      <c r="G1762" s="240"/>
      <c r="H1762" s="241"/>
      <c r="I1762" s="301"/>
      <c r="J1762" s="240"/>
      <c r="K1762" s="240"/>
      <c r="L1762" s="240"/>
      <c r="M1762" s="240"/>
      <c r="N1762" s="240"/>
      <c r="O1762" s="240"/>
      <c r="P1762" s="240"/>
      <c r="Q1762" s="240"/>
      <c r="R1762" s="240"/>
      <c r="S1762" s="240"/>
      <c r="T1762" s="240"/>
      <c r="U1762" s="240"/>
      <c r="V1762" s="240"/>
      <c r="W1762" s="240"/>
      <c r="X1762" s="240"/>
      <c r="Y1762" s="240"/>
      <c r="Z1762" s="240"/>
    </row>
    <row r="1763" ht="14.25" customHeight="1">
      <c r="A1763" s="302">
        <f t="shared" si="4"/>
        <v>47935</v>
      </c>
      <c r="B1763" s="241">
        <f t="shared" si="1"/>
        <v>2031</v>
      </c>
      <c r="C1763" s="241">
        <f t="shared" si="2"/>
        <v>3</v>
      </c>
      <c r="D1763" s="301" t="str">
        <f t="shared" si="3"/>
        <v>Friday</v>
      </c>
      <c r="E1763" s="240"/>
      <c r="F1763" s="240"/>
      <c r="G1763" s="240"/>
      <c r="H1763" s="241"/>
      <c r="I1763" s="301"/>
      <c r="J1763" s="240"/>
      <c r="K1763" s="240"/>
      <c r="L1763" s="240"/>
      <c r="M1763" s="240"/>
      <c r="N1763" s="240"/>
      <c r="O1763" s="240"/>
      <c r="P1763" s="240"/>
      <c r="Q1763" s="240"/>
      <c r="R1763" s="240"/>
      <c r="S1763" s="240"/>
      <c r="T1763" s="240"/>
      <c r="U1763" s="240"/>
      <c r="V1763" s="240"/>
      <c r="W1763" s="240"/>
      <c r="X1763" s="240"/>
      <c r="Y1763" s="240"/>
      <c r="Z1763" s="240"/>
    </row>
    <row r="1764" ht="14.25" customHeight="1">
      <c r="A1764" s="302">
        <f t="shared" si="4"/>
        <v>47936</v>
      </c>
      <c r="B1764" s="241">
        <f t="shared" si="1"/>
        <v>2031</v>
      </c>
      <c r="C1764" s="241">
        <f t="shared" si="2"/>
        <v>3</v>
      </c>
      <c r="D1764" s="301" t="str">
        <f t="shared" si="3"/>
        <v>Saturday</v>
      </c>
      <c r="E1764" s="240"/>
      <c r="F1764" s="240"/>
      <c r="G1764" s="240"/>
      <c r="H1764" s="241"/>
      <c r="I1764" s="301"/>
      <c r="J1764" s="240"/>
      <c r="K1764" s="240"/>
      <c r="L1764" s="240"/>
      <c r="M1764" s="240"/>
      <c r="N1764" s="240"/>
      <c r="O1764" s="240"/>
      <c r="P1764" s="240"/>
      <c r="Q1764" s="240"/>
      <c r="R1764" s="240"/>
      <c r="S1764" s="240"/>
      <c r="T1764" s="240"/>
      <c r="U1764" s="240"/>
      <c r="V1764" s="240"/>
      <c r="W1764" s="240"/>
      <c r="X1764" s="240"/>
      <c r="Y1764" s="240"/>
      <c r="Z1764" s="240"/>
    </row>
    <row r="1765" ht="14.25" customHeight="1">
      <c r="A1765" s="302">
        <f t="shared" si="4"/>
        <v>47937</v>
      </c>
      <c r="B1765" s="241">
        <f t="shared" si="1"/>
        <v>2031</v>
      </c>
      <c r="C1765" s="241">
        <f t="shared" si="2"/>
        <v>3</v>
      </c>
      <c r="D1765" s="301" t="str">
        <f t="shared" si="3"/>
        <v>Sunday</v>
      </c>
      <c r="E1765" s="240"/>
      <c r="F1765" s="240"/>
      <c r="G1765" s="240"/>
      <c r="H1765" s="241"/>
      <c r="I1765" s="301"/>
      <c r="J1765" s="240"/>
      <c r="K1765" s="240"/>
      <c r="L1765" s="240"/>
      <c r="M1765" s="240"/>
      <c r="N1765" s="240"/>
      <c r="O1765" s="240"/>
      <c r="P1765" s="240"/>
      <c r="Q1765" s="240"/>
      <c r="R1765" s="240"/>
      <c r="S1765" s="240"/>
      <c r="T1765" s="240"/>
      <c r="U1765" s="240"/>
      <c r="V1765" s="240"/>
      <c r="W1765" s="240"/>
      <c r="X1765" s="240"/>
      <c r="Y1765" s="240"/>
      <c r="Z1765" s="240"/>
    </row>
    <row r="1766" ht="14.25" customHeight="1">
      <c r="A1766" s="302">
        <f t="shared" si="4"/>
        <v>47938</v>
      </c>
      <c r="B1766" s="241">
        <f t="shared" si="1"/>
        <v>2031</v>
      </c>
      <c r="C1766" s="241">
        <f t="shared" si="2"/>
        <v>3</v>
      </c>
      <c r="D1766" s="301" t="str">
        <f t="shared" si="3"/>
        <v>Monday</v>
      </c>
      <c r="E1766" s="240"/>
      <c r="F1766" s="240"/>
      <c r="G1766" s="240"/>
      <c r="H1766" s="241"/>
      <c r="I1766" s="301"/>
      <c r="J1766" s="240"/>
      <c r="K1766" s="240"/>
      <c r="L1766" s="240"/>
      <c r="M1766" s="240"/>
      <c r="N1766" s="240"/>
      <c r="O1766" s="240"/>
      <c r="P1766" s="240"/>
      <c r="Q1766" s="240"/>
      <c r="R1766" s="240"/>
      <c r="S1766" s="240"/>
      <c r="T1766" s="240"/>
      <c r="U1766" s="240"/>
      <c r="V1766" s="240"/>
      <c r="W1766" s="240"/>
      <c r="X1766" s="240"/>
      <c r="Y1766" s="240"/>
      <c r="Z1766" s="240"/>
    </row>
    <row r="1767" ht="14.25" customHeight="1">
      <c r="A1767" s="302">
        <f t="shared" si="4"/>
        <v>47939</v>
      </c>
      <c r="B1767" s="241">
        <f t="shared" si="1"/>
        <v>2031</v>
      </c>
      <c r="C1767" s="241">
        <f t="shared" si="2"/>
        <v>4</v>
      </c>
      <c r="D1767" s="301" t="str">
        <f t="shared" si="3"/>
        <v>Tuesday</v>
      </c>
      <c r="E1767" s="240"/>
      <c r="F1767" s="240"/>
      <c r="G1767" s="240"/>
      <c r="H1767" s="241"/>
      <c r="I1767" s="301"/>
      <c r="J1767" s="240"/>
      <c r="K1767" s="240"/>
      <c r="L1767" s="240"/>
      <c r="M1767" s="240"/>
      <c r="N1767" s="240"/>
      <c r="O1767" s="240"/>
      <c r="P1767" s="240"/>
      <c r="Q1767" s="240"/>
      <c r="R1767" s="240"/>
      <c r="S1767" s="240"/>
      <c r="T1767" s="240"/>
      <c r="U1767" s="240"/>
      <c r="V1767" s="240"/>
      <c r="W1767" s="240"/>
      <c r="X1767" s="240"/>
      <c r="Y1767" s="240"/>
      <c r="Z1767" s="240"/>
    </row>
    <row r="1768" ht="14.25" customHeight="1">
      <c r="A1768" s="302">
        <f t="shared" si="4"/>
        <v>47940</v>
      </c>
      <c r="B1768" s="241">
        <f t="shared" si="1"/>
        <v>2031</v>
      </c>
      <c r="C1768" s="241">
        <f t="shared" si="2"/>
        <v>4</v>
      </c>
      <c r="D1768" s="301" t="str">
        <f t="shared" si="3"/>
        <v>Wednesday</v>
      </c>
      <c r="E1768" s="240"/>
      <c r="F1768" s="240"/>
      <c r="G1768" s="240"/>
      <c r="H1768" s="241"/>
      <c r="I1768" s="301"/>
      <c r="J1768" s="240"/>
      <c r="K1768" s="240"/>
      <c r="L1768" s="240"/>
      <c r="M1768" s="240"/>
      <c r="N1768" s="240"/>
      <c r="O1768" s="240"/>
      <c r="P1768" s="240"/>
      <c r="Q1768" s="240"/>
      <c r="R1768" s="240"/>
      <c r="S1768" s="240"/>
      <c r="T1768" s="240"/>
      <c r="U1768" s="240"/>
      <c r="V1768" s="240"/>
      <c r="W1768" s="240"/>
      <c r="X1768" s="240"/>
      <c r="Y1768" s="240"/>
      <c r="Z1768" s="240"/>
    </row>
    <row r="1769" ht="14.25" customHeight="1">
      <c r="A1769" s="302">
        <f t="shared" si="4"/>
        <v>47941</v>
      </c>
      <c r="B1769" s="241">
        <f t="shared" si="1"/>
        <v>2031</v>
      </c>
      <c r="C1769" s="241">
        <f t="shared" si="2"/>
        <v>4</v>
      </c>
      <c r="D1769" s="301" t="str">
        <f t="shared" si="3"/>
        <v>Thursday</v>
      </c>
      <c r="E1769" s="240"/>
      <c r="F1769" s="240"/>
      <c r="G1769" s="240"/>
      <c r="H1769" s="241"/>
      <c r="I1769" s="301"/>
      <c r="J1769" s="240"/>
      <c r="K1769" s="240"/>
      <c r="L1769" s="240"/>
      <c r="M1769" s="240"/>
      <c r="N1769" s="240"/>
      <c r="O1769" s="240"/>
      <c r="P1769" s="240"/>
      <c r="Q1769" s="240"/>
      <c r="R1769" s="240"/>
      <c r="S1769" s="240"/>
      <c r="T1769" s="240"/>
      <c r="U1769" s="240"/>
      <c r="V1769" s="240"/>
      <c r="W1769" s="240"/>
      <c r="X1769" s="240"/>
      <c r="Y1769" s="240"/>
      <c r="Z1769" s="240"/>
    </row>
    <row r="1770" ht="14.25" customHeight="1">
      <c r="A1770" s="302">
        <f t="shared" si="4"/>
        <v>47942</v>
      </c>
      <c r="B1770" s="241">
        <f t="shared" si="1"/>
        <v>2031</v>
      </c>
      <c r="C1770" s="241">
        <f t="shared" si="2"/>
        <v>4</v>
      </c>
      <c r="D1770" s="301" t="str">
        <f t="shared" si="3"/>
        <v>Friday</v>
      </c>
      <c r="E1770" s="240"/>
      <c r="F1770" s="240"/>
      <c r="G1770" s="240"/>
      <c r="H1770" s="241"/>
      <c r="I1770" s="301"/>
      <c r="J1770" s="240"/>
      <c r="K1770" s="240"/>
      <c r="L1770" s="240"/>
      <c r="M1770" s="240"/>
      <c r="N1770" s="240"/>
      <c r="O1770" s="240"/>
      <c r="P1770" s="240"/>
      <c r="Q1770" s="240"/>
      <c r="R1770" s="240"/>
      <c r="S1770" s="240"/>
      <c r="T1770" s="240"/>
      <c r="U1770" s="240"/>
      <c r="V1770" s="240"/>
      <c r="W1770" s="240"/>
      <c r="X1770" s="240"/>
      <c r="Y1770" s="240"/>
      <c r="Z1770" s="240"/>
    </row>
    <row r="1771" ht="14.25" customHeight="1">
      <c r="A1771" s="302">
        <f t="shared" si="4"/>
        <v>47943</v>
      </c>
      <c r="B1771" s="241">
        <f t="shared" si="1"/>
        <v>2031</v>
      </c>
      <c r="C1771" s="241">
        <f t="shared" si="2"/>
        <v>4</v>
      </c>
      <c r="D1771" s="301" t="str">
        <f t="shared" si="3"/>
        <v>Saturday</v>
      </c>
      <c r="E1771" s="240"/>
      <c r="F1771" s="240"/>
      <c r="G1771" s="240"/>
      <c r="H1771" s="241"/>
      <c r="I1771" s="301"/>
      <c r="J1771" s="240"/>
      <c r="K1771" s="240"/>
      <c r="L1771" s="240"/>
      <c r="M1771" s="240"/>
      <c r="N1771" s="240"/>
      <c r="O1771" s="240"/>
      <c r="P1771" s="240"/>
      <c r="Q1771" s="240"/>
      <c r="R1771" s="240"/>
      <c r="S1771" s="240"/>
      <c r="T1771" s="240"/>
      <c r="U1771" s="240"/>
      <c r="V1771" s="240"/>
      <c r="W1771" s="240"/>
      <c r="X1771" s="240"/>
      <c r="Y1771" s="240"/>
      <c r="Z1771" s="240"/>
    </row>
    <row r="1772" ht="14.25" customHeight="1">
      <c r="A1772" s="302">
        <f t="shared" si="4"/>
        <v>47944</v>
      </c>
      <c r="B1772" s="241">
        <f t="shared" si="1"/>
        <v>2031</v>
      </c>
      <c r="C1772" s="241">
        <f t="shared" si="2"/>
        <v>4</v>
      </c>
      <c r="D1772" s="301" t="str">
        <f t="shared" si="3"/>
        <v>Sunday</v>
      </c>
      <c r="E1772" s="240"/>
      <c r="F1772" s="240"/>
      <c r="G1772" s="240"/>
      <c r="H1772" s="241"/>
      <c r="I1772" s="301"/>
      <c r="J1772" s="240"/>
      <c r="K1772" s="240"/>
      <c r="L1772" s="240"/>
      <c r="M1772" s="240"/>
      <c r="N1772" s="240"/>
      <c r="O1772" s="240"/>
      <c r="P1772" s="240"/>
      <c r="Q1772" s="240"/>
      <c r="R1772" s="240"/>
      <c r="S1772" s="240"/>
      <c r="T1772" s="240"/>
      <c r="U1772" s="240"/>
      <c r="V1772" s="240"/>
      <c r="W1772" s="240"/>
      <c r="X1772" s="240"/>
      <c r="Y1772" s="240"/>
      <c r="Z1772" s="240"/>
    </row>
    <row r="1773" ht="14.25" customHeight="1">
      <c r="A1773" s="302">
        <f t="shared" si="4"/>
        <v>47945</v>
      </c>
      <c r="B1773" s="241">
        <f t="shared" si="1"/>
        <v>2031</v>
      </c>
      <c r="C1773" s="241">
        <f t="shared" si="2"/>
        <v>4</v>
      </c>
      <c r="D1773" s="301" t="str">
        <f t="shared" si="3"/>
        <v>Monday</v>
      </c>
      <c r="E1773" s="240"/>
      <c r="F1773" s="240"/>
      <c r="G1773" s="240"/>
      <c r="H1773" s="241"/>
      <c r="I1773" s="301"/>
      <c r="J1773" s="240"/>
      <c r="K1773" s="240"/>
      <c r="L1773" s="240"/>
      <c r="M1773" s="240"/>
      <c r="N1773" s="240"/>
      <c r="O1773" s="240"/>
      <c r="P1773" s="240"/>
      <c r="Q1773" s="240"/>
      <c r="R1773" s="240"/>
      <c r="S1773" s="240"/>
      <c r="T1773" s="240"/>
      <c r="U1773" s="240"/>
      <c r="V1773" s="240"/>
      <c r="W1773" s="240"/>
      <c r="X1773" s="240"/>
      <c r="Y1773" s="240"/>
      <c r="Z1773" s="240"/>
    </row>
    <row r="1774" ht="14.25" customHeight="1">
      <c r="A1774" s="302">
        <f t="shared" si="4"/>
        <v>47946</v>
      </c>
      <c r="B1774" s="241">
        <f t="shared" si="1"/>
        <v>2031</v>
      </c>
      <c r="C1774" s="241">
        <f t="shared" si="2"/>
        <v>4</v>
      </c>
      <c r="D1774" s="301" t="str">
        <f t="shared" si="3"/>
        <v>Tuesday</v>
      </c>
      <c r="E1774" s="240"/>
      <c r="F1774" s="240"/>
      <c r="G1774" s="240"/>
      <c r="H1774" s="241"/>
      <c r="I1774" s="301"/>
      <c r="J1774" s="240"/>
      <c r="K1774" s="240"/>
      <c r="L1774" s="240"/>
      <c r="M1774" s="240"/>
      <c r="N1774" s="240"/>
      <c r="O1774" s="240"/>
      <c r="P1774" s="240"/>
      <c r="Q1774" s="240"/>
      <c r="R1774" s="240"/>
      <c r="S1774" s="240"/>
      <c r="T1774" s="240"/>
      <c r="U1774" s="240"/>
      <c r="V1774" s="240"/>
      <c r="W1774" s="240"/>
      <c r="X1774" s="240"/>
      <c r="Y1774" s="240"/>
      <c r="Z1774" s="240"/>
    </row>
    <row r="1775" ht="14.25" customHeight="1">
      <c r="A1775" s="302">
        <f t="shared" si="4"/>
        <v>47947</v>
      </c>
      <c r="B1775" s="241">
        <f t="shared" si="1"/>
        <v>2031</v>
      </c>
      <c r="C1775" s="241">
        <f t="shared" si="2"/>
        <v>4</v>
      </c>
      <c r="D1775" s="301" t="str">
        <f t="shared" si="3"/>
        <v>Wednesday</v>
      </c>
      <c r="E1775" s="240"/>
      <c r="F1775" s="240"/>
      <c r="G1775" s="240"/>
      <c r="H1775" s="241"/>
      <c r="I1775" s="301"/>
      <c r="J1775" s="240"/>
      <c r="K1775" s="240"/>
      <c r="L1775" s="240"/>
      <c r="M1775" s="240"/>
      <c r="N1775" s="240"/>
      <c r="O1775" s="240"/>
      <c r="P1775" s="240"/>
      <c r="Q1775" s="240"/>
      <c r="R1775" s="240"/>
      <c r="S1775" s="240"/>
      <c r="T1775" s="240"/>
      <c r="U1775" s="240"/>
      <c r="V1775" s="240"/>
      <c r="W1775" s="240"/>
      <c r="X1775" s="240"/>
      <c r="Y1775" s="240"/>
      <c r="Z1775" s="240"/>
    </row>
    <row r="1776" ht="14.25" customHeight="1">
      <c r="A1776" s="302">
        <f t="shared" si="4"/>
        <v>47948</v>
      </c>
      <c r="B1776" s="241">
        <f t="shared" si="1"/>
        <v>2031</v>
      </c>
      <c r="C1776" s="241">
        <f t="shared" si="2"/>
        <v>4</v>
      </c>
      <c r="D1776" s="301" t="str">
        <f t="shared" si="3"/>
        <v>Thursday</v>
      </c>
      <c r="E1776" s="240"/>
      <c r="F1776" s="240"/>
      <c r="G1776" s="240"/>
      <c r="H1776" s="241"/>
      <c r="I1776" s="301"/>
      <c r="J1776" s="240"/>
      <c r="K1776" s="240"/>
      <c r="L1776" s="240"/>
      <c r="M1776" s="240"/>
      <c r="N1776" s="240"/>
      <c r="O1776" s="240"/>
      <c r="P1776" s="240"/>
      <c r="Q1776" s="240"/>
      <c r="R1776" s="240"/>
      <c r="S1776" s="240"/>
      <c r="T1776" s="240"/>
      <c r="U1776" s="240"/>
      <c r="V1776" s="240"/>
      <c r="W1776" s="240"/>
      <c r="X1776" s="240"/>
      <c r="Y1776" s="240"/>
      <c r="Z1776" s="240"/>
    </row>
    <row r="1777" ht="14.25" customHeight="1">
      <c r="A1777" s="302">
        <f t="shared" si="4"/>
        <v>47949</v>
      </c>
      <c r="B1777" s="241">
        <f t="shared" si="1"/>
        <v>2031</v>
      </c>
      <c r="C1777" s="241">
        <f t="shared" si="2"/>
        <v>4</v>
      </c>
      <c r="D1777" s="301" t="str">
        <f t="shared" si="3"/>
        <v>Friday</v>
      </c>
      <c r="E1777" s="240"/>
      <c r="F1777" s="240"/>
      <c r="G1777" s="240"/>
      <c r="H1777" s="241"/>
      <c r="I1777" s="301"/>
      <c r="J1777" s="240"/>
      <c r="K1777" s="240"/>
      <c r="L1777" s="240"/>
      <c r="M1777" s="240"/>
      <c r="N1777" s="240"/>
      <c r="O1777" s="240"/>
      <c r="P1777" s="240"/>
      <c r="Q1777" s="240"/>
      <c r="R1777" s="240"/>
      <c r="S1777" s="240"/>
      <c r="T1777" s="240"/>
      <c r="U1777" s="240"/>
      <c r="V1777" s="240"/>
      <c r="W1777" s="240"/>
      <c r="X1777" s="240"/>
      <c r="Y1777" s="240"/>
      <c r="Z1777" s="240"/>
    </row>
    <row r="1778" ht="14.25" customHeight="1">
      <c r="A1778" s="302">
        <f t="shared" si="4"/>
        <v>47950</v>
      </c>
      <c r="B1778" s="241">
        <f t="shared" si="1"/>
        <v>2031</v>
      </c>
      <c r="C1778" s="241">
        <f t="shared" si="2"/>
        <v>4</v>
      </c>
      <c r="D1778" s="301" t="str">
        <f t="shared" si="3"/>
        <v>Saturday</v>
      </c>
      <c r="E1778" s="240"/>
      <c r="F1778" s="240"/>
      <c r="G1778" s="240"/>
      <c r="H1778" s="241"/>
      <c r="I1778" s="301"/>
      <c r="J1778" s="240"/>
      <c r="K1778" s="240"/>
      <c r="L1778" s="240"/>
      <c r="M1778" s="240"/>
      <c r="N1778" s="240"/>
      <c r="O1778" s="240"/>
      <c r="P1778" s="240"/>
      <c r="Q1778" s="240"/>
      <c r="R1778" s="240"/>
      <c r="S1778" s="240"/>
      <c r="T1778" s="240"/>
      <c r="U1778" s="240"/>
      <c r="V1778" s="240"/>
      <c r="W1778" s="240"/>
      <c r="X1778" s="240"/>
      <c r="Y1778" s="240"/>
      <c r="Z1778" s="240"/>
    </row>
    <row r="1779" ht="14.25" customHeight="1">
      <c r="A1779" s="302">
        <f t="shared" si="4"/>
        <v>47951</v>
      </c>
      <c r="B1779" s="241">
        <f t="shared" si="1"/>
        <v>2031</v>
      </c>
      <c r="C1779" s="241">
        <f t="shared" si="2"/>
        <v>4</v>
      </c>
      <c r="D1779" s="301" t="str">
        <f t="shared" si="3"/>
        <v>Sunday</v>
      </c>
      <c r="E1779" s="240"/>
      <c r="F1779" s="240"/>
      <c r="G1779" s="240"/>
      <c r="H1779" s="241"/>
      <c r="I1779" s="301"/>
      <c r="J1779" s="240"/>
      <c r="K1779" s="240"/>
      <c r="L1779" s="240"/>
      <c r="M1779" s="240"/>
      <c r="N1779" s="240"/>
      <c r="O1779" s="240"/>
      <c r="P1779" s="240"/>
      <c r="Q1779" s="240"/>
      <c r="R1779" s="240"/>
      <c r="S1779" s="240"/>
      <c r="T1779" s="240"/>
      <c r="U1779" s="240"/>
      <c r="V1779" s="240"/>
      <c r="W1779" s="240"/>
      <c r="X1779" s="240"/>
      <c r="Y1779" s="240"/>
      <c r="Z1779" s="240"/>
    </row>
    <row r="1780" ht="14.25" customHeight="1">
      <c r="A1780" s="302">
        <f t="shared" si="4"/>
        <v>47952</v>
      </c>
      <c r="B1780" s="241">
        <f t="shared" si="1"/>
        <v>2031</v>
      </c>
      <c r="C1780" s="241">
        <f t="shared" si="2"/>
        <v>4</v>
      </c>
      <c r="D1780" s="301" t="str">
        <f t="shared" si="3"/>
        <v>Monday</v>
      </c>
      <c r="E1780" s="240"/>
      <c r="F1780" s="240"/>
      <c r="G1780" s="240"/>
      <c r="H1780" s="241"/>
      <c r="I1780" s="301"/>
      <c r="J1780" s="240"/>
      <c r="K1780" s="240"/>
      <c r="L1780" s="240"/>
      <c r="M1780" s="240"/>
      <c r="N1780" s="240"/>
      <c r="O1780" s="240"/>
      <c r="P1780" s="240"/>
      <c r="Q1780" s="240"/>
      <c r="R1780" s="240"/>
      <c r="S1780" s="240"/>
      <c r="T1780" s="240"/>
      <c r="U1780" s="240"/>
      <c r="V1780" s="240"/>
      <c r="W1780" s="240"/>
      <c r="X1780" s="240"/>
      <c r="Y1780" s="240"/>
      <c r="Z1780" s="240"/>
    </row>
    <row r="1781" ht="14.25" customHeight="1">
      <c r="A1781" s="302">
        <f t="shared" si="4"/>
        <v>47953</v>
      </c>
      <c r="B1781" s="241">
        <f t="shared" si="1"/>
        <v>2031</v>
      </c>
      <c r="C1781" s="241">
        <f t="shared" si="2"/>
        <v>4</v>
      </c>
      <c r="D1781" s="301" t="str">
        <f t="shared" si="3"/>
        <v>Tuesday</v>
      </c>
      <c r="E1781" s="240"/>
      <c r="F1781" s="240"/>
      <c r="G1781" s="240"/>
      <c r="H1781" s="241"/>
      <c r="I1781" s="301"/>
      <c r="J1781" s="240"/>
      <c r="K1781" s="240"/>
      <c r="L1781" s="240"/>
      <c r="M1781" s="240"/>
      <c r="N1781" s="240"/>
      <c r="O1781" s="240"/>
      <c r="P1781" s="240"/>
      <c r="Q1781" s="240"/>
      <c r="R1781" s="240"/>
      <c r="S1781" s="240"/>
      <c r="T1781" s="240"/>
      <c r="U1781" s="240"/>
      <c r="V1781" s="240"/>
      <c r="W1781" s="240"/>
      <c r="X1781" s="240"/>
      <c r="Y1781" s="240"/>
      <c r="Z1781" s="240"/>
    </row>
    <row r="1782" ht="14.25" customHeight="1">
      <c r="A1782" s="302">
        <f t="shared" si="4"/>
        <v>47954</v>
      </c>
      <c r="B1782" s="241">
        <f t="shared" si="1"/>
        <v>2031</v>
      </c>
      <c r="C1782" s="241">
        <f t="shared" si="2"/>
        <v>4</v>
      </c>
      <c r="D1782" s="301" t="str">
        <f t="shared" si="3"/>
        <v>Wednesday</v>
      </c>
      <c r="E1782" s="240"/>
      <c r="F1782" s="240"/>
      <c r="G1782" s="240"/>
      <c r="H1782" s="241"/>
      <c r="I1782" s="301"/>
      <c r="J1782" s="240"/>
      <c r="K1782" s="240"/>
      <c r="L1782" s="240"/>
      <c r="M1782" s="240"/>
      <c r="N1782" s="240"/>
      <c r="O1782" s="240"/>
      <c r="P1782" s="240"/>
      <c r="Q1782" s="240"/>
      <c r="R1782" s="240"/>
      <c r="S1782" s="240"/>
      <c r="T1782" s="240"/>
      <c r="U1782" s="240"/>
      <c r="V1782" s="240"/>
      <c r="W1782" s="240"/>
      <c r="X1782" s="240"/>
      <c r="Y1782" s="240"/>
      <c r="Z1782" s="240"/>
    </row>
    <row r="1783" ht="14.25" customHeight="1">
      <c r="A1783" s="302">
        <f t="shared" si="4"/>
        <v>47955</v>
      </c>
      <c r="B1783" s="241">
        <f t="shared" si="1"/>
        <v>2031</v>
      </c>
      <c r="C1783" s="241">
        <f t="shared" si="2"/>
        <v>4</v>
      </c>
      <c r="D1783" s="301" t="str">
        <f t="shared" si="3"/>
        <v>Thursday</v>
      </c>
      <c r="E1783" s="240"/>
      <c r="F1783" s="240"/>
      <c r="G1783" s="240"/>
      <c r="H1783" s="241"/>
      <c r="I1783" s="301"/>
      <c r="J1783" s="240"/>
      <c r="K1783" s="240"/>
      <c r="L1783" s="240"/>
      <c r="M1783" s="240"/>
      <c r="N1783" s="240"/>
      <c r="O1783" s="240"/>
      <c r="P1783" s="240"/>
      <c r="Q1783" s="240"/>
      <c r="R1783" s="240"/>
      <c r="S1783" s="240"/>
      <c r="T1783" s="240"/>
      <c r="U1783" s="240"/>
      <c r="V1783" s="240"/>
      <c r="W1783" s="240"/>
      <c r="X1783" s="240"/>
      <c r="Y1783" s="240"/>
      <c r="Z1783" s="240"/>
    </row>
    <row r="1784" ht="14.25" customHeight="1">
      <c r="A1784" s="302">
        <f t="shared" si="4"/>
        <v>47956</v>
      </c>
      <c r="B1784" s="241">
        <f t="shared" si="1"/>
        <v>2031</v>
      </c>
      <c r="C1784" s="241">
        <f t="shared" si="2"/>
        <v>4</v>
      </c>
      <c r="D1784" s="301" t="str">
        <f t="shared" si="3"/>
        <v>Friday</v>
      </c>
      <c r="E1784" s="240"/>
      <c r="F1784" s="240"/>
      <c r="G1784" s="240"/>
      <c r="H1784" s="241"/>
      <c r="I1784" s="301"/>
      <c r="J1784" s="240"/>
      <c r="K1784" s="240"/>
      <c r="L1784" s="240"/>
      <c r="M1784" s="240"/>
      <c r="N1784" s="240"/>
      <c r="O1784" s="240"/>
      <c r="P1784" s="240"/>
      <c r="Q1784" s="240"/>
      <c r="R1784" s="240"/>
      <c r="S1784" s="240"/>
      <c r="T1784" s="240"/>
      <c r="U1784" s="240"/>
      <c r="V1784" s="240"/>
      <c r="W1784" s="240"/>
      <c r="X1784" s="240"/>
      <c r="Y1784" s="240"/>
      <c r="Z1784" s="240"/>
    </row>
    <row r="1785" ht="14.25" customHeight="1">
      <c r="A1785" s="302">
        <f t="shared" si="4"/>
        <v>47957</v>
      </c>
      <c r="B1785" s="241">
        <f t="shared" si="1"/>
        <v>2031</v>
      </c>
      <c r="C1785" s="241">
        <f t="shared" si="2"/>
        <v>4</v>
      </c>
      <c r="D1785" s="301" t="str">
        <f t="shared" si="3"/>
        <v>Saturday</v>
      </c>
      <c r="E1785" s="240"/>
      <c r="F1785" s="240"/>
      <c r="G1785" s="240"/>
      <c r="H1785" s="241"/>
      <c r="I1785" s="301"/>
      <c r="J1785" s="240"/>
      <c r="K1785" s="240"/>
      <c r="L1785" s="240"/>
      <c r="M1785" s="240"/>
      <c r="N1785" s="240"/>
      <c r="O1785" s="240"/>
      <c r="P1785" s="240"/>
      <c r="Q1785" s="240"/>
      <c r="R1785" s="240"/>
      <c r="S1785" s="240"/>
      <c r="T1785" s="240"/>
      <c r="U1785" s="240"/>
      <c r="V1785" s="240"/>
      <c r="W1785" s="240"/>
      <c r="X1785" s="240"/>
      <c r="Y1785" s="240"/>
      <c r="Z1785" s="240"/>
    </row>
    <row r="1786" ht="14.25" customHeight="1">
      <c r="A1786" s="302">
        <f t="shared" si="4"/>
        <v>47958</v>
      </c>
      <c r="B1786" s="241">
        <f t="shared" si="1"/>
        <v>2031</v>
      </c>
      <c r="C1786" s="241">
        <f t="shared" si="2"/>
        <v>4</v>
      </c>
      <c r="D1786" s="301" t="str">
        <f t="shared" si="3"/>
        <v>Sunday</v>
      </c>
      <c r="E1786" s="240"/>
      <c r="F1786" s="240"/>
      <c r="G1786" s="240"/>
      <c r="H1786" s="241"/>
      <c r="I1786" s="301"/>
      <c r="J1786" s="240"/>
      <c r="K1786" s="240"/>
      <c r="L1786" s="240"/>
      <c r="M1786" s="240"/>
      <c r="N1786" s="240"/>
      <c r="O1786" s="240"/>
      <c r="P1786" s="240"/>
      <c r="Q1786" s="240"/>
      <c r="R1786" s="240"/>
      <c r="S1786" s="240"/>
      <c r="T1786" s="240"/>
      <c r="U1786" s="240"/>
      <c r="V1786" s="240"/>
      <c r="W1786" s="240"/>
      <c r="X1786" s="240"/>
      <c r="Y1786" s="240"/>
      <c r="Z1786" s="240"/>
    </row>
    <row r="1787" ht="14.25" customHeight="1">
      <c r="A1787" s="302">
        <f t="shared" si="4"/>
        <v>47959</v>
      </c>
      <c r="B1787" s="241">
        <f t="shared" si="1"/>
        <v>2031</v>
      </c>
      <c r="C1787" s="241">
        <f t="shared" si="2"/>
        <v>4</v>
      </c>
      <c r="D1787" s="301" t="str">
        <f t="shared" si="3"/>
        <v>Monday</v>
      </c>
      <c r="E1787" s="240"/>
      <c r="F1787" s="240"/>
      <c r="G1787" s="240"/>
      <c r="H1787" s="241"/>
      <c r="I1787" s="301"/>
      <c r="J1787" s="240"/>
      <c r="K1787" s="240"/>
      <c r="L1787" s="240"/>
      <c r="M1787" s="240"/>
      <c r="N1787" s="240"/>
      <c r="O1787" s="240"/>
      <c r="P1787" s="240"/>
      <c r="Q1787" s="240"/>
      <c r="R1787" s="240"/>
      <c r="S1787" s="240"/>
      <c r="T1787" s="240"/>
      <c r="U1787" s="240"/>
      <c r="V1787" s="240"/>
      <c r="W1787" s="240"/>
      <c r="X1787" s="240"/>
      <c r="Y1787" s="240"/>
      <c r="Z1787" s="240"/>
    </row>
    <row r="1788" ht="14.25" customHeight="1">
      <c r="A1788" s="302">
        <f t="shared" si="4"/>
        <v>47960</v>
      </c>
      <c r="B1788" s="241">
        <f t="shared" si="1"/>
        <v>2031</v>
      </c>
      <c r="C1788" s="241">
        <f t="shared" si="2"/>
        <v>4</v>
      </c>
      <c r="D1788" s="301" t="str">
        <f t="shared" si="3"/>
        <v>Tuesday</v>
      </c>
      <c r="E1788" s="240"/>
      <c r="F1788" s="240"/>
      <c r="G1788" s="240"/>
      <c r="H1788" s="241"/>
      <c r="I1788" s="301"/>
      <c r="J1788" s="240"/>
      <c r="K1788" s="240"/>
      <c r="L1788" s="240"/>
      <c r="M1788" s="240"/>
      <c r="N1788" s="240"/>
      <c r="O1788" s="240"/>
      <c r="P1788" s="240"/>
      <c r="Q1788" s="240"/>
      <c r="R1788" s="240"/>
      <c r="S1788" s="240"/>
      <c r="T1788" s="240"/>
      <c r="U1788" s="240"/>
      <c r="V1788" s="240"/>
      <c r="W1788" s="240"/>
      <c r="X1788" s="240"/>
      <c r="Y1788" s="240"/>
      <c r="Z1788" s="240"/>
    </row>
    <row r="1789" ht="14.25" customHeight="1">
      <c r="A1789" s="302">
        <f t="shared" si="4"/>
        <v>47961</v>
      </c>
      <c r="B1789" s="241">
        <f t="shared" si="1"/>
        <v>2031</v>
      </c>
      <c r="C1789" s="241">
        <f t="shared" si="2"/>
        <v>4</v>
      </c>
      <c r="D1789" s="301" t="str">
        <f t="shared" si="3"/>
        <v>Wednesday</v>
      </c>
      <c r="E1789" s="240"/>
      <c r="F1789" s="240"/>
      <c r="G1789" s="240"/>
      <c r="H1789" s="241"/>
      <c r="I1789" s="301"/>
      <c r="J1789" s="240"/>
      <c r="K1789" s="240"/>
      <c r="L1789" s="240"/>
      <c r="M1789" s="240"/>
      <c r="N1789" s="240"/>
      <c r="O1789" s="240"/>
      <c r="P1789" s="240"/>
      <c r="Q1789" s="240"/>
      <c r="R1789" s="240"/>
      <c r="S1789" s="240"/>
      <c r="T1789" s="240"/>
      <c r="U1789" s="240"/>
      <c r="V1789" s="240"/>
      <c r="W1789" s="240"/>
      <c r="X1789" s="240"/>
      <c r="Y1789" s="240"/>
      <c r="Z1789" s="240"/>
    </row>
    <row r="1790" ht="14.25" customHeight="1">
      <c r="A1790" s="302">
        <f t="shared" si="4"/>
        <v>47962</v>
      </c>
      <c r="B1790" s="241">
        <f t="shared" si="1"/>
        <v>2031</v>
      </c>
      <c r="C1790" s="241">
        <f t="shared" si="2"/>
        <v>4</v>
      </c>
      <c r="D1790" s="301" t="str">
        <f t="shared" si="3"/>
        <v>Thursday</v>
      </c>
      <c r="E1790" s="240"/>
      <c r="F1790" s="240"/>
      <c r="G1790" s="240"/>
      <c r="H1790" s="241"/>
      <c r="I1790" s="301"/>
      <c r="J1790" s="240"/>
      <c r="K1790" s="240"/>
      <c r="L1790" s="240"/>
      <c r="M1790" s="240"/>
      <c r="N1790" s="240"/>
      <c r="O1790" s="240"/>
      <c r="P1790" s="240"/>
      <c r="Q1790" s="240"/>
      <c r="R1790" s="240"/>
      <c r="S1790" s="240"/>
      <c r="T1790" s="240"/>
      <c r="U1790" s="240"/>
      <c r="V1790" s="240"/>
      <c r="W1790" s="240"/>
      <c r="X1790" s="240"/>
      <c r="Y1790" s="240"/>
      <c r="Z1790" s="240"/>
    </row>
    <row r="1791" ht="14.25" customHeight="1">
      <c r="A1791" s="302">
        <f t="shared" si="4"/>
        <v>47963</v>
      </c>
      <c r="B1791" s="241">
        <f t="shared" si="1"/>
        <v>2031</v>
      </c>
      <c r="C1791" s="241">
        <f t="shared" si="2"/>
        <v>4</v>
      </c>
      <c r="D1791" s="301" t="str">
        <f t="shared" si="3"/>
        <v>Friday</v>
      </c>
      <c r="E1791" s="240"/>
      <c r="F1791" s="240"/>
      <c r="G1791" s="240"/>
      <c r="H1791" s="241"/>
      <c r="I1791" s="301"/>
      <c r="J1791" s="240"/>
      <c r="K1791" s="240"/>
      <c r="L1791" s="240"/>
      <c r="M1791" s="240"/>
      <c r="N1791" s="240"/>
      <c r="O1791" s="240"/>
      <c r="P1791" s="240"/>
      <c r="Q1791" s="240"/>
      <c r="R1791" s="240"/>
      <c r="S1791" s="240"/>
      <c r="T1791" s="240"/>
      <c r="U1791" s="240"/>
      <c r="V1791" s="240"/>
      <c r="W1791" s="240"/>
      <c r="X1791" s="240"/>
      <c r="Y1791" s="240"/>
      <c r="Z1791" s="240"/>
    </row>
    <row r="1792" ht="14.25" customHeight="1">
      <c r="A1792" s="302">
        <f t="shared" si="4"/>
        <v>47964</v>
      </c>
      <c r="B1792" s="241">
        <f t="shared" si="1"/>
        <v>2031</v>
      </c>
      <c r="C1792" s="241">
        <f t="shared" si="2"/>
        <v>4</v>
      </c>
      <c r="D1792" s="301" t="str">
        <f t="shared" si="3"/>
        <v>Saturday</v>
      </c>
      <c r="E1792" s="240"/>
      <c r="F1792" s="240"/>
      <c r="G1792" s="240"/>
      <c r="H1792" s="241"/>
      <c r="I1792" s="301"/>
      <c r="J1792" s="240"/>
      <c r="K1792" s="240"/>
      <c r="L1792" s="240"/>
      <c r="M1792" s="240"/>
      <c r="N1792" s="240"/>
      <c r="O1792" s="240"/>
      <c r="P1792" s="240"/>
      <c r="Q1792" s="240"/>
      <c r="R1792" s="240"/>
      <c r="S1792" s="240"/>
      <c r="T1792" s="240"/>
      <c r="U1792" s="240"/>
      <c r="V1792" s="240"/>
      <c r="W1792" s="240"/>
      <c r="X1792" s="240"/>
      <c r="Y1792" s="240"/>
      <c r="Z1792" s="240"/>
    </row>
    <row r="1793" ht="14.25" customHeight="1">
      <c r="A1793" s="302">
        <f t="shared" si="4"/>
        <v>47965</v>
      </c>
      <c r="B1793" s="241">
        <f t="shared" si="1"/>
        <v>2031</v>
      </c>
      <c r="C1793" s="241">
        <f t="shared" si="2"/>
        <v>4</v>
      </c>
      <c r="D1793" s="301" t="str">
        <f t="shared" si="3"/>
        <v>Sunday</v>
      </c>
      <c r="E1793" s="240"/>
      <c r="F1793" s="240"/>
      <c r="G1793" s="240"/>
      <c r="H1793" s="241"/>
      <c r="I1793" s="301"/>
      <c r="J1793" s="240"/>
      <c r="K1793" s="240"/>
      <c r="L1793" s="240"/>
      <c r="M1793" s="240"/>
      <c r="N1793" s="240"/>
      <c r="O1793" s="240"/>
      <c r="P1793" s="240"/>
      <c r="Q1793" s="240"/>
      <c r="R1793" s="240"/>
      <c r="S1793" s="240"/>
      <c r="T1793" s="240"/>
      <c r="U1793" s="240"/>
      <c r="V1793" s="240"/>
      <c r="W1793" s="240"/>
      <c r="X1793" s="240"/>
      <c r="Y1793" s="240"/>
      <c r="Z1793" s="240"/>
    </row>
    <row r="1794" ht="14.25" customHeight="1">
      <c r="A1794" s="302">
        <f t="shared" si="4"/>
        <v>47966</v>
      </c>
      <c r="B1794" s="241">
        <f t="shared" si="1"/>
        <v>2031</v>
      </c>
      <c r="C1794" s="241">
        <f t="shared" si="2"/>
        <v>4</v>
      </c>
      <c r="D1794" s="301" t="str">
        <f t="shared" si="3"/>
        <v>Monday</v>
      </c>
      <c r="E1794" s="240"/>
      <c r="F1794" s="240"/>
      <c r="G1794" s="240"/>
      <c r="H1794" s="241"/>
      <c r="I1794" s="301"/>
      <c r="J1794" s="240"/>
      <c r="K1794" s="240"/>
      <c r="L1794" s="240"/>
      <c r="M1794" s="240"/>
      <c r="N1794" s="240"/>
      <c r="O1794" s="240"/>
      <c r="P1794" s="240"/>
      <c r="Q1794" s="240"/>
      <c r="R1794" s="240"/>
      <c r="S1794" s="240"/>
      <c r="T1794" s="240"/>
      <c r="U1794" s="240"/>
      <c r="V1794" s="240"/>
      <c r="W1794" s="240"/>
      <c r="X1794" s="240"/>
      <c r="Y1794" s="240"/>
      <c r="Z1794" s="240"/>
    </row>
    <row r="1795" ht="14.25" customHeight="1">
      <c r="A1795" s="302">
        <f t="shared" si="4"/>
        <v>47967</v>
      </c>
      <c r="B1795" s="241">
        <f t="shared" si="1"/>
        <v>2031</v>
      </c>
      <c r="C1795" s="241">
        <f t="shared" si="2"/>
        <v>4</v>
      </c>
      <c r="D1795" s="301" t="str">
        <f t="shared" si="3"/>
        <v>Tuesday</v>
      </c>
      <c r="E1795" s="240"/>
      <c r="F1795" s="240"/>
      <c r="G1795" s="240"/>
      <c r="H1795" s="241"/>
      <c r="I1795" s="301"/>
      <c r="J1795" s="240"/>
      <c r="K1795" s="240"/>
      <c r="L1795" s="240"/>
      <c r="M1795" s="240"/>
      <c r="N1795" s="240"/>
      <c r="O1795" s="240"/>
      <c r="P1795" s="240"/>
      <c r="Q1795" s="240"/>
      <c r="R1795" s="240"/>
      <c r="S1795" s="240"/>
      <c r="T1795" s="240"/>
      <c r="U1795" s="240"/>
      <c r="V1795" s="240"/>
      <c r="W1795" s="240"/>
      <c r="X1795" s="240"/>
      <c r="Y1795" s="240"/>
      <c r="Z1795" s="240"/>
    </row>
    <row r="1796" ht="14.25" customHeight="1">
      <c r="A1796" s="302">
        <f t="shared" si="4"/>
        <v>47968</v>
      </c>
      <c r="B1796" s="241">
        <f t="shared" si="1"/>
        <v>2031</v>
      </c>
      <c r="C1796" s="241">
        <f t="shared" si="2"/>
        <v>4</v>
      </c>
      <c r="D1796" s="301" t="str">
        <f t="shared" si="3"/>
        <v>Wednesday</v>
      </c>
      <c r="E1796" s="240"/>
      <c r="F1796" s="240"/>
      <c r="G1796" s="240"/>
      <c r="H1796" s="241"/>
      <c r="I1796" s="301"/>
      <c r="J1796" s="240"/>
      <c r="K1796" s="240"/>
      <c r="L1796" s="240"/>
      <c r="M1796" s="240"/>
      <c r="N1796" s="240"/>
      <c r="O1796" s="240"/>
      <c r="P1796" s="240"/>
      <c r="Q1796" s="240"/>
      <c r="R1796" s="240"/>
      <c r="S1796" s="240"/>
      <c r="T1796" s="240"/>
      <c r="U1796" s="240"/>
      <c r="V1796" s="240"/>
      <c r="W1796" s="240"/>
      <c r="X1796" s="240"/>
      <c r="Y1796" s="240"/>
      <c r="Z1796" s="240"/>
    </row>
    <row r="1797" ht="14.25" customHeight="1">
      <c r="A1797" s="302">
        <f t="shared" si="4"/>
        <v>47969</v>
      </c>
      <c r="B1797" s="241">
        <f t="shared" si="1"/>
        <v>2031</v>
      </c>
      <c r="C1797" s="241">
        <f t="shared" si="2"/>
        <v>5</v>
      </c>
      <c r="D1797" s="301" t="str">
        <f t="shared" si="3"/>
        <v>Thursday</v>
      </c>
      <c r="E1797" s="240"/>
      <c r="F1797" s="240"/>
      <c r="G1797" s="240"/>
      <c r="H1797" s="241"/>
      <c r="I1797" s="301"/>
      <c r="J1797" s="240"/>
      <c r="K1797" s="240"/>
      <c r="L1797" s="240"/>
      <c r="M1797" s="240"/>
      <c r="N1797" s="240"/>
      <c r="O1797" s="240"/>
      <c r="P1797" s="240"/>
      <c r="Q1797" s="240"/>
      <c r="R1797" s="240"/>
      <c r="S1797" s="240"/>
      <c r="T1797" s="240"/>
      <c r="U1797" s="240"/>
      <c r="V1797" s="240"/>
      <c r="W1797" s="240"/>
      <c r="X1797" s="240"/>
      <c r="Y1797" s="240"/>
      <c r="Z1797" s="240"/>
    </row>
    <row r="1798" ht="14.25" customHeight="1">
      <c r="A1798" s="302">
        <f t="shared" si="4"/>
        <v>47970</v>
      </c>
      <c r="B1798" s="241">
        <f t="shared" si="1"/>
        <v>2031</v>
      </c>
      <c r="C1798" s="241">
        <f t="shared" si="2"/>
        <v>5</v>
      </c>
      <c r="D1798" s="301" t="str">
        <f t="shared" si="3"/>
        <v>Friday</v>
      </c>
      <c r="E1798" s="240"/>
      <c r="F1798" s="240"/>
      <c r="G1798" s="240"/>
      <c r="H1798" s="241"/>
      <c r="I1798" s="301"/>
      <c r="J1798" s="240"/>
      <c r="K1798" s="240"/>
      <c r="L1798" s="240"/>
      <c r="M1798" s="240"/>
      <c r="N1798" s="240"/>
      <c r="O1798" s="240"/>
      <c r="P1798" s="240"/>
      <c r="Q1798" s="240"/>
      <c r="R1798" s="240"/>
      <c r="S1798" s="240"/>
      <c r="T1798" s="240"/>
      <c r="U1798" s="240"/>
      <c r="V1798" s="240"/>
      <c r="W1798" s="240"/>
      <c r="X1798" s="240"/>
      <c r="Y1798" s="240"/>
      <c r="Z1798" s="240"/>
    </row>
    <row r="1799" ht="14.25" customHeight="1">
      <c r="A1799" s="302">
        <f t="shared" si="4"/>
        <v>47971</v>
      </c>
      <c r="B1799" s="241">
        <f t="shared" si="1"/>
        <v>2031</v>
      </c>
      <c r="C1799" s="241">
        <f t="shared" si="2"/>
        <v>5</v>
      </c>
      <c r="D1799" s="301" t="str">
        <f t="shared" si="3"/>
        <v>Saturday</v>
      </c>
      <c r="E1799" s="240"/>
      <c r="F1799" s="240"/>
      <c r="G1799" s="240"/>
      <c r="H1799" s="241"/>
      <c r="I1799" s="301"/>
      <c r="J1799" s="240"/>
      <c r="K1799" s="240"/>
      <c r="L1799" s="240"/>
      <c r="M1799" s="240"/>
      <c r="N1799" s="240"/>
      <c r="O1799" s="240"/>
      <c r="P1799" s="240"/>
      <c r="Q1799" s="240"/>
      <c r="R1799" s="240"/>
      <c r="S1799" s="240"/>
      <c r="T1799" s="240"/>
      <c r="U1799" s="240"/>
      <c r="V1799" s="240"/>
      <c r="W1799" s="240"/>
      <c r="X1799" s="240"/>
      <c r="Y1799" s="240"/>
      <c r="Z1799" s="240"/>
    </row>
    <row r="1800" ht="14.25" customHeight="1">
      <c r="A1800" s="302">
        <f t="shared" si="4"/>
        <v>47972</v>
      </c>
      <c r="B1800" s="241">
        <f t="shared" si="1"/>
        <v>2031</v>
      </c>
      <c r="C1800" s="241">
        <f t="shared" si="2"/>
        <v>5</v>
      </c>
      <c r="D1800" s="301" t="str">
        <f t="shared" si="3"/>
        <v>Sunday</v>
      </c>
      <c r="E1800" s="240"/>
      <c r="F1800" s="240"/>
      <c r="G1800" s="240"/>
      <c r="H1800" s="241"/>
      <c r="I1800" s="301"/>
      <c r="J1800" s="240"/>
      <c r="K1800" s="240"/>
      <c r="L1800" s="240"/>
      <c r="M1800" s="240"/>
      <c r="N1800" s="240"/>
      <c r="O1800" s="240"/>
      <c r="P1800" s="240"/>
      <c r="Q1800" s="240"/>
      <c r="R1800" s="240"/>
      <c r="S1800" s="240"/>
      <c r="T1800" s="240"/>
      <c r="U1800" s="240"/>
      <c r="V1800" s="240"/>
      <c r="W1800" s="240"/>
      <c r="X1800" s="240"/>
      <c r="Y1800" s="240"/>
      <c r="Z1800" s="240"/>
    </row>
    <row r="1801" ht="14.25" customHeight="1">
      <c r="A1801" s="302">
        <f t="shared" si="4"/>
        <v>47973</v>
      </c>
      <c r="B1801" s="241">
        <f t="shared" si="1"/>
        <v>2031</v>
      </c>
      <c r="C1801" s="241">
        <f t="shared" si="2"/>
        <v>5</v>
      </c>
      <c r="D1801" s="301" t="str">
        <f t="shared" si="3"/>
        <v>Monday</v>
      </c>
      <c r="E1801" s="240"/>
      <c r="F1801" s="240"/>
      <c r="G1801" s="240"/>
      <c r="H1801" s="241"/>
      <c r="I1801" s="301"/>
      <c r="J1801" s="240"/>
      <c r="K1801" s="240"/>
      <c r="L1801" s="240"/>
      <c r="M1801" s="240"/>
      <c r="N1801" s="240"/>
      <c r="O1801" s="240"/>
      <c r="P1801" s="240"/>
      <c r="Q1801" s="240"/>
      <c r="R1801" s="240"/>
      <c r="S1801" s="240"/>
      <c r="T1801" s="240"/>
      <c r="U1801" s="240"/>
      <c r="V1801" s="240"/>
      <c r="W1801" s="240"/>
      <c r="X1801" s="240"/>
      <c r="Y1801" s="240"/>
      <c r="Z1801" s="240"/>
    </row>
    <row r="1802" ht="14.25" customHeight="1">
      <c r="A1802" s="302">
        <f t="shared" si="4"/>
        <v>47974</v>
      </c>
      <c r="B1802" s="241">
        <f t="shared" si="1"/>
        <v>2031</v>
      </c>
      <c r="C1802" s="241">
        <f t="shared" si="2"/>
        <v>5</v>
      </c>
      <c r="D1802" s="301" t="str">
        <f t="shared" si="3"/>
        <v>Tuesday</v>
      </c>
      <c r="E1802" s="240"/>
      <c r="F1802" s="240"/>
      <c r="G1802" s="240"/>
      <c r="H1802" s="241"/>
      <c r="I1802" s="301"/>
      <c r="J1802" s="240"/>
      <c r="K1802" s="240"/>
      <c r="L1802" s="240"/>
      <c r="M1802" s="240"/>
      <c r="N1802" s="240"/>
      <c r="O1802" s="240"/>
      <c r="P1802" s="240"/>
      <c r="Q1802" s="240"/>
      <c r="R1802" s="240"/>
      <c r="S1802" s="240"/>
      <c r="T1802" s="240"/>
      <c r="U1802" s="240"/>
      <c r="V1802" s="240"/>
      <c r="W1802" s="240"/>
      <c r="X1802" s="240"/>
      <c r="Y1802" s="240"/>
      <c r="Z1802" s="240"/>
    </row>
    <row r="1803" ht="14.25" customHeight="1">
      <c r="A1803" s="302">
        <f t="shared" si="4"/>
        <v>47975</v>
      </c>
      <c r="B1803" s="241">
        <f t="shared" si="1"/>
        <v>2031</v>
      </c>
      <c r="C1803" s="241">
        <f t="shared" si="2"/>
        <v>5</v>
      </c>
      <c r="D1803" s="301" t="str">
        <f t="shared" si="3"/>
        <v>Wednesday</v>
      </c>
      <c r="E1803" s="240"/>
      <c r="F1803" s="240"/>
      <c r="G1803" s="240"/>
      <c r="H1803" s="241"/>
      <c r="I1803" s="301"/>
      <c r="J1803" s="240"/>
      <c r="K1803" s="240"/>
      <c r="L1803" s="240"/>
      <c r="M1803" s="240"/>
      <c r="N1803" s="240"/>
      <c r="O1803" s="240"/>
      <c r="P1803" s="240"/>
      <c r="Q1803" s="240"/>
      <c r="R1803" s="240"/>
      <c r="S1803" s="240"/>
      <c r="T1803" s="240"/>
      <c r="U1803" s="240"/>
      <c r="V1803" s="240"/>
      <c r="W1803" s="240"/>
      <c r="X1803" s="240"/>
      <c r="Y1803" s="240"/>
      <c r="Z1803" s="240"/>
    </row>
    <row r="1804" ht="14.25" customHeight="1">
      <c r="A1804" s="302">
        <f t="shared" si="4"/>
        <v>47976</v>
      </c>
      <c r="B1804" s="241">
        <f t="shared" si="1"/>
        <v>2031</v>
      </c>
      <c r="C1804" s="241">
        <f t="shared" si="2"/>
        <v>5</v>
      </c>
      <c r="D1804" s="301" t="str">
        <f t="shared" si="3"/>
        <v>Thursday</v>
      </c>
      <c r="E1804" s="240"/>
      <c r="F1804" s="240"/>
      <c r="G1804" s="240"/>
      <c r="H1804" s="241"/>
      <c r="I1804" s="301"/>
      <c r="J1804" s="240"/>
      <c r="K1804" s="240"/>
      <c r="L1804" s="240"/>
      <c r="M1804" s="240"/>
      <c r="N1804" s="240"/>
      <c r="O1804" s="240"/>
      <c r="P1804" s="240"/>
      <c r="Q1804" s="240"/>
      <c r="R1804" s="240"/>
      <c r="S1804" s="240"/>
      <c r="T1804" s="240"/>
      <c r="U1804" s="240"/>
      <c r="V1804" s="240"/>
      <c r="W1804" s="240"/>
      <c r="X1804" s="240"/>
      <c r="Y1804" s="240"/>
      <c r="Z1804" s="240"/>
    </row>
    <row r="1805" ht="14.25" customHeight="1">
      <c r="A1805" s="302">
        <f t="shared" si="4"/>
        <v>47977</v>
      </c>
      <c r="B1805" s="241">
        <f t="shared" si="1"/>
        <v>2031</v>
      </c>
      <c r="C1805" s="241">
        <f t="shared" si="2"/>
        <v>5</v>
      </c>
      <c r="D1805" s="301" t="str">
        <f t="shared" si="3"/>
        <v>Friday</v>
      </c>
      <c r="E1805" s="240"/>
      <c r="F1805" s="240"/>
      <c r="G1805" s="240"/>
      <c r="H1805" s="241"/>
      <c r="I1805" s="301"/>
      <c r="J1805" s="240"/>
      <c r="K1805" s="240"/>
      <c r="L1805" s="240"/>
      <c r="M1805" s="240"/>
      <c r="N1805" s="240"/>
      <c r="O1805" s="240"/>
      <c r="P1805" s="240"/>
      <c r="Q1805" s="240"/>
      <c r="R1805" s="240"/>
      <c r="S1805" s="240"/>
      <c r="T1805" s="240"/>
      <c r="U1805" s="240"/>
      <c r="V1805" s="240"/>
      <c r="W1805" s="240"/>
      <c r="X1805" s="240"/>
      <c r="Y1805" s="240"/>
      <c r="Z1805" s="240"/>
    </row>
    <row r="1806" ht="14.25" customHeight="1">
      <c r="A1806" s="302">
        <f t="shared" si="4"/>
        <v>47978</v>
      </c>
      <c r="B1806" s="241">
        <f t="shared" si="1"/>
        <v>2031</v>
      </c>
      <c r="C1806" s="241">
        <f t="shared" si="2"/>
        <v>5</v>
      </c>
      <c r="D1806" s="301" t="str">
        <f t="shared" si="3"/>
        <v>Saturday</v>
      </c>
      <c r="E1806" s="240"/>
      <c r="F1806" s="240"/>
      <c r="G1806" s="240"/>
      <c r="H1806" s="241"/>
      <c r="I1806" s="301"/>
      <c r="J1806" s="240"/>
      <c r="K1806" s="240"/>
      <c r="L1806" s="240"/>
      <c r="M1806" s="240"/>
      <c r="N1806" s="240"/>
      <c r="O1806" s="240"/>
      <c r="P1806" s="240"/>
      <c r="Q1806" s="240"/>
      <c r="R1806" s="240"/>
      <c r="S1806" s="240"/>
      <c r="T1806" s="240"/>
      <c r="U1806" s="240"/>
      <c r="V1806" s="240"/>
      <c r="W1806" s="240"/>
      <c r="X1806" s="240"/>
      <c r="Y1806" s="240"/>
      <c r="Z1806" s="240"/>
    </row>
    <row r="1807" ht="14.25" customHeight="1">
      <c r="A1807" s="302">
        <f t="shared" si="4"/>
        <v>47979</v>
      </c>
      <c r="B1807" s="241">
        <f t="shared" si="1"/>
        <v>2031</v>
      </c>
      <c r="C1807" s="241">
        <f t="shared" si="2"/>
        <v>5</v>
      </c>
      <c r="D1807" s="301" t="str">
        <f t="shared" si="3"/>
        <v>Sunday</v>
      </c>
      <c r="E1807" s="240"/>
      <c r="F1807" s="240"/>
      <c r="G1807" s="240"/>
      <c r="H1807" s="241"/>
      <c r="I1807" s="301"/>
      <c r="J1807" s="240"/>
      <c r="K1807" s="240"/>
      <c r="L1807" s="240"/>
      <c r="M1807" s="240"/>
      <c r="N1807" s="240"/>
      <c r="O1807" s="240"/>
      <c r="P1807" s="240"/>
      <c r="Q1807" s="240"/>
      <c r="R1807" s="240"/>
      <c r="S1807" s="240"/>
      <c r="T1807" s="240"/>
      <c r="U1807" s="240"/>
      <c r="V1807" s="240"/>
      <c r="W1807" s="240"/>
      <c r="X1807" s="240"/>
      <c r="Y1807" s="240"/>
      <c r="Z1807" s="240"/>
    </row>
    <row r="1808" ht="14.25" customHeight="1">
      <c r="A1808" s="302">
        <f t="shared" si="4"/>
        <v>47980</v>
      </c>
      <c r="B1808" s="241">
        <f t="shared" si="1"/>
        <v>2031</v>
      </c>
      <c r="C1808" s="241">
        <f t="shared" si="2"/>
        <v>5</v>
      </c>
      <c r="D1808" s="301" t="str">
        <f t="shared" si="3"/>
        <v>Monday</v>
      </c>
      <c r="E1808" s="240"/>
      <c r="F1808" s="240"/>
      <c r="G1808" s="240"/>
      <c r="H1808" s="241"/>
      <c r="I1808" s="301"/>
      <c r="J1808" s="240"/>
      <c r="K1808" s="240"/>
      <c r="L1808" s="240"/>
      <c r="M1808" s="240"/>
      <c r="N1808" s="240"/>
      <c r="O1808" s="240"/>
      <c r="P1808" s="240"/>
      <c r="Q1808" s="240"/>
      <c r="R1808" s="240"/>
      <c r="S1808" s="240"/>
      <c r="T1808" s="240"/>
      <c r="U1808" s="240"/>
      <c r="V1808" s="240"/>
      <c r="W1808" s="240"/>
      <c r="X1808" s="240"/>
      <c r="Y1808" s="240"/>
      <c r="Z1808" s="240"/>
    </row>
    <row r="1809" ht="14.25" customHeight="1">
      <c r="A1809" s="302">
        <f t="shared" si="4"/>
        <v>47981</v>
      </c>
      <c r="B1809" s="241">
        <f t="shared" si="1"/>
        <v>2031</v>
      </c>
      <c r="C1809" s="241">
        <f t="shared" si="2"/>
        <v>5</v>
      </c>
      <c r="D1809" s="301" t="str">
        <f t="shared" si="3"/>
        <v>Tuesday</v>
      </c>
      <c r="E1809" s="240"/>
      <c r="F1809" s="240"/>
      <c r="G1809" s="240"/>
      <c r="H1809" s="241"/>
      <c r="I1809" s="301"/>
      <c r="J1809" s="240"/>
      <c r="K1809" s="240"/>
      <c r="L1809" s="240"/>
      <c r="M1809" s="240"/>
      <c r="N1809" s="240"/>
      <c r="O1809" s="240"/>
      <c r="P1809" s="240"/>
      <c r="Q1809" s="240"/>
      <c r="R1809" s="240"/>
      <c r="S1809" s="240"/>
      <c r="T1809" s="240"/>
      <c r="U1809" s="240"/>
      <c r="V1809" s="240"/>
      <c r="W1809" s="240"/>
      <c r="X1809" s="240"/>
      <c r="Y1809" s="240"/>
      <c r="Z1809" s="240"/>
    </row>
    <row r="1810" ht="14.25" customHeight="1">
      <c r="A1810" s="302">
        <f t="shared" si="4"/>
        <v>47982</v>
      </c>
      <c r="B1810" s="241">
        <f t="shared" si="1"/>
        <v>2031</v>
      </c>
      <c r="C1810" s="241">
        <f t="shared" si="2"/>
        <v>5</v>
      </c>
      <c r="D1810" s="301" t="str">
        <f t="shared" si="3"/>
        <v>Wednesday</v>
      </c>
      <c r="E1810" s="240"/>
      <c r="F1810" s="240"/>
      <c r="G1810" s="240"/>
      <c r="H1810" s="241"/>
      <c r="I1810" s="301"/>
      <c r="J1810" s="240"/>
      <c r="K1810" s="240"/>
      <c r="L1810" s="240"/>
      <c r="M1810" s="240"/>
      <c r="N1810" s="240"/>
      <c r="O1810" s="240"/>
      <c r="P1810" s="240"/>
      <c r="Q1810" s="240"/>
      <c r="R1810" s="240"/>
      <c r="S1810" s="240"/>
      <c r="T1810" s="240"/>
      <c r="U1810" s="240"/>
      <c r="V1810" s="240"/>
      <c r="W1810" s="240"/>
      <c r="X1810" s="240"/>
      <c r="Y1810" s="240"/>
      <c r="Z1810" s="240"/>
    </row>
    <row r="1811" ht="14.25" customHeight="1">
      <c r="A1811" s="302">
        <f t="shared" si="4"/>
        <v>47983</v>
      </c>
      <c r="B1811" s="241">
        <f t="shared" si="1"/>
        <v>2031</v>
      </c>
      <c r="C1811" s="241">
        <f t="shared" si="2"/>
        <v>5</v>
      </c>
      <c r="D1811" s="301" t="str">
        <f t="shared" si="3"/>
        <v>Thursday</v>
      </c>
      <c r="E1811" s="240"/>
      <c r="F1811" s="240"/>
      <c r="G1811" s="240"/>
      <c r="H1811" s="241"/>
      <c r="I1811" s="301"/>
      <c r="J1811" s="240"/>
      <c r="K1811" s="240"/>
      <c r="L1811" s="240"/>
      <c r="M1811" s="240"/>
      <c r="N1811" s="240"/>
      <c r="O1811" s="240"/>
      <c r="P1811" s="240"/>
      <c r="Q1811" s="240"/>
      <c r="R1811" s="240"/>
      <c r="S1811" s="240"/>
      <c r="T1811" s="240"/>
      <c r="U1811" s="240"/>
      <c r="V1811" s="240"/>
      <c r="W1811" s="240"/>
      <c r="X1811" s="240"/>
      <c r="Y1811" s="240"/>
      <c r="Z1811" s="240"/>
    </row>
    <row r="1812" ht="14.25" customHeight="1">
      <c r="A1812" s="302">
        <f t="shared" si="4"/>
        <v>47984</v>
      </c>
      <c r="B1812" s="241">
        <f t="shared" si="1"/>
        <v>2031</v>
      </c>
      <c r="C1812" s="241">
        <f t="shared" si="2"/>
        <v>5</v>
      </c>
      <c r="D1812" s="301" t="str">
        <f t="shared" si="3"/>
        <v>Friday</v>
      </c>
      <c r="E1812" s="240"/>
      <c r="F1812" s="240"/>
      <c r="G1812" s="240"/>
      <c r="H1812" s="241"/>
      <c r="I1812" s="301"/>
      <c r="J1812" s="240"/>
      <c r="K1812" s="240"/>
      <c r="L1812" s="240"/>
      <c r="M1812" s="240"/>
      <c r="N1812" s="240"/>
      <c r="O1812" s="240"/>
      <c r="P1812" s="240"/>
      <c r="Q1812" s="240"/>
      <c r="R1812" s="240"/>
      <c r="S1812" s="240"/>
      <c r="T1812" s="240"/>
      <c r="U1812" s="240"/>
      <c r="V1812" s="240"/>
      <c r="W1812" s="240"/>
      <c r="X1812" s="240"/>
      <c r="Y1812" s="240"/>
      <c r="Z1812" s="240"/>
    </row>
    <row r="1813" ht="14.25" customHeight="1">
      <c r="A1813" s="302">
        <f t="shared" si="4"/>
        <v>47985</v>
      </c>
      <c r="B1813" s="241">
        <f t="shared" si="1"/>
        <v>2031</v>
      </c>
      <c r="C1813" s="241">
        <f t="shared" si="2"/>
        <v>5</v>
      </c>
      <c r="D1813" s="301" t="str">
        <f t="shared" si="3"/>
        <v>Saturday</v>
      </c>
      <c r="E1813" s="240"/>
      <c r="F1813" s="240"/>
      <c r="G1813" s="240"/>
      <c r="H1813" s="241"/>
      <c r="I1813" s="301"/>
      <c r="J1813" s="240"/>
      <c r="K1813" s="240"/>
      <c r="L1813" s="240"/>
      <c r="M1813" s="240"/>
      <c r="N1813" s="240"/>
      <c r="O1813" s="240"/>
      <c r="P1813" s="240"/>
      <c r="Q1813" s="240"/>
      <c r="R1813" s="240"/>
      <c r="S1813" s="240"/>
      <c r="T1813" s="240"/>
      <c r="U1813" s="240"/>
      <c r="V1813" s="240"/>
      <c r="W1813" s="240"/>
      <c r="X1813" s="240"/>
      <c r="Y1813" s="240"/>
      <c r="Z1813" s="240"/>
    </row>
    <row r="1814" ht="14.25" customHeight="1">
      <c r="A1814" s="302">
        <f t="shared" si="4"/>
        <v>47986</v>
      </c>
      <c r="B1814" s="241">
        <f t="shared" si="1"/>
        <v>2031</v>
      </c>
      <c r="C1814" s="241">
        <f t="shared" si="2"/>
        <v>5</v>
      </c>
      <c r="D1814" s="301" t="str">
        <f t="shared" si="3"/>
        <v>Sunday</v>
      </c>
      <c r="E1814" s="240"/>
      <c r="F1814" s="240"/>
      <c r="G1814" s="240"/>
      <c r="H1814" s="241"/>
      <c r="I1814" s="301"/>
      <c r="J1814" s="240"/>
      <c r="K1814" s="240"/>
      <c r="L1814" s="240"/>
      <c r="M1814" s="240"/>
      <c r="N1814" s="240"/>
      <c r="O1814" s="240"/>
      <c r="P1814" s="240"/>
      <c r="Q1814" s="240"/>
      <c r="R1814" s="240"/>
      <c r="S1814" s="240"/>
      <c r="T1814" s="240"/>
      <c r="U1814" s="240"/>
      <c r="V1814" s="240"/>
      <c r="W1814" s="240"/>
      <c r="X1814" s="240"/>
      <c r="Y1814" s="240"/>
      <c r="Z1814" s="240"/>
    </row>
    <row r="1815" ht="14.25" customHeight="1">
      <c r="A1815" s="302">
        <f t="shared" si="4"/>
        <v>47987</v>
      </c>
      <c r="B1815" s="241">
        <f t="shared" si="1"/>
        <v>2031</v>
      </c>
      <c r="C1815" s="241">
        <f t="shared" si="2"/>
        <v>5</v>
      </c>
      <c r="D1815" s="301" t="str">
        <f t="shared" si="3"/>
        <v>Monday</v>
      </c>
      <c r="E1815" s="240"/>
      <c r="F1815" s="240"/>
      <c r="G1815" s="240"/>
      <c r="H1815" s="241"/>
      <c r="I1815" s="301"/>
      <c r="J1815" s="240"/>
      <c r="K1815" s="240"/>
      <c r="L1815" s="240"/>
      <c r="M1815" s="240"/>
      <c r="N1815" s="240"/>
      <c r="O1815" s="240"/>
      <c r="P1815" s="240"/>
      <c r="Q1815" s="240"/>
      <c r="R1815" s="240"/>
      <c r="S1815" s="240"/>
      <c r="T1815" s="240"/>
      <c r="U1815" s="240"/>
      <c r="V1815" s="240"/>
      <c r="W1815" s="240"/>
      <c r="X1815" s="240"/>
      <c r="Y1815" s="240"/>
      <c r="Z1815" s="240"/>
    </row>
    <row r="1816" ht="14.25" customHeight="1">
      <c r="A1816" s="302">
        <f t="shared" si="4"/>
        <v>47988</v>
      </c>
      <c r="B1816" s="241">
        <f t="shared" si="1"/>
        <v>2031</v>
      </c>
      <c r="C1816" s="241">
        <f t="shared" si="2"/>
        <v>5</v>
      </c>
      <c r="D1816" s="301" t="str">
        <f t="shared" si="3"/>
        <v>Tuesday</v>
      </c>
      <c r="E1816" s="240"/>
      <c r="F1816" s="240"/>
      <c r="G1816" s="240"/>
      <c r="H1816" s="241"/>
      <c r="I1816" s="301"/>
      <c r="J1816" s="240"/>
      <c r="K1816" s="240"/>
      <c r="L1816" s="240"/>
      <c r="M1816" s="240"/>
      <c r="N1816" s="240"/>
      <c r="O1816" s="240"/>
      <c r="P1816" s="240"/>
      <c r="Q1816" s="240"/>
      <c r="R1816" s="240"/>
      <c r="S1816" s="240"/>
      <c r="T1816" s="240"/>
      <c r="U1816" s="240"/>
      <c r="V1816" s="240"/>
      <c r="W1816" s="240"/>
      <c r="X1816" s="240"/>
      <c r="Y1816" s="240"/>
      <c r="Z1816" s="240"/>
    </row>
    <row r="1817" ht="14.25" customHeight="1">
      <c r="A1817" s="302">
        <f t="shared" si="4"/>
        <v>47989</v>
      </c>
      <c r="B1817" s="241">
        <f t="shared" si="1"/>
        <v>2031</v>
      </c>
      <c r="C1817" s="241">
        <f t="shared" si="2"/>
        <v>5</v>
      </c>
      <c r="D1817" s="301" t="str">
        <f t="shared" si="3"/>
        <v>Wednesday</v>
      </c>
      <c r="E1817" s="240"/>
      <c r="F1817" s="240"/>
      <c r="G1817" s="240"/>
      <c r="H1817" s="241"/>
      <c r="I1817" s="301"/>
      <c r="J1817" s="240"/>
      <c r="K1817" s="240"/>
      <c r="L1817" s="240"/>
      <c r="M1817" s="240"/>
      <c r="N1817" s="240"/>
      <c r="O1817" s="240"/>
      <c r="P1817" s="240"/>
      <c r="Q1817" s="240"/>
      <c r="R1817" s="240"/>
      <c r="S1817" s="240"/>
      <c r="T1817" s="240"/>
      <c r="U1817" s="240"/>
      <c r="V1817" s="240"/>
      <c r="W1817" s="240"/>
      <c r="X1817" s="240"/>
      <c r="Y1817" s="240"/>
      <c r="Z1817" s="240"/>
    </row>
    <row r="1818" ht="14.25" customHeight="1">
      <c r="A1818" s="302">
        <f t="shared" si="4"/>
        <v>47990</v>
      </c>
      <c r="B1818" s="241">
        <f t="shared" si="1"/>
        <v>2031</v>
      </c>
      <c r="C1818" s="241">
        <f t="shared" si="2"/>
        <v>5</v>
      </c>
      <c r="D1818" s="301" t="str">
        <f t="shared" si="3"/>
        <v>Thursday</v>
      </c>
      <c r="E1818" s="240"/>
      <c r="F1818" s="240"/>
      <c r="G1818" s="240"/>
      <c r="H1818" s="241"/>
      <c r="I1818" s="301"/>
      <c r="J1818" s="240"/>
      <c r="K1818" s="240"/>
      <c r="L1818" s="240"/>
      <c r="M1818" s="240"/>
      <c r="N1818" s="240"/>
      <c r="O1818" s="240"/>
      <c r="P1818" s="240"/>
      <c r="Q1818" s="240"/>
      <c r="R1818" s="240"/>
      <c r="S1818" s="240"/>
      <c r="T1818" s="240"/>
      <c r="U1818" s="240"/>
      <c r="V1818" s="240"/>
      <c r="W1818" s="240"/>
      <c r="X1818" s="240"/>
      <c r="Y1818" s="240"/>
      <c r="Z1818" s="240"/>
    </row>
    <row r="1819" ht="14.25" customHeight="1">
      <c r="A1819" s="302">
        <f t="shared" si="4"/>
        <v>47991</v>
      </c>
      <c r="B1819" s="241">
        <f t="shared" si="1"/>
        <v>2031</v>
      </c>
      <c r="C1819" s="241">
        <f t="shared" si="2"/>
        <v>5</v>
      </c>
      <c r="D1819" s="301" t="str">
        <f t="shared" si="3"/>
        <v>Friday</v>
      </c>
      <c r="E1819" s="240"/>
      <c r="F1819" s="240"/>
      <c r="G1819" s="240"/>
      <c r="H1819" s="241"/>
      <c r="I1819" s="301"/>
      <c r="J1819" s="240"/>
      <c r="K1819" s="240"/>
      <c r="L1819" s="240"/>
      <c r="M1819" s="240"/>
      <c r="N1819" s="240"/>
      <c r="O1819" s="240"/>
      <c r="P1819" s="240"/>
      <c r="Q1819" s="240"/>
      <c r="R1819" s="240"/>
      <c r="S1819" s="240"/>
      <c r="T1819" s="240"/>
      <c r="U1819" s="240"/>
      <c r="V1819" s="240"/>
      <c r="W1819" s="240"/>
      <c r="X1819" s="240"/>
      <c r="Y1819" s="240"/>
      <c r="Z1819" s="240"/>
    </row>
    <row r="1820" ht="14.25" customHeight="1">
      <c r="A1820" s="302">
        <f t="shared" si="4"/>
        <v>47992</v>
      </c>
      <c r="B1820" s="241">
        <f t="shared" si="1"/>
        <v>2031</v>
      </c>
      <c r="C1820" s="241">
        <f t="shared" si="2"/>
        <v>5</v>
      </c>
      <c r="D1820" s="301" t="str">
        <f t="shared" si="3"/>
        <v>Saturday</v>
      </c>
      <c r="E1820" s="240"/>
      <c r="F1820" s="240"/>
      <c r="G1820" s="240"/>
      <c r="H1820" s="241"/>
      <c r="I1820" s="301"/>
      <c r="J1820" s="240"/>
      <c r="K1820" s="240"/>
      <c r="L1820" s="240"/>
      <c r="M1820" s="240"/>
      <c r="N1820" s="240"/>
      <c r="O1820" s="240"/>
      <c r="P1820" s="240"/>
      <c r="Q1820" s="240"/>
      <c r="R1820" s="240"/>
      <c r="S1820" s="240"/>
      <c r="T1820" s="240"/>
      <c r="U1820" s="240"/>
      <c r="V1820" s="240"/>
      <c r="W1820" s="240"/>
      <c r="X1820" s="240"/>
      <c r="Y1820" s="240"/>
      <c r="Z1820" s="240"/>
    </row>
    <row r="1821" ht="14.25" customHeight="1">
      <c r="A1821" s="302">
        <f t="shared" si="4"/>
        <v>47993</v>
      </c>
      <c r="B1821" s="241">
        <f t="shared" si="1"/>
        <v>2031</v>
      </c>
      <c r="C1821" s="241">
        <f t="shared" si="2"/>
        <v>5</v>
      </c>
      <c r="D1821" s="301" t="str">
        <f t="shared" si="3"/>
        <v>Sunday</v>
      </c>
      <c r="E1821" s="240"/>
      <c r="F1821" s="240"/>
      <c r="G1821" s="240"/>
      <c r="H1821" s="241"/>
      <c r="I1821" s="301"/>
      <c r="J1821" s="240"/>
      <c r="K1821" s="240"/>
      <c r="L1821" s="240"/>
      <c r="M1821" s="240"/>
      <c r="N1821" s="240"/>
      <c r="O1821" s="240"/>
      <c r="P1821" s="240"/>
      <c r="Q1821" s="240"/>
      <c r="R1821" s="240"/>
      <c r="S1821" s="240"/>
      <c r="T1821" s="240"/>
      <c r="U1821" s="240"/>
      <c r="V1821" s="240"/>
      <c r="W1821" s="240"/>
      <c r="X1821" s="240"/>
      <c r="Y1821" s="240"/>
      <c r="Z1821" s="240"/>
    </row>
    <row r="1822" ht="14.25" customHeight="1">
      <c r="A1822" s="302">
        <f t="shared" si="4"/>
        <v>47994</v>
      </c>
      <c r="B1822" s="241">
        <f t="shared" si="1"/>
        <v>2031</v>
      </c>
      <c r="C1822" s="241">
        <f t="shared" si="2"/>
        <v>5</v>
      </c>
      <c r="D1822" s="301" t="str">
        <f t="shared" si="3"/>
        <v>Monday</v>
      </c>
      <c r="E1822" s="240"/>
      <c r="F1822" s="240"/>
      <c r="G1822" s="240"/>
      <c r="H1822" s="241"/>
      <c r="I1822" s="301"/>
      <c r="J1822" s="240"/>
      <c r="K1822" s="240"/>
      <c r="L1822" s="240"/>
      <c r="M1822" s="240"/>
      <c r="N1822" s="240"/>
      <c r="O1822" s="240"/>
      <c r="P1822" s="240"/>
      <c r="Q1822" s="240"/>
      <c r="R1822" s="240"/>
      <c r="S1822" s="240"/>
      <c r="T1822" s="240"/>
      <c r="U1822" s="240"/>
      <c r="V1822" s="240"/>
      <c r="W1822" s="240"/>
      <c r="X1822" s="240"/>
      <c r="Y1822" s="240"/>
      <c r="Z1822" s="240"/>
    </row>
    <row r="1823" ht="14.25" customHeight="1">
      <c r="A1823" s="302">
        <f t="shared" si="4"/>
        <v>47995</v>
      </c>
      <c r="B1823" s="241">
        <f t="shared" si="1"/>
        <v>2031</v>
      </c>
      <c r="C1823" s="241">
        <f t="shared" si="2"/>
        <v>5</v>
      </c>
      <c r="D1823" s="301" t="str">
        <f t="shared" si="3"/>
        <v>Tuesday</v>
      </c>
      <c r="E1823" s="240"/>
      <c r="F1823" s="240"/>
      <c r="G1823" s="240"/>
      <c r="H1823" s="241"/>
      <c r="I1823" s="301"/>
      <c r="J1823" s="240"/>
      <c r="K1823" s="240"/>
      <c r="L1823" s="240"/>
      <c r="M1823" s="240"/>
      <c r="N1823" s="240"/>
      <c r="O1823" s="240"/>
      <c r="P1823" s="240"/>
      <c r="Q1823" s="240"/>
      <c r="R1823" s="240"/>
      <c r="S1823" s="240"/>
      <c r="T1823" s="240"/>
      <c r="U1823" s="240"/>
      <c r="V1823" s="240"/>
      <c r="W1823" s="240"/>
      <c r="X1823" s="240"/>
      <c r="Y1823" s="240"/>
      <c r="Z1823" s="240"/>
    </row>
    <row r="1824" ht="14.25" customHeight="1">
      <c r="A1824" s="302">
        <f t="shared" si="4"/>
        <v>47996</v>
      </c>
      <c r="B1824" s="241">
        <f t="shared" si="1"/>
        <v>2031</v>
      </c>
      <c r="C1824" s="241">
        <f t="shared" si="2"/>
        <v>5</v>
      </c>
      <c r="D1824" s="301" t="str">
        <f t="shared" si="3"/>
        <v>Wednesday</v>
      </c>
      <c r="E1824" s="240"/>
      <c r="F1824" s="240"/>
      <c r="G1824" s="240"/>
      <c r="H1824" s="241"/>
      <c r="I1824" s="301"/>
      <c r="J1824" s="240"/>
      <c r="K1824" s="240"/>
      <c r="L1824" s="240"/>
      <c r="M1824" s="240"/>
      <c r="N1824" s="240"/>
      <c r="O1824" s="240"/>
      <c r="P1824" s="240"/>
      <c r="Q1824" s="240"/>
      <c r="R1824" s="240"/>
      <c r="S1824" s="240"/>
      <c r="T1824" s="240"/>
      <c r="U1824" s="240"/>
      <c r="V1824" s="240"/>
      <c r="W1824" s="240"/>
      <c r="X1824" s="240"/>
      <c r="Y1824" s="240"/>
      <c r="Z1824" s="240"/>
    </row>
    <row r="1825" ht="14.25" customHeight="1">
      <c r="A1825" s="302">
        <f t="shared" si="4"/>
        <v>47997</v>
      </c>
      <c r="B1825" s="241">
        <f t="shared" si="1"/>
        <v>2031</v>
      </c>
      <c r="C1825" s="241">
        <f t="shared" si="2"/>
        <v>5</v>
      </c>
      <c r="D1825" s="301" t="str">
        <f t="shared" si="3"/>
        <v>Thursday</v>
      </c>
      <c r="E1825" s="240"/>
      <c r="F1825" s="240"/>
      <c r="G1825" s="240"/>
      <c r="H1825" s="241"/>
      <c r="I1825" s="301"/>
      <c r="J1825" s="240"/>
      <c r="K1825" s="240"/>
      <c r="L1825" s="240"/>
      <c r="M1825" s="240"/>
      <c r="N1825" s="240"/>
      <c r="O1825" s="240"/>
      <c r="P1825" s="240"/>
      <c r="Q1825" s="240"/>
      <c r="R1825" s="240"/>
      <c r="S1825" s="240"/>
      <c r="T1825" s="240"/>
      <c r="U1825" s="240"/>
      <c r="V1825" s="240"/>
      <c r="W1825" s="240"/>
      <c r="X1825" s="240"/>
      <c r="Y1825" s="240"/>
      <c r="Z1825" s="240"/>
    </row>
    <row r="1826" ht="14.25" customHeight="1">
      <c r="A1826" s="302">
        <f t="shared" si="4"/>
        <v>47998</v>
      </c>
      <c r="B1826" s="241">
        <f t="shared" si="1"/>
        <v>2031</v>
      </c>
      <c r="C1826" s="241">
        <f t="shared" si="2"/>
        <v>5</v>
      </c>
      <c r="D1826" s="301" t="str">
        <f t="shared" si="3"/>
        <v>Friday</v>
      </c>
      <c r="E1826" s="240"/>
      <c r="F1826" s="240"/>
      <c r="G1826" s="240"/>
      <c r="H1826" s="241"/>
      <c r="I1826" s="301"/>
      <c r="J1826" s="240"/>
      <c r="K1826" s="240"/>
      <c r="L1826" s="240"/>
      <c r="M1826" s="240"/>
      <c r="N1826" s="240"/>
      <c r="O1826" s="240"/>
      <c r="P1826" s="240"/>
      <c r="Q1826" s="240"/>
      <c r="R1826" s="240"/>
      <c r="S1826" s="240"/>
      <c r="T1826" s="240"/>
      <c r="U1826" s="240"/>
      <c r="V1826" s="240"/>
      <c r="W1826" s="240"/>
      <c r="X1826" s="240"/>
      <c r="Y1826" s="240"/>
      <c r="Z1826" s="240"/>
    </row>
    <row r="1827" ht="14.25" customHeight="1">
      <c r="A1827" s="302">
        <f t="shared" si="4"/>
        <v>47999</v>
      </c>
      <c r="B1827" s="241">
        <f t="shared" si="1"/>
        <v>2031</v>
      </c>
      <c r="C1827" s="241">
        <f t="shared" si="2"/>
        <v>5</v>
      </c>
      <c r="D1827" s="301" t="str">
        <f t="shared" si="3"/>
        <v>Saturday</v>
      </c>
      <c r="E1827" s="240"/>
      <c r="F1827" s="240"/>
      <c r="G1827" s="240"/>
      <c r="H1827" s="241"/>
      <c r="I1827" s="301"/>
      <c r="J1827" s="240"/>
      <c r="K1827" s="240"/>
      <c r="L1827" s="240"/>
      <c r="M1827" s="240"/>
      <c r="N1827" s="240"/>
      <c r="O1827" s="240"/>
      <c r="P1827" s="240"/>
      <c r="Q1827" s="240"/>
      <c r="R1827" s="240"/>
      <c r="S1827" s="240"/>
      <c r="T1827" s="240"/>
      <c r="U1827" s="240"/>
      <c r="V1827" s="240"/>
      <c r="W1827" s="240"/>
      <c r="X1827" s="240"/>
      <c r="Y1827" s="240"/>
      <c r="Z1827" s="240"/>
    </row>
    <row r="1828" ht="14.25" customHeight="1">
      <c r="A1828" s="302">
        <f t="shared" si="4"/>
        <v>48000</v>
      </c>
      <c r="B1828" s="241">
        <f t="shared" si="1"/>
        <v>2031</v>
      </c>
      <c r="C1828" s="241">
        <f t="shared" si="2"/>
        <v>6</v>
      </c>
      <c r="D1828" s="301" t="str">
        <f t="shared" si="3"/>
        <v>Sunday</v>
      </c>
      <c r="E1828" s="240"/>
      <c r="F1828" s="240"/>
      <c r="G1828" s="240"/>
      <c r="H1828" s="241"/>
      <c r="I1828" s="301"/>
      <c r="J1828" s="240"/>
      <c r="K1828" s="240"/>
      <c r="L1828" s="240"/>
      <c r="M1828" s="240"/>
      <c r="N1828" s="240"/>
      <c r="O1828" s="240"/>
      <c r="P1828" s="240"/>
      <c r="Q1828" s="240"/>
      <c r="R1828" s="240"/>
      <c r="S1828" s="240"/>
      <c r="T1828" s="240"/>
      <c r="U1828" s="240"/>
      <c r="V1828" s="240"/>
      <c r="W1828" s="240"/>
      <c r="X1828" s="240"/>
      <c r="Y1828" s="240"/>
      <c r="Z1828" s="240"/>
    </row>
    <row r="1829" ht="14.25" customHeight="1">
      <c r="A1829" s="302">
        <f t="shared" si="4"/>
        <v>48001</v>
      </c>
      <c r="B1829" s="241">
        <f t="shared" si="1"/>
        <v>2031</v>
      </c>
      <c r="C1829" s="241">
        <f t="shared" si="2"/>
        <v>6</v>
      </c>
      <c r="D1829" s="301" t="str">
        <f t="shared" si="3"/>
        <v>Monday</v>
      </c>
      <c r="E1829" s="240"/>
      <c r="F1829" s="240"/>
      <c r="G1829" s="240"/>
      <c r="H1829" s="241"/>
      <c r="I1829" s="301"/>
      <c r="J1829" s="240"/>
      <c r="K1829" s="240"/>
      <c r="L1829" s="240"/>
      <c r="M1829" s="240"/>
      <c r="N1829" s="240"/>
      <c r="O1829" s="240"/>
      <c r="P1829" s="240"/>
      <c r="Q1829" s="240"/>
      <c r="R1829" s="240"/>
      <c r="S1829" s="240"/>
      <c r="T1829" s="240"/>
      <c r="U1829" s="240"/>
      <c r="V1829" s="240"/>
      <c r="W1829" s="240"/>
      <c r="X1829" s="240"/>
      <c r="Y1829" s="240"/>
      <c r="Z1829" s="240"/>
    </row>
    <row r="1830" ht="14.25" customHeight="1">
      <c r="A1830" s="302">
        <f t="shared" si="4"/>
        <v>48002</v>
      </c>
      <c r="B1830" s="241">
        <f t="shared" si="1"/>
        <v>2031</v>
      </c>
      <c r="C1830" s="241">
        <f t="shared" si="2"/>
        <v>6</v>
      </c>
      <c r="D1830" s="301" t="str">
        <f t="shared" si="3"/>
        <v>Tuesday</v>
      </c>
      <c r="E1830" s="240"/>
      <c r="F1830" s="240"/>
      <c r="G1830" s="240"/>
      <c r="H1830" s="241"/>
      <c r="I1830" s="301"/>
      <c r="J1830" s="240"/>
      <c r="K1830" s="240"/>
      <c r="L1830" s="240"/>
      <c r="M1830" s="240"/>
      <c r="N1830" s="240"/>
      <c r="O1830" s="240"/>
      <c r="P1830" s="240"/>
      <c r="Q1830" s="240"/>
      <c r="R1830" s="240"/>
      <c r="S1830" s="240"/>
      <c r="T1830" s="240"/>
      <c r="U1830" s="240"/>
      <c r="V1830" s="240"/>
      <c r="W1830" s="240"/>
      <c r="X1830" s="240"/>
      <c r="Y1830" s="240"/>
      <c r="Z1830" s="240"/>
    </row>
    <row r="1831" ht="14.25" customHeight="1">
      <c r="A1831" s="302">
        <f t="shared" si="4"/>
        <v>48003</v>
      </c>
      <c r="B1831" s="241">
        <f t="shared" si="1"/>
        <v>2031</v>
      </c>
      <c r="C1831" s="241">
        <f t="shared" si="2"/>
        <v>6</v>
      </c>
      <c r="D1831" s="301" t="str">
        <f t="shared" si="3"/>
        <v>Wednesday</v>
      </c>
      <c r="E1831" s="240"/>
      <c r="F1831" s="240"/>
      <c r="G1831" s="240"/>
      <c r="H1831" s="241"/>
      <c r="I1831" s="301"/>
      <c r="J1831" s="240"/>
      <c r="K1831" s="240"/>
      <c r="L1831" s="240"/>
      <c r="M1831" s="240"/>
      <c r="N1831" s="240"/>
      <c r="O1831" s="240"/>
      <c r="P1831" s="240"/>
      <c r="Q1831" s="240"/>
      <c r="R1831" s="240"/>
      <c r="S1831" s="240"/>
      <c r="T1831" s="240"/>
      <c r="U1831" s="240"/>
      <c r="V1831" s="240"/>
      <c r="W1831" s="240"/>
      <c r="X1831" s="240"/>
      <c r="Y1831" s="240"/>
      <c r="Z1831" s="240"/>
    </row>
    <row r="1832" ht="14.25" customHeight="1">
      <c r="A1832" s="302">
        <f t="shared" si="4"/>
        <v>48004</v>
      </c>
      <c r="B1832" s="241">
        <f t="shared" si="1"/>
        <v>2031</v>
      </c>
      <c r="C1832" s="241">
        <f t="shared" si="2"/>
        <v>6</v>
      </c>
      <c r="D1832" s="301" t="str">
        <f t="shared" si="3"/>
        <v>Thursday</v>
      </c>
      <c r="E1832" s="240"/>
      <c r="F1832" s="240"/>
      <c r="G1832" s="240"/>
      <c r="H1832" s="241"/>
      <c r="I1832" s="301"/>
      <c r="J1832" s="240"/>
      <c r="K1832" s="240"/>
      <c r="L1832" s="240"/>
      <c r="M1832" s="240"/>
      <c r="N1832" s="240"/>
      <c r="O1832" s="240"/>
      <c r="P1832" s="240"/>
      <c r="Q1832" s="240"/>
      <c r="R1832" s="240"/>
      <c r="S1832" s="240"/>
      <c r="T1832" s="240"/>
      <c r="U1832" s="240"/>
      <c r="V1832" s="240"/>
      <c r="W1832" s="240"/>
      <c r="X1832" s="240"/>
      <c r="Y1832" s="240"/>
      <c r="Z1832" s="240"/>
    </row>
    <row r="1833" ht="14.25" customHeight="1">
      <c r="A1833" s="302">
        <f t="shared" si="4"/>
        <v>48005</v>
      </c>
      <c r="B1833" s="241">
        <f t="shared" si="1"/>
        <v>2031</v>
      </c>
      <c r="C1833" s="241">
        <f t="shared" si="2"/>
        <v>6</v>
      </c>
      <c r="D1833" s="301" t="str">
        <f t="shared" si="3"/>
        <v>Friday</v>
      </c>
      <c r="E1833" s="240"/>
      <c r="F1833" s="240"/>
      <c r="G1833" s="240"/>
      <c r="H1833" s="241"/>
      <c r="I1833" s="301"/>
      <c r="J1833" s="240"/>
      <c r="K1833" s="240"/>
      <c r="L1833" s="240"/>
      <c r="M1833" s="240"/>
      <c r="N1833" s="240"/>
      <c r="O1833" s="240"/>
      <c r="P1833" s="240"/>
      <c r="Q1833" s="240"/>
      <c r="R1833" s="240"/>
      <c r="S1833" s="240"/>
      <c r="T1833" s="240"/>
      <c r="U1833" s="240"/>
      <c r="V1833" s="240"/>
      <c r="W1833" s="240"/>
      <c r="X1833" s="240"/>
      <c r="Y1833" s="240"/>
      <c r="Z1833" s="240"/>
    </row>
    <row r="1834" ht="14.25" customHeight="1">
      <c r="A1834" s="302">
        <f t="shared" si="4"/>
        <v>48006</v>
      </c>
      <c r="B1834" s="241">
        <f t="shared" si="1"/>
        <v>2031</v>
      </c>
      <c r="C1834" s="241">
        <f t="shared" si="2"/>
        <v>6</v>
      </c>
      <c r="D1834" s="301" t="str">
        <f t="shared" si="3"/>
        <v>Saturday</v>
      </c>
      <c r="E1834" s="240"/>
      <c r="F1834" s="240"/>
      <c r="G1834" s="240"/>
      <c r="H1834" s="241"/>
      <c r="I1834" s="301"/>
      <c r="J1834" s="240"/>
      <c r="K1834" s="240"/>
      <c r="L1834" s="240"/>
      <c r="M1834" s="240"/>
      <c r="N1834" s="240"/>
      <c r="O1834" s="240"/>
      <c r="P1834" s="240"/>
      <c r="Q1834" s="240"/>
      <c r="R1834" s="240"/>
      <c r="S1834" s="240"/>
      <c r="T1834" s="240"/>
      <c r="U1834" s="240"/>
      <c r="V1834" s="240"/>
      <c r="W1834" s="240"/>
      <c r="X1834" s="240"/>
      <c r="Y1834" s="240"/>
      <c r="Z1834" s="240"/>
    </row>
    <row r="1835" ht="14.25" customHeight="1">
      <c r="A1835" s="302">
        <f t="shared" si="4"/>
        <v>48007</v>
      </c>
      <c r="B1835" s="241">
        <f t="shared" si="1"/>
        <v>2031</v>
      </c>
      <c r="C1835" s="241">
        <f t="shared" si="2"/>
        <v>6</v>
      </c>
      <c r="D1835" s="301" t="str">
        <f t="shared" si="3"/>
        <v>Sunday</v>
      </c>
      <c r="E1835" s="240"/>
      <c r="F1835" s="240"/>
      <c r="G1835" s="240"/>
      <c r="H1835" s="241"/>
      <c r="I1835" s="301"/>
      <c r="J1835" s="240"/>
      <c r="K1835" s="240"/>
      <c r="L1835" s="240"/>
      <c r="M1835" s="240"/>
      <c r="N1835" s="240"/>
      <c r="O1835" s="240"/>
      <c r="P1835" s="240"/>
      <c r="Q1835" s="240"/>
      <c r="R1835" s="240"/>
      <c r="S1835" s="240"/>
      <c r="T1835" s="240"/>
      <c r="U1835" s="240"/>
      <c r="V1835" s="240"/>
      <c r="W1835" s="240"/>
      <c r="X1835" s="240"/>
      <c r="Y1835" s="240"/>
      <c r="Z1835" s="240"/>
    </row>
    <row r="1836" ht="14.25" customHeight="1">
      <c r="A1836" s="302">
        <f t="shared" si="4"/>
        <v>48008</v>
      </c>
      <c r="B1836" s="241">
        <f t="shared" si="1"/>
        <v>2031</v>
      </c>
      <c r="C1836" s="241">
        <f t="shared" si="2"/>
        <v>6</v>
      </c>
      <c r="D1836" s="301" t="str">
        <f t="shared" si="3"/>
        <v>Monday</v>
      </c>
      <c r="E1836" s="240"/>
      <c r="F1836" s="240"/>
      <c r="G1836" s="240"/>
      <c r="H1836" s="241"/>
      <c r="I1836" s="301"/>
      <c r="J1836" s="240"/>
      <c r="K1836" s="240"/>
      <c r="L1836" s="240"/>
      <c r="M1836" s="240"/>
      <c r="N1836" s="240"/>
      <c r="O1836" s="240"/>
      <c r="P1836" s="240"/>
      <c r="Q1836" s="240"/>
      <c r="R1836" s="240"/>
      <c r="S1836" s="240"/>
      <c r="T1836" s="240"/>
      <c r="U1836" s="240"/>
      <c r="V1836" s="240"/>
      <c r="W1836" s="240"/>
      <c r="X1836" s="240"/>
      <c r="Y1836" s="240"/>
      <c r="Z1836" s="240"/>
    </row>
    <row r="1837" ht="14.25" customHeight="1">
      <c r="A1837" s="302">
        <f t="shared" si="4"/>
        <v>48009</v>
      </c>
      <c r="B1837" s="241">
        <f t="shared" si="1"/>
        <v>2031</v>
      </c>
      <c r="C1837" s="241">
        <f t="shared" si="2"/>
        <v>6</v>
      </c>
      <c r="D1837" s="301" t="str">
        <f t="shared" si="3"/>
        <v>Tuesday</v>
      </c>
      <c r="E1837" s="240"/>
      <c r="F1837" s="240"/>
      <c r="G1837" s="240"/>
      <c r="H1837" s="241"/>
      <c r="I1837" s="301"/>
      <c r="J1837" s="240"/>
      <c r="K1837" s="240"/>
      <c r="L1837" s="240"/>
      <c r="M1837" s="240"/>
      <c r="N1837" s="240"/>
      <c r="O1837" s="240"/>
      <c r="P1837" s="240"/>
      <c r="Q1837" s="240"/>
      <c r="R1837" s="240"/>
      <c r="S1837" s="240"/>
      <c r="T1837" s="240"/>
      <c r="U1837" s="240"/>
      <c r="V1837" s="240"/>
      <c r="W1837" s="240"/>
      <c r="X1837" s="240"/>
      <c r="Y1837" s="240"/>
      <c r="Z1837" s="240"/>
    </row>
    <row r="1838" ht="14.25" customHeight="1">
      <c r="A1838" s="302">
        <f t="shared" si="4"/>
        <v>48010</v>
      </c>
      <c r="B1838" s="241">
        <f t="shared" si="1"/>
        <v>2031</v>
      </c>
      <c r="C1838" s="241">
        <f t="shared" si="2"/>
        <v>6</v>
      </c>
      <c r="D1838" s="301" t="str">
        <f t="shared" si="3"/>
        <v>Wednesday</v>
      </c>
      <c r="E1838" s="240"/>
      <c r="F1838" s="240"/>
      <c r="G1838" s="240"/>
      <c r="H1838" s="241"/>
      <c r="I1838" s="301"/>
      <c r="J1838" s="240"/>
      <c r="K1838" s="240"/>
      <c r="L1838" s="240"/>
      <c r="M1838" s="240"/>
      <c r="N1838" s="240"/>
      <c r="O1838" s="240"/>
      <c r="P1838" s="240"/>
      <c r="Q1838" s="240"/>
      <c r="R1838" s="240"/>
      <c r="S1838" s="240"/>
      <c r="T1838" s="240"/>
      <c r="U1838" s="240"/>
      <c r="V1838" s="240"/>
      <c r="W1838" s="240"/>
      <c r="X1838" s="240"/>
      <c r="Y1838" s="240"/>
      <c r="Z1838" s="240"/>
    </row>
    <row r="1839" ht="14.25" customHeight="1">
      <c r="A1839" s="302">
        <f t="shared" si="4"/>
        <v>48011</v>
      </c>
      <c r="B1839" s="241">
        <f t="shared" si="1"/>
        <v>2031</v>
      </c>
      <c r="C1839" s="241">
        <f t="shared" si="2"/>
        <v>6</v>
      </c>
      <c r="D1839" s="301" t="str">
        <f t="shared" si="3"/>
        <v>Thursday</v>
      </c>
      <c r="E1839" s="240"/>
      <c r="F1839" s="240"/>
      <c r="G1839" s="240"/>
      <c r="H1839" s="241"/>
      <c r="I1839" s="301"/>
      <c r="J1839" s="240"/>
      <c r="K1839" s="240"/>
      <c r="L1839" s="240"/>
      <c r="M1839" s="240"/>
      <c r="N1839" s="240"/>
      <c r="O1839" s="240"/>
      <c r="P1839" s="240"/>
      <c r="Q1839" s="240"/>
      <c r="R1839" s="240"/>
      <c r="S1839" s="240"/>
      <c r="T1839" s="240"/>
      <c r="U1839" s="240"/>
      <c r="V1839" s="240"/>
      <c r="W1839" s="240"/>
      <c r="X1839" s="240"/>
      <c r="Y1839" s="240"/>
      <c r="Z1839" s="240"/>
    </row>
    <row r="1840" ht="14.25" customHeight="1">
      <c r="A1840" s="302">
        <f t="shared" si="4"/>
        <v>48012</v>
      </c>
      <c r="B1840" s="241">
        <f t="shared" si="1"/>
        <v>2031</v>
      </c>
      <c r="C1840" s="241">
        <f t="shared" si="2"/>
        <v>6</v>
      </c>
      <c r="D1840" s="301" t="str">
        <f t="shared" si="3"/>
        <v>Friday</v>
      </c>
      <c r="E1840" s="240"/>
      <c r="F1840" s="240"/>
      <c r="G1840" s="240"/>
      <c r="H1840" s="241"/>
      <c r="I1840" s="301"/>
      <c r="J1840" s="240"/>
      <c r="K1840" s="240"/>
      <c r="L1840" s="240"/>
      <c r="M1840" s="240"/>
      <c r="N1840" s="240"/>
      <c r="O1840" s="240"/>
      <c r="P1840" s="240"/>
      <c r="Q1840" s="240"/>
      <c r="R1840" s="240"/>
      <c r="S1840" s="240"/>
      <c r="T1840" s="240"/>
      <c r="U1840" s="240"/>
      <c r="V1840" s="240"/>
      <c r="W1840" s="240"/>
      <c r="X1840" s="240"/>
      <c r="Y1840" s="240"/>
      <c r="Z1840" s="240"/>
    </row>
    <row r="1841" ht="14.25" customHeight="1">
      <c r="A1841" s="302">
        <f t="shared" si="4"/>
        <v>48013</v>
      </c>
      <c r="B1841" s="241">
        <f t="shared" si="1"/>
        <v>2031</v>
      </c>
      <c r="C1841" s="241">
        <f t="shared" si="2"/>
        <v>6</v>
      </c>
      <c r="D1841" s="301" t="str">
        <f t="shared" si="3"/>
        <v>Saturday</v>
      </c>
      <c r="E1841" s="240"/>
      <c r="F1841" s="240"/>
      <c r="G1841" s="240"/>
      <c r="H1841" s="241"/>
      <c r="I1841" s="301"/>
      <c r="J1841" s="240"/>
      <c r="K1841" s="240"/>
      <c r="L1841" s="240"/>
      <c r="M1841" s="240"/>
      <c r="N1841" s="240"/>
      <c r="O1841" s="240"/>
      <c r="P1841" s="240"/>
      <c r="Q1841" s="240"/>
      <c r="R1841" s="240"/>
      <c r="S1841" s="240"/>
      <c r="T1841" s="240"/>
      <c r="U1841" s="240"/>
      <c r="V1841" s="240"/>
      <c r="W1841" s="240"/>
      <c r="X1841" s="240"/>
      <c r="Y1841" s="240"/>
      <c r="Z1841" s="240"/>
    </row>
    <row r="1842" ht="14.25" customHeight="1">
      <c r="A1842" s="302">
        <f t="shared" si="4"/>
        <v>48014</v>
      </c>
      <c r="B1842" s="241">
        <f t="shared" si="1"/>
        <v>2031</v>
      </c>
      <c r="C1842" s="241">
        <f t="shared" si="2"/>
        <v>6</v>
      </c>
      <c r="D1842" s="301" t="str">
        <f t="shared" si="3"/>
        <v>Sunday</v>
      </c>
      <c r="E1842" s="240"/>
      <c r="F1842" s="240"/>
      <c r="G1842" s="240"/>
      <c r="H1842" s="241"/>
      <c r="I1842" s="301"/>
      <c r="J1842" s="240"/>
      <c r="K1842" s="240"/>
      <c r="L1842" s="240"/>
      <c r="M1842" s="240"/>
      <c r="N1842" s="240"/>
      <c r="O1842" s="240"/>
      <c r="P1842" s="240"/>
      <c r="Q1842" s="240"/>
      <c r="R1842" s="240"/>
      <c r="S1842" s="240"/>
      <c r="T1842" s="240"/>
      <c r="U1842" s="240"/>
      <c r="V1842" s="240"/>
      <c r="W1842" s="240"/>
      <c r="X1842" s="240"/>
      <c r="Y1842" s="240"/>
      <c r="Z1842" s="240"/>
    </row>
    <row r="1843" ht="14.25" customHeight="1">
      <c r="A1843" s="302">
        <f t="shared" si="4"/>
        <v>48015</v>
      </c>
      <c r="B1843" s="241">
        <f t="shared" si="1"/>
        <v>2031</v>
      </c>
      <c r="C1843" s="241">
        <f t="shared" si="2"/>
        <v>6</v>
      </c>
      <c r="D1843" s="301" t="str">
        <f t="shared" si="3"/>
        <v>Monday</v>
      </c>
      <c r="E1843" s="240"/>
      <c r="F1843" s="240"/>
      <c r="G1843" s="240"/>
      <c r="H1843" s="241"/>
      <c r="I1843" s="301"/>
      <c r="J1843" s="240"/>
      <c r="K1843" s="240"/>
      <c r="L1843" s="240"/>
      <c r="M1843" s="240"/>
      <c r="N1843" s="240"/>
      <c r="O1843" s="240"/>
      <c r="P1843" s="240"/>
      <c r="Q1843" s="240"/>
      <c r="R1843" s="240"/>
      <c r="S1843" s="240"/>
      <c r="T1843" s="240"/>
      <c r="U1843" s="240"/>
      <c r="V1843" s="240"/>
      <c r="W1843" s="240"/>
      <c r="X1843" s="240"/>
      <c r="Y1843" s="240"/>
      <c r="Z1843" s="240"/>
    </row>
    <row r="1844" ht="14.25" customHeight="1">
      <c r="A1844" s="302">
        <f t="shared" si="4"/>
        <v>48016</v>
      </c>
      <c r="B1844" s="241">
        <f t="shared" si="1"/>
        <v>2031</v>
      </c>
      <c r="C1844" s="241">
        <f t="shared" si="2"/>
        <v>6</v>
      </c>
      <c r="D1844" s="301" t="str">
        <f t="shared" si="3"/>
        <v>Tuesday</v>
      </c>
      <c r="E1844" s="240"/>
      <c r="F1844" s="240"/>
      <c r="G1844" s="240"/>
      <c r="H1844" s="241"/>
      <c r="I1844" s="301"/>
      <c r="J1844" s="240"/>
      <c r="K1844" s="240"/>
      <c r="L1844" s="240"/>
      <c r="M1844" s="240"/>
      <c r="N1844" s="240"/>
      <c r="O1844" s="240"/>
      <c r="P1844" s="240"/>
      <c r="Q1844" s="240"/>
      <c r="R1844" s="240"/>
      <c r="S1844" s="240"/>
      <c r="T1844" s="240"/>
      <c r="U1844" s="240"/>
      <c r="V1844" s="240"/>
      <c r="W1844" s="240"/>
      <c r="X1844" s="240"/>
      <c r="Y1844" s="240"/>
      <c r="Z1844" s="240"/>
    </row>
    <row r="1845" ht="14.25" customHeight="1">
      <c r="A1845" s="302">
        <f t="shared" si="4"/>
        <v>48017</v>
      </c>
      <c r="B1845" s="241">
        <f t="shared" si="1"/>
        <v>2031</v>
      </c>
      <c r="C1845" s="241">
        <f t="shared" si="2"/>
        <v>6</v>
      </c>
      <c r="D1845" s="301" t="str">
        <f t="shared" si="3"/>
        <v>Wednesday</v>
      </c>
      <c r="E1845" s="240"/>
      <c r="F1845" s="240"/>
      <c r="G1845" s="240"/>
      <c r="H1845" s="241"/>
      <c r="I1845" s="301"/>
      <c r="J1845" s="240"/>
      <c r="K1845" s="240"/>
      <c r="L1845" s="240"/>
      <c r="M1845" s="240"/>
      <c r="N1845" s="240"/>
      <c r="O1845" s="240"/>
      <c r="P1845" s="240"/>
      <c r="Q1845" s="240"/>
      <c r="R1845" s="240"/>
      <c r="S1845" s="240"/>
      <c r="T1845" s="240"/>
      <c r="U1845" s="240"/>
      <c r="V1845" s="240"/>
      <c r="W1845" s="240"/>
      <c r="X1845" s="240"/>
      <c r="Y1845" s="240"/>
      <c r="Z1845" s="240"/>
    </row>
    <row r="1846" ht="14.25" customHeight="1">
      <c r="A1846" s="302">
        <f t="shared" si="4"/>
        <v>48018</v>
      </c>
      <c r="B1846" s="241">
        <f t="shared" si="1"/>
        <v>2031</v>
      </c>
      <c r="C1846" s="241">
        <f t="shared" si="2"/>
        <v>6</v>
      </c>
      <c r="D1846" s="301" t="str">
        <f t="shared" si="3"/>
        <v>Thursday</v>
      </c>
      <c r="E1846" s="240"/>
      <c r="F1846" s="240"/>
      <c r="G1846" s="240"/>
      <c r="H1846" s="241"/>
      <c r="I1846" s="301"/>
      <c r="J1846" s="240"/>
      <c r="K1846" s="240"/>
      <c r="L1846" s="240"/>
      <c r="M1846" s="240"/>
      <c r="N1846" s="240"/>
      <c r="O1846" s="240"/>
      <c r="P1846" s="240"/>
      <c r="Q1846" s="240"/>
      <c r="R1846" s="240"/>
      <c r="S1846" s="240"/>
      <c r="T1846" s="240"/>
      <c r="U1846" s="240"/>
      <c r="V1846" s="240"/>
      <c r="W1846" s="240"/>
      <c r="X1846" s="240"/>
      <c r="Y1846" s="240"/>
      <c r="Z1846" s="240"/>
    </row>
    <row r="1847" ht="14.25" customHeight="1">
      <c r="A1847" s="302">
        <f t="shared" si="4"/>
        <v>48019</v>
      </c>
      <c r="B1847" s="241">
        <f t="shared" si="1"/>
        <v>2031</v>
      </c>
      <c r="C1847" s="241">
        <f t="shared" si="2"/>
        <v>6</v>
      </c>
      <c r="D1847" s="301" t="str">
        <f t="shared" si="3"/>
        <v>Friday</v>
      </c>
      <c r="E1847" s="240"/>
      <c r="F1847" s="240"/>
      <c r="G1847" s="240"/>
      <c r="H1847" s="241"/>
      <c r="I1847" s="301"/>
      <c r="J1847" s="240"/>
      <c r="K1847" s="240"/>
      <c r="L1847" s="240"/>
      <c r="M1847" s="240"/>
      <c r="N1847" s="240"/>
      <c r="O1847" s="240"/>
      <c r="P1847" s="240"/>
      <c r="Q1847" s="240"/>
      <c r="R1847" s="240"/>
      <c r="S1847" s="240"/>
      <c r="T1847" s="240"/>
      <c r="U1847" s="240"/>
      <c r="V1847" s="240"/>
      <c r="W1847" s="240"/>
      <c r="X1847" s="240"/>
      <c r="Y1847" s="240"/>
      <c r="Z1847" s="240"/>
    </row>
    <row r="1848" ht="14.25" customHeight="1">
      <c r="A1848" s="302">
        <f t="shared" si="4"/>
        <v>48020</v>
      </c>
      <c r="B1848" s="241">
        <f t="shared" si="1"/>
        <v>2031</v>
      </c>
      <c r="C1848" s="241">
        <f t="shared" si="2"/>
        <v>6</v>
      </c>
      <c r="D1848" s="301" t="str">
        <f t="shared" si="3"/>
        <v>Saturday</v>
      </c>
      <c r="E1848" s="240"/>
      <c r="F1848" s="240"/>
      <c r="G1848" s="240"/>
      <c r="H1848" s="241"/>
      <c r="I1848" s="301"/>
      <c r="J1848" s="240"/>
      <c r="K1848" s="240"/>
      <c r="L1848" s="240"/>
      <c r="M1848" s="240"/>
      <c r="N1848" s="240"/>
      <c r="O1848" s="240"/>
      <c r="P1848" s="240"/>
      <c r="Q1848" s="240"/>
      <c r="R1848" s="240"/>
      <c r="S1848" s="240"/>
      <c r="T1848" s="240"/>
      <c r="U1848" s="240"/>
      <c r="V1848" s="240"/>
      <c r="W1848" s="240"/>
      <c r="X1848" s="240"/>
      <c r="Y1848" s="240"/>
      <c r="Z1848" s="240"/>
    </row>
    <row r="1849" ht="14.25" customHeight="1">
      <c r="A1849" s="302">
        <f t="shared" si="4"/>
        <v>48021</v>
      </c>
      <c r="B1849" s="241">
        <f t="shared" si="1"/>
        <v>2031</v>
      </c>
      <c r="C1849" s="241">
        <f t="shared" si="2"/>
        <v>6</v>
      </c>
      <c r="D1849" s="301" t="str">
        <f t="shared" si="3"/>
        <v>Sunday</v>
      </c>
      <c r="E1849" s="240"/>
      <c r="F1849" s="240"/>
      <c r="G1849" s="240"/>
      <c r="H1849" s="241"/>
      <c r="I1849" s="301"/>
      <c r="J1849" s="240"/>
      <c r="K1849" s="240"/>
      <c r="L1849" s="240"/>
      <c r="M1849" s="240"/>
      <c r="N1849" s="240"/>
      <c r="O1849" s="240"/>
      <c r="P1849" s="240"/>
      <c r="Q1849" s="240"/>
      <c r="R1849" s="240"/>
      <c r="S1849" s="240"/>
      <c r="T1849" s="240"/>
      <c r="U1849" s="240"/>
      <c r="V1849" s="240"/>
      <c r="W1849" s="240"/>
      <c r="X1849" s="240"/>
      <c r="Y1849" s="240"/>
      <c r="Z1849" s="240"/>
    </row>
    <row r="1850" ht="14.25" customHeight="1">
      <c r="A1850" s="302">
        <f t="shared" si="4"/>
        <v>48022</v>
      </c>
      <c r="B1850" s="241">
        <f t="shared" si="1"/>
        <v>2031</v>
      </c>
      <c r="C1850" s="241">
        <f t="shared" si="2"/>
        <v>6</v>
      </c>
      <c r="D1850" s="301" t="str">
        <f t="shared" si="3"/>
        <v>Monday</v>
      </c>
      <c r="E1850" s="240"/>
      <c r="F1850" s="240"/>
      <c r="G1850" s="240"/>
      <c r="H1850" s="241"/>
      <c r="I1850" s="301"/>
      <c r="J1850" s="240"/>
      <c r="K1850" s="240"/>
      <c r="L1850" s="240"/>
      <c r="M1850" s="240"/>
      <c r="N1850" s="240"/>
      <c r="O1850" s="240"/>
      <c r="P1850" s="240"/>
      <c r="Q1850" s="240"/>
      <c r="R1850" s="240"/>
      <c r="S1850" s="240"/>
      <c r="T1850" s="240"/>
      <c r="U1850" s="240"/>
      <c r="V1850" s="240"/>
      <c r="W1850" s="240"/>
      <c r="X1850" s="240"/>
      <c r="Y1850" s="240"/>
      <c r="Z1850" s="240"/>
    </row>
    <row r="1851" ht="14.25" customHeight="1">
      <c r="A1851" s="302">
        <f t="shared" si="4"/>
        <v>48023</v>
      </c>
      <c r="B1851" s="241">
        <f t="shared" si="1"/>
        <v>2031</v>
      </c>
      <c r="C1851" s="241">
        <f t="shared" si="2"/>
        <v>6</v>
      </c>
      <c r="D1851" s="301" t="str">
        <f t="shared" si="3"/>
        <v>Tuesday</v>
      </c>
      <c r="E1851" s="240"/>
      <c r="F1851" s="240"/>
      <c r="G1851" s="240"/>
      <c r="H1851" s="241"/>
      <c r="I1851" s="301"/>
      <c r="J1851" s="240"/>
      <c r="K1851" s="240"/>
      <c r="L1851" s="240"/>
      <c r="M1851" s="240"/>
      <c r="N1851" s="240"/>
      <c r="O1851" s="240"/>
      <c r="P1851" s="240"/>
      <c r="Q1851" s="240"/>
      <c r="R1851" s="240"/>
      <c r="S1851" s="240"/>
      <c r="T1851" s="240"/>
      <c r="U1851" s="240"/>
      <c r="V1851" s="240"/>
      <c r="W1851" s="240"/>
      <c r="X1851" s="240"/>
      <c r="Y1851" s="240"/>
      <c r="Z1851" s="240"/>
    </row>
    <row r="1852" ht="14.25" customHeight="1">
      <c r="A1852" s="302">
        <f t="shared" si="4"/>
        <v>48024</v>
      </c>
      <c r="B1852" s="241">
        <f t="shared" si="1"/>
        <v>2031</v>
      </c>
      <c r="C1852" s="241">
        <f t="shared" si="2"/>
        <v>6</v>
      </c>
      <c r="D1852" s="301" t="str">
        <f t="shared" si="3"/>
        <v>Wednesday</v>
      </c>
      <c r="E1852" s="240"/>
      <c r="F1852" s="240"/>
      <c r="G1852" s="240"/>
      <c r="H1852" s="241"/>
      <c r="I1852" s="301"/>
      <c r="J1852" s="240"/>
      <c r="K1852" s="240"/>
      <c r="L1852" s="240"/>
      <c r="M1852" s="240"/>
      <c r="N1852" s="240"/>
      <c r="O1852" s="240"/>
      <c r="P1852" s="240"/>
      <c r="Q1852" s="240"/>
      <c r="R1852" s="240"/>
      <c r="S1852" s="240"/>
      <c r="T1852" s="240"/>
      <c r="U1852" s="240"/>
      <c r="V1852" s="240"/>
      <c r="W1852" s="240"/>
      <c r="X1852" s="240"/>
      <c r="Y1852" s="240"/>
      <c r="Z1852" s="240"/>
    </row>
    <row r="1853" ht="14.25" customHeight="1">
      <c r="A1853" s="302">
        <f t="shared" si="4"/>
        <v>48025</v>
      </c>
      <c r="B1853" s="241">
        <f t="shared" si="1"/>
        <v>2031</v>
      </c>
      <c r="C1853" s="241">
        <f t="shared" si="2"/>
        <v>6</v>
      </c>
      <c r="D1853" s="301" t="str">
        <f t="shared" si="3"/>
        <v>Thursday</v>
      </c>
      <c r="E1853" s="240"/>
      <c r="F1853" s="240"/>
      <c r="G1853" s="240"/>
      <c r="H1853" s="241"/>
      <c r="I1853" s="301"/>
      <c r="J1853" s="240"/>
      <c r="K1853" s="240"/>
      <c r="L1853" s="240"/>
      <c r="M1853" s="240"/>
      <c r="N1853" s="240"/>
      <c r="O1853" s="240"/>
      <c r="P1853" s="240"/>
      <c r="Q1853" s="240"/>
      <c r="R1853" s="240"/>
      <c r="S1853" s="240"/>
      <c r="T1853" s="240"/>
      <c r="U1853" s="240"/>
      <c r="V1853" s="240"/>
      <c r="W1853" s="240"/>
      <c r="X1853" s="240"/>
      <c r="Y1853" s="240"/>
      <c r="Z1853" s="240"/>
    </row>
    <row r="1854" ht="14.25" customHeight="1">
      <c r="A1854" s="302">
        <f t="shared" si="4"/>
        <v>48026</v>
      </c>
      <c r="B1854" s="241">
        <f t="shared" si="1"/>
        <v>2031</v>
      </c>
      <c r="C1854" s="241">
        <f t="shared" si="2"/>
        <v>6</v>
      </c>
      <c r="D1854" s="301" t="str">
        <f t="shared" si="3"/>
        <v>Friday</v>
      </c>
      <c r="E1854" s="240"/>
      <c r="F1854" s="240"/>
      <c r="G1854" s="240"/>
      <c r="H1854" s="241"/>
      <c r="I1854" s="301"/>
      <c r="J1854" s="240"/>
      <c r="K1854" s="240"/>
      <c r="L1854" s="240"/>
      <c r="M1854" s="240"/>
      <c r="N1854" s="240"/>
      <c r="O1854" s="240"/>
      <c r="P1854" s="240"/>
      <c r="Q1854" s="240"/>
      <c r="R1854" s="240"/>
      <c r="S1854" s="240"/>
      <c r="T1854" s="240"/>
      <c r="U1854" s="240"/>
      <c r="V1854" s="240"/>
      <c r="W1854" s="240"/>
      <c r="X1854" s="240"/>
      <c r="Y1854" s="240"/>
      <c r="Z1854" s="240"/>
    </row>
    <row r="1855" ht="14.25" customHeight="1">
      <c r="A1855" s="302">
        <f t="shared" si="4"/>
        <v>48027</v>
      </c>
      <c r="B1855" s="241">
        <f t="shared" si="1"/>
        <v>2031</v>
      </c>
      <c r="C1855" s="241">
        <f t="shared" si="2"/>
        <v>6</v>
      </c>
      <c r="D1855" s="301" t="str">
        <f t="shared" si="3"/>
        <v>Saturday</v>
      </c>
      <c r="E1855" s="240"/>
      <c r="F1855" s="240"/>
      <c r="G1855" s="240"/>
      <c r="H1855" s="241"/>
      <c r="I1855" s="301"/>
      <c r="J1855" s="240"/>
      <c r="K1855" s="240"/>
      <c r="L1855" s="240"/>
      <c r="M1855" s="240"/>
      <c r="N1855" s="240"/>
      <c r="O1855" s="240"/>
      <c r="P1855" s="240"/>
      <c r="Q1855" s="240"/>
      <c r="R1855" s="240"/>
      <c r="S1855" s="240"/>
      <c r="T1855" s="240"/>
      <c r="U1855" s="240"/>
      <c r="V1855" s="240"/>
      <c r="W1855" s="240"/>
      <c r="X1855" s="240"/>
      <c r="Y1855" s="240"/>
      <c r="Z1855" s="240"/>
    </row>
    <row r="1856" ht="14.25" customHeight="1">
      <c r="A1856" s="302">
        <f t="shared" si="4"/>
        <v>48028</v>
      </c>
      <c r="B1856" s="241">
        <f t="shared" si="1"/>
        <v>2031</v>
      </c>
      <c r="C1856" s="241">
        <f t="shared" si="2"/>
        <v>6</v>
      </c>
      <c r="D1856" s="301" t="str">
        <f t="shared" si="3"/>
        <v>Sunday</v>
      </c>
      <c r="E1856" s="240"/>
      <c r="F1856" s="240"/>
      <c r="G1856" s="240"/>
      <c r="H1856" s="241"/>
      <c r="I1856" s="301"/>
      <c r="J1856" s="240"/>
      <c r="K1856" s="240"/>
      <c r="L1856" s="240"/>
      <c r="M1856" s="240"/>
      <c r="N1856" s="240"/>
      <c r="O1856" s="240"/>
      <c r="P1856" s="240"/>
      <c r="Q1856" s="240"/>
      <c r="R1856" s="240"/>
      <c r="S1856" s="240"/>
      <c r="T1856" s="240"/>
      <c r="U1856" s="240"/>
      <c r="V1856" s="240"/>
      <c r="W1856" s="240"/>
      <c r="X1856" s="240"/>
      <c r="Y1856" s="240"/>
      <c r="Z1856" s="240"/>
    </row>
    <row r="1857" ht="14.25" customHeight="1">
      <c r="A1857" s="302">
        <f t="shared" si="4"/>
        <v>48029</v>
      </c>
      <c r="B1857" s="241">
        <f t="shared" si="1"/>
        <v>2031</v>
      </c>
      <c r="C1857" s="241">
        <f t="shared" si="2"/>
        <v>6</v>
      </c>
      <c r="D1857" s="301" t="str">
        <f t="shared" si="3"/>
        <v>Monday</v>
      </c>
      <c r="E1857" s="240"/>
      <c r="F1857" s="240"/>
      <c r="G1857" s="240"/>
      <c r="H1857" s="241"/>
      <c r="I1857" s="301"/>
      <c r="J1857" s="240"/>
      <c r="K1857" s="240"/>
      <c r="L1857" s="240"/>
      <c r="M1857" s="240"/>
      <c r="N1857" s="240"/>
      <c r="O1857" s="240"/>
      <c r="P1857" s="240"/>
      <c r="Q1857" s="240"/>
      <c r="R1857" s="240"/>
      <c r="S1857" s="240"/>
      <c r="T1857" s="240"/>
      <c r="U1857" s="240"/>
      <c r="V1857" s="240"/>
      <c r="W1857" s="240"/>
      <c r="X1857" s="240"/>
      <c r="Y1857" s="240"/>
      <c r="Z1857" s="240"/>
    </row>
    <row r="1858" ht="14.25" customHeight="1">
      <c r="A1858" s="302">
        <f t="shared" si="4"/>
        <v>48030</v>
      </c>
      <c r="B1858" s="241">
        <f t="shared" si="1"/>
        <v>2031</v>
      </c>
      <c r="C1858" s="241">
        <f t="shared" si="2"/>
        <v>7</v>
      </c>
      <c r="D1858" s="301" t="str">
        <f t="shared" si="3"/>
        <v>Tuesday</v>
      </c>
      <c r="E1858" s="240"/>
      <c r="F1858" s="240"/>
      <c r="G1858" s="240"/>
      <c r="H1858" s="241"/>
      <c r="I1858" s="301"/>
      <c r="J1858" s="240"/>
      <c r="K1858" s="240"/>
      <c r="L1858" s="240"/>
      <c r="M1858" s="240"/>
      <c r="N1858" s="240"/>
      <c r="O1858" s="240"/>
      <c r="P1858" s="240"/>
      <c r="Q1858" s="240"/>
      <c r="R1858" s="240"/>
      <c r="S1858" s="240"/>
      <c r="T1858" s="240"/>
      <c r="U1858" s="240"/>
      <c r="V1858" s="240"/>
      <c r="W1858" s="240"/>
      <c r="X1858" s="240"/>
      <c r="Y1858" s="240"/>
      <c r="Z1858" s="240"/>
    </row>
    <row r="1859" ht="14.25" customHeight="1">
      <c r="A1859" s="302">
        <f t="shared" si="4"/>
        <v>48031</v>
      </c>
      <c r="B1859" s="241">
        <f t="shared" si="1"/>
        <v>2031</v>
      </c>
      <c r="C1859" s="241">
        <f t="shared" si="2"/>
        <v>7</v>
      </c>
      <c r="D1859" s="301" t="str">
        <f t="shared" si="3"/>
        <v>Wednesday</v>
      </c>
      <c r="E1859" s="240"/>
      <c r="F1859" s="240"/>
      <c r="G1859" s="240"/>
      <c r="H1859" s="241"/>
      <c r="I1859" s="301"/>
      <c r="J1859" s="240"/>
      <c r="K1859" s="240"/>
      <c r="L1859" s="240"/>
      <c r="M1859" s="240"/>
      <c r="N1859" s="240"/>
      <c r="O1859" s="240"/>
      <c r="P1859" s="240"/>
      <c r="Q1859" s="240"/>
      <c r="R1859" s="240"/>
      <c r="S1859" s="240"/>
      <c r="T1859" s="240"/>
      <c r="U1859" s="240"/>
      <c r="V1859" s="240"/>
      <c r="W1859" s="240"/>
      <c r="X1859" s="240"/>
      <c r="Y1859" s="240"/>
      <c r="Z1859" s="240"/>
    </row>
    <row r="1860" ht="14.25" customHeight="1">
      <c r="A1860" s="302">
        <f t="shared" si="4"/>
        <v>48032</v>
      </c>
      <c r="B1860" s="241">
        <f t="shared" si="1"/>
        <v>2031</v>
      </c>
      <c r="C1860" s="241">
        <f t="shared" si="2"/>
        <v>7</v>
      </c>
      <c r="D1860" s="301" t="str">
        <f t="shared" si="3"/>
        <v>Thursday</v>
      </c>
      <c r="E1860" s="240"/>
      <c r="F1860" s="240"/>
      <c r="G1860" s="240"/>
      <c r="H1860" s="241"/>
      <c r="I1860" s="301"/>
      <c r="J1860" s="240"/>
      <c r="K1860" s="240"/>
      <c r="L1860" s="240"/>
      <c r="M1860" s="240"/>
      <c r="N1860" s="240"/>
      <c r="O1860" s="240"/>
      <c r="P1860" s="240"/>
      <c r="Q1860" s="240"/>
      <c r="R1860" s="240"/>
      <c r="S1860" s="240"/>
      <c r="T1860" s="240"/>
      <c r="U1860" s="240"/>
      <c r="V1860" s="240"/>
      <c r="W1860" s="240"/>
      <c r="X1860" s="240"/>
      <c r="Y1860" s="240"/>
      <c r="Z1860" s="240"/>
    </row>
    <row r="1861" ht="14.25" customHeight="1">
      <c r="A1861" s="302">
        <f t="shared" si="4"/>
        <v>48033</v>
      </c>
      <c r="B1861" s="241">
        <f t="shared" si="1"/>
        <v>2031</v>
      </c>
      <c r="C1861" s="241">
        <f t="shared" si="2"/>
        <v>7</v>
      </c>
      <c r="D1861" s="301" t="str">
        <f t="shared" si="3"/>
        <v>Friday</v>
      </c>
      <c r="E1861" s="240"/>
      <c r="F1861" s="240"/>
      <c r="G1861" s="240"/>
      <c r="H1861" s="241"/>
      <c r="I1861" s="301"/>
      <c r="J1861" s="240"/>
      <c r="K1861" s="240"/>
      <c r="L1861" s="240"/>
      <c r="M1861" s="240"/>
      <c r="N1861" s="240"/>
      <c r="O1861" s="240"/>
      <c r="P1861" s="240"/>
      <c r="Q1861" s="240"/>
      <c r="R1861" s="240"/>
      <c r="S1861" s="240"/>
      <c r="T1861" s="240"/>
      <c r="U1861" s="240"/>
      <c r="V1861" s="240"/>
      <c r="W1861" s="240"/>
      <c r="X1861" s="240"/>
      <c r="Y1861" s="240"/>
      <c r="Z1861" s="240"/>
    </row>
    <row r="1862" ht="14.25" customHeight="1">
      <c r="A1862" s="302">
        <f t="shared" si="4"/>
        <v>48034</v>
      </c>
      <c r="B1862" s="241">
        <f t="shared" si="1"/>
        <v>2031</v>
      </c>
      <c r="C1862" s="241">
        <f t="shared" si="2"/>
        <v>7</v>
      </c>
      <c r="D1862" s="301" t="str">
        <f t="shared" si="3"/>
        <v>Saturday</v>
      </c>
      <c r="E1862" s="240"/>
      <c r="F1862" s="240"/>
      <c r="G1862" s="240"/>
      <c r="H1862" s="241"/>
      <c r="I1862" s="301"/>
      <c r="J1862" s="240"/>
      <c r="K1862" s="240"/>
      <c r="L1862" s="240"/>
      <c r="M1862" s="240"/>
      <c r="N1862" s="240"/>
      <c r="O1862" s="240"/>
      <c r="P1862" s="240"/>
      <c r="Q1862" s="240"/>
      <c r="R1862" s="240"/>
      <c r="S1862" s="240"/>
      <c r="T1862" s="240"/>
      <c r="U1862" s="240"/>
      <c r="V1862" s="240"/>
      <c r="W1862" s="240"/>
      <c r="X1862" s="240"/>
      <c r="Y1862" s="240"/>
      <c r="Z1862" s="240"/>
    </row>
    <row r="1863" ht="14.25" customHeight="1">
      <c r="A1863" s="302">
        <f t="shared" si="4"/>
        <v>48035</v>
      </c>
      <c r="B1863" s="241">
        <f t="shared" si="1"/>
        <v>2031</v>
      </c>
      <c r="C1863" s="241">
        <f t="shared" si="2"/>
        <v>7</v>
      </c>
      <c r="D1863" s="301" t="str">
        <f t="shared" si="3"/>
        <v>Sunday</v>
      </c>
      <c r="E1863" s="240"/>
      <c r="F1863" s="240"/>
      <c r="G1863" s="240"/>
      <c r="H1863" s="241"/>
      <c r="I1863" s="301"/>
      <c r="J1863" s="240"/>
      <c r="K1863" s="240"/>
      <c r="L1863" s="240"/>
      <c r="M1863" s="240"/>
      <c r="N1863" s="240"/>
      <c r="O1863" s="240"/>
      <c r="P1863" s="240"/>
      <c r="Q1863" s="240"/>
      <c r="R1863" s="240"/>
      <c r="S1863" s="240"/>
      <c r="T1863" s="240"/>
      <c r="U1863" s="240"/>
      <c r="V1863" s="240"/>
      <c r="W1863" s="240"/>
      <c r="X1863" s="240"/>
      <c r="Y1863" s="240"/>
      <c r="Z1863" s="240"/>
    </row>
    <row r="1864" ht="14.25" customHeight="1">
      <c r="A1864" s="302">
        <f t="shared" si="4"/>
        <v>48036</v>
      </c>
      <c r="B1864" s="241">
        <f t="shared" si="1"/>
        <v>2031</v>
      </c>
      <c r="C1864" s="241">
        <f t="shared" si="2"/>
        <v>7</v>
      </c>
      <c r="D1864" s="301" t="str">
        <f t="shared" si="3"/>
        <v>Monday</v>
      </c>
      <c r="E1864" s="240"/>
      <c r="F1864" s="240"/>
      <c r="G1864" s="240"/>
      <c r="H1864" s="241"/>
      <c r="I1864" s="301"/>
      <c r="J1864" s="240"/>
      <c r="K1864" s="240"/>
      <c r="L1864" s="240"/>
      <c r="M1864" s="240"/>
      <c r="N1864" s="240"/>
      <c r="O1864" s="240"/>
      <c r="P1864" s="240"/>
      <c r="Q1864" s="240"/>
      <c r="R1864" s="240"/>
      <c r="S1864" s="240"/>
      <c r="T1864" s="240"/>
      <c r="U1864" s="240"/>
      <c r="V1864" s="240"/>
      <c r="W1864" s="240"/>
      <c r="X1864" s="240"/>
      <c r="Y1864" s="240"/>
      <c r="Z1864" s="240"/>
    </row>
    <row r="1865" ht="14.25" customHeight="1">
      <c r="A1865" s="302">
        <f t="shared" si="4"/>
        <v>48037</v>
      </c>
      <c r="B1865" s="241">
        <f t="shared" si="1"/>
        <v>2031</v>
      </c>
      <c r="C1865" s="241">
        <f t="shared" si="2"/>
        <v>7</v>
      </c>
      <c r="D1865" s="301" t="str">
        <f t="shared" si="3"/>
        <v>Tuesday</v>
      </c>
      <c r="E1865" s="240"/>
      <c r="F1865" s="240"/>
      <c r="G1865" s="240"/>
      <c r="H1865" s="241"/>
      <c r="I1865" s="301"/>
      <c r="J1865" s="240"/>
      <c r="K1865" s="240"/>
      <c r="L1865" s="240"/>
      <c r="M1865" s="240"/>
      <c r="N1865" s="240"/>
      <c r="O1865" s="240"/>
      <c r="P1865" s="240"/>
      <c r="Q1865" s="240"/>
      <c r="R1865" s="240"/>
      <c r="S1865" s="240"/>
      <c r="T1865" s="240"/>
      <c r="U1865" s="240"/>
      <c r="V1865" s="240"/>
      <c r="W1865" s="240"/>
      <c r="X1865" s="240"/>
      <c r="Y1865" s="240"/>
      <c r="Z1865" s="240"/>
    </row>
    <row r="1866" ht="14.25" customHeight="1">
      <c r="A1866" s="302">
        <f t="shared" si="4"/>
        <v>48038</v>
      </c>
      <c r="B1866" s="241">
        <f t="shared" si="1"/>
        <v>2031</v>
      </c>
      <c r="C1866" s="241">
        <f t="shared" si="2"/>
        <v>7</v>
      </c>
      <c r="D1866" s="301" t="str">
        <f t="shared" si="3"/>
        <v>Wednesday</v>
      </c>
      <c r="E1866" s="240"/>
      <c r="F1866" s="240"/>
      <c r="G1866" s="240"/>
      <c r="H1866" s="241"/>
      <c r="I1866" s="301"/>
      <c r="J1866" s="240"/>
      <c r="K1866" s="240"/>
      <c r="L1866" s="240"/>
      <c r="M1866" s="240"/>
      <c r="N1866" s="240"/>
      <c r="O1866" s="240"/>
      <c r="P1866" s="240"/>
      <c r="Q1866" s="240"/>
      <c r="R1866" s="240"/>
      <c r="S1866" s="240"/>
      <c r="T1866" s="240"/>
      <c r="U1866" s="240"/>
      <c r="V1866" s="240"/>
      <c r="W1866" s="240"/>
      <c r="X1866" s="240"/>
      <c r="Y1866" s="240"/>
      <c r="Z1866" s="240"/>
    </row>
    <row r="1867" ht="14.25" customHeight="1">
      <c r="A1867" s="302">
        <f t="shared" si="4"/>
        <v>48039</v>
      </c>
      <c r="B1867" s="241">
        <f t="shared" si="1"/>
        <v>2031</v>
      </c>
      <c r="C1867" s="241">
        <f t="shared" si="2"/>
        <v>7</v>
      </c>
      <c r="D1867" s="301" t="str">
        <f t="shared" si="3"/>
        <v>Thursday</v>
      </c>
      <c r="E1867" s="240"/>
      <c r="F1867" s="240"/>
      <c r="G1867" s="240"/>
      <c r="H1867" s="241"/>
      <c r="I1867" s="301"/>
      <c r="J1867" s="240"/>
      <c r="K1867" s="240"/>
      <c r="L1867" s="240"/>
      <c r="M1867" s="240"/>
      <c r="N1867" s="240"/>
      <c r="O1867" s="240"/>
      <c r="P1867" s="240"/>
      <c r="Q1867" s="240"/>
      <c r="R1867" s="240"/>
      <c r="S1867" s="240"/>
      <c r="T1867" s="240"/>
      <c r="U1867" s="240"/>
      <c r="V1867" s="240"/>
      <c r="W1867" s="240"/>
      <c r="X1867" s="240"/>
      <c r="Y1867" s="240"/>
      <c r="Z1867" s="240"/>
    </row>
    <row r="1868" ht="14.25" customHeight="1">
      <c r="A1868" s="302">
        <f t="shared" si="4"/>
        <v>48040</v>
      </c>
      <c r="B1868" s="241">
        <f t="shared" si="1"/>
        <v>2031</v>
      </c>
      <c r="C1868" s="241">
        <f t="shared" si="2"/>
        <v>7</v>
      </c>
      <c r="D1868" s="301" t="str">
        <f t="shared" si="3"/>
        <v>Friday</v>
      </c>
      <c r="E1868" s="240"/>
      <c r="F1868" s="240"/>
      <c r="G1868" s="240"/>
      <c r="H1868" s="241"/>
      <c r="I1868" s="301"/>
      <c r="J1868" s="240"/>
      <c r="K1868" s="240"/>
      <c r="L1868" s="240"/>
      <c r="M1868" s="240"/>
      <c r="N1868" s="240"/>
      <c r="O1868" s="240"/>
      <c r="P1868" s="240"/>
      <c r="Q1868" s="240"/>
      <c r="R1868" s="240"/>
      <c r="S1868" s="240"/>
      <c r="T1868" s="240"/>
      <c r="U1868" s="240"/>
      <c r="V1868" s="240"/>
      <c r="W1868" s="240"/>
      <c r="X1868" s="240"/>
      <c r="Y1868" s="240"/>
      <c r="Z1868" s="240"/>
    </row>
    <row r="1869" ht="14.25" customHeight="1">
      <c r="A1869" s="302">
        <f t="shared" si="4"/>
        <v>48041</v>
      </c>
      <c r="B1869" s="241">
        <f t="shared" si="1"/>
        <v>2031</v>
      </c>
      <c r="C1869" s="241">
        <f t="shared" si="2"/>
        <v>7</v>
      </c>
      <c r="D1869" s="301" t="str">
        <f t="shared" si="3"/>
        <v>Saturday</v>
      </c>
      <c r="E1869" s="240"/>
      <c r="F1869" s="240"/>
      <c r="G1869" s="240"/>
      <c r="H1869" s="241"/>
      <c r="I1869" s="301"/>
      <c r="J1869" s="240"/>
      <c r="K1869" s="240"/>
      <c r="L1869" s="240"/>
      <c r="M1869" s="240"/>
      <c r="N1869" s="240"/>
      <c r="O1869" s="240"/>
      <c r="P1869" s="240"/>
      <c r="Q1869" s="240"/>
      <c r="R1869" s="240"/>
      <c r="S1869" s="240"/>
      <c r="T1869" s="240"/>
      <c r="U1869" s="240"/>
      <c r="V1869" s="240"/>
      <c r="W1869" s="240"/>
      <c r="X1869" s="240"/>
      <c r="Y1869" s="240"/>
      <c r="Z1869" s="240"/>
    </row>
    <row r="1870" ht="14.25" customHeight="1">
      <c r="A1870" s="302">
        <f t="shared" si="4"/>
        <v>48042</v>
      </c>
      <c r="B1870" s="241">
        <f t="shared" si="1"/>
        <v>2031</v>
      </c>
      <c r="C1870" s="241">
        <f t="shared" si="2"/>
        <v>7</v>
      </c>
      <c r="D1870" s="301" t="str">
        <f t="shared" si="3"/>
        <v>Sunday</v>
      </c>
      <c r="E1870" s="240"/>
      <c r="F1870" s="240"/>
      <c r="G1870" s="240"/>
      <c r="H1870" s="241"/>
      <c r="I1870" s="301"/>
      <c r="J1870" s="240"/>
      <c r="K1870" s="240"/>
      <c r="L1870" s="240"/>
      <c r="M1870" s="240"/>
      <c r="N1870" s="240"/>
      <c r="O1870" s="240"/>
      <c r="P1870" s="240"/>
      <c r="Q1870" s="240"/>
      <c r="R1870" s="240"/>
      <c r="S1870" s="240"/>
      <c r="T1870" s="240"/>
      <c r="U1870" s="240"/>
      <c r="V1870" s="240"/>
      <c r="W1870" s="240"/>
      <c r="X1870" s="240"/>
      <c r="Y1870" s="240"/>
      <c r="Z1870" s="240"/>
    </row>
    <row r="1871" ht="14.25" customHeight="1">
      <c r="A1871" s="302">
        <f t="shared" si="4"/>
        <v>48043</v>
      </c>
      <c r="B1871" s="241">
        <f t="shared" si="1"/>
        <v>2031</v>
      </c>
      <c r="C1871" s="241">
        <f t="shared" si="2"/>
        <v>7</v>
      </c>
      <c r="D1871" s="301" t="str">
        <f t="shared" si="3"/>
        <v>Monday</v>
      </c>
      <c r="E1871" s="240"/>
      <c r="F1871" s="240"/>
      <c r="G1871" s="240"/>
      <c r="H1871" s="241"/>
      <c r="I1871" s="301"/>
      <c r="J1871" s="240"/>
      <c r="K1871" s="240"/>
      <c r="L1871" s="240"/>
      <c r="M1871" s="240"/>
      <c r="N1871" s="240"/>
      <c r="O1871" s="240"/>
      <c r="P1871" s="240"/>
      <c r="Q1871" s="240"/>
      <c r="R1871" s="240"/>
      <c r="S1871" s="240"/>
      <c r="T1871" s="240"/>
      <c r="U1871" s="240"/>
      <c r="V1871" s="240"/>
      <c r="W1871" s="240"/>
      <c r="X1871" s="240"/>
      <c r="Y1871" s="240"/>
      <c r="Z1871" s="240"/>
    </row>
    <row r="1872" ht="14.25" customHeight="1">
      <c r="A1872" s="302">
        <f t="shared" si="4"/>
        <v>48044</v>
      </c>
      <c r="B1872" s="241">
        <f t="shared" si="1"/>
        <v>2031</v>
      </c>
      <c r="C1872" s="241">
        <f t="shared" si="2"/>
        <v>7</v>
      </c>
      <c r="D1872" s="301" t="str">
        <f t="shared" si="3"/>
        <v>Tuesday</v>
      </c>
      <c r="E1872" s="240"/>
      <c r="F1872" s="240"/>
      <c r="G1872" s="240"/>
      <c r="H1872" s="241"/>
      <c r="I1872" s="301"/>
      <c r="J1872" s="240"/>
      <c r="K1872" s="240"/>
      <c r="L1872" s="240"/>
      <c r="M1872" s="240"/>
      <c r="N1872" s="240"/>
      <c r="O1872" s="240"/>
      <c r="P1872" s="240"/>
      <c r="Q1872" s="240"/>
      <c r="R1872" s="240"/>
      <c r="S1872" s="240"/>
      <c r="T1872" s="240"/>
      <c r="U1872" s="240"/>
      <c r="V1872" s="240"/>
      <c r="W1872" s="240"/>
      <c r="X1872" s="240"/>
      <c r="Y1872" s="240"/>
      <c r="Z1872" s="240"/>
    </row>
    <row r="1873" ht="14.25" customHeight="1">
      <c r="A1873" s="302">
        <f t="shared" si="4"/>
        <v>48045</v>
      </c>
      <c r="B1873" s="241">
        <f t="shared" si="1"/>
        <v>2031</v>
      </c>
      <c r="C1873" s="241">
        <f t="shared" si="2"/>
        <v>7</v>
      </c>
      <c r="D1873" s="301" t="str">
        <f t="shared" si="3"/>
        <v>Wednesday</v>
      </c>
      <c r="E1873" s="240"/>
      <c r="F1873" s="240"/>
      <c r="G1873" s="240"/>
      <c r="H1873" s="241"/>
      <c r="I1873" s="301"/>
      <c r="J1873" s="240"/>
      <c r="K1873" s="240"/>
      <c r="L1873" s="240"/>
      <c r="M1873" s="240"/>
      <c r="N1873" s="240"/>
      <c r="O1873" s="240"/>
      <c r="P1873" s="240"/>
      <c r="Q1873" s="240"/>
      <c r="R1873" s="240"/>
      <c r="S1873" s="240"/>
      <c r="T1873" s="240"/>
      <c r="U1873" s="240"/>
      <c r="V1873" s="240"/>
      <c r="W1873" s="240"/>
      <c r="X1873" s="240"/>
      <c r="Y1873" s="240"/>
      <c r="Z1873" s="240"/>
    </row>
    <row r="1874" ht="14.25" customHeight="1">
      <c r="A1874" s="302">
        <f t="shared" si="4"/>
        <v>48046</v>
      </c>
      <c r="B1874" s="241">
        <f t="shared" si="1"/>
        <v>2031</v>
      </c>
      <c r="C1874" s="241">
        <f t="shared" si="2"/>
        <v>7</v>
      </c>
      <c r="D1874" s="301" t="str">
        <f t="shared" si="3"/>
        <v>Thursday</v>
      </c>
      <c r="E1874" s="240"/>
      <c r="F1874" s="240"/>
      <c r="G1874" s="240"/>
      <c r="H1874" s="241"/>
      <c r="I1874" s="301"/>
      <c r="J1874" s="240"/>
      <c r="K1874" s="240"/>
      <c r="L1874" s="240"/>
      <c r="M1874" s="240"/>
      <c r="N1874" s="240"/>
      <c r="O1874" s="240"/>
      <c r="P1874" s="240"/>
      <c r="Q1874" s="240"/>
      <c r="R1874" s="240"/>
      <c r="S1874" s="240"/>
      <c r="T1874" s="240"/>
      <c r="U1874" s="240"/>
      <c r="V1874" s="240"/>
      <c r="W1874" s="240"/>
      <c r="X1874" s="240"/>
      <c r="Y1874" s="240"/>
      <c r="Z1874" s="240"/>
    </row>
    <row r="1875" ht="14.25" customHeight="1">
      <c r="A1875" s="302">
        <f t="shared" si="4"/>
        <v>48047</v>
      </c>
      <c r="B1875" s="241">
        <f t="shared" si="1"/>
        <v>2031</v>
      </c>
      <c r="C1875" s="241">
        <f t="shared" si="2"/>
        <v>7</v>
      </c>
      <c r="D1875" s="301" t="str">
        <f t="shared" si="3"/>
        <v>Friday</v>
      </c>
      <c r="E1875" s="240"/>
      <c r="F1875" s="240"/>
      <c r="G1875" s="240"/>
      <c r="H1875" s="241"/>
      <c r="I1875" s="301"/>
      <c r="J1875" s="240"/>
      <c r="K1875" s="240"/>
      <c r="L1875" s="240"/>
      <c r="M1875" s="240"/>
      <c r="N1875" s="240"/>
      <c r="O1875" s="240"/>
      <c r="P1875" s="240"/>
      <c r="Q1875" s="240"/>
      <c r="R1875" s="240"/>
      <c r="S1875" s="240"/>
      <c r="T1875" s="240"/>
      <c r="U1875" s="240"/>
      <c r="V1875" s="240"/>
      <c r="W1875" s="240"/>
      <c r="X1875" s="240"/>
      <c r="Y1875" s="240"/>
      <c r="Z1875" s="240"/>
    </row>
    <row r="1876" ht="14.25" customHeight="1">
      <c r="A1876" s="302">
        <f t="shared" si="4"/>
        <v>48048</v>
      </c>
      <c r="B1876" s="241">
        <f t="shared" si="1"/>
        <v>2031</v>
      </c>
      <c r="C1876" s="241">
        <f t="shared" si="2"/>
        <v>7</v>
      </c>
      <c r="D1876" s="301" t="str">
        <f t="shared" si="3"/>
        <v>Saturday</v>
      </c>
      <c r="E1876" s="240"/>
      <c r="F1876" s="240"/>
      <c r="G1876" s="240"/>
      <c r="H1876" s="241"/>
      <c r="I1876" s="301"/>
      <c r="J1876" s="240"/>
      <c r="K1876" s="240"/>
      <c r="L1876" s="240"/>
      <c r="M1876" s="240"/>
      <c r="N1876" s="240"/>
      <c r="O1876" s="240"/>
      <c r="P1876" s="240"/>
      <c r="Q1876" s="240"/>
      <c r="R1876" s="240"/>
      <c r="S1876" s="240"/>
      <c r="T1876" s="240"/>
      <c r="U1876" s="240"/>
      <c r="V1876" s="240"/>
      <c r="W1876" s="240"/>
      <c r="X1876" s="240"/>
      <c r="Y1876" s="240"/>
      <c r="Z1876" s="240"/>
    </row>
    <row r="1877" ht="14.25" customHeight="1">
      <c r="A1877" s="302">
        <f t="shared" si="4"/>
        <v>48049</v>
      </c>
      <c r="B1877" s="241">
        <f t="shared" si="1"/>
        <v>2031</v>
      </c>
      <c r="C1877" s="241">
        <f t="shared" si="2"/>
        <v>7</v>
      </c>
      <c r="D1877" s="301" t="str">
        <f t="shared" si="3"/>
        <v>Sunday</v>
      </c>
      <c r="E1877" s="240"/>
      <c r="F1877" s="240"/>
      <c r="G1877" s="240"/>
      <c r="H1877" s="241"/>
      <c r="I1877" s="301"/>
      <c r="J1877" s="240"/>
      <c r="K1877" s="240"/>
      <c r="L1877" s="240"/>
      <c r="M1877" s="240"/>
      <c r="N1877" s="240"/>
      <c r="O1877" s="240"/>
      <c r="P1877" s="240"/>
      <c r="Q1877" s="240"/>
      <c r="R1877" s="240"/>
      <c r="S1877" s="240"/>
      <c r="T1877" s="240"/>
      <c r="U1877" s="240"/>
      <c r="V1877" s="240"/>
      <c r="W1877" s="240"/>
      <c r="X1877" s="240"/>
      <c r="Y1877" s="240"/>
      <c r="Z1877" s="240"/>
    </row>
    <row r="1878" ht="14.25" customHeight="1">
      <c r="A1878" s="302">
        <f t="shared" si="4"/>
        <v>48050</v>
      </c>
      <c r="B1878" s="241">
        <f t="shared" si="1"/>
        <v>2031</v>
      </c>
      <c r="C1878" s="241">
        <f t="shared" si="2"/>
        <v>7</v>
      </c>
      <c r="D1878" s="301" t="str">
        <f t="shared" si="3"/>
        <v>Monday</v>
      </c>
      <c r="E1878" s="240"/>
      <c r="F1878" s="240"/>
      <c r="G1878" s="240"/>
      <c r="H1878" s="241"/>
      <c r="I1878" s="301"/>
      <c r="J1878" s="240"/>
      <c r="K1878" s="240"/>
      <c r="L1878" s="240"/>
      <c r="M1878" s="240"/>
      <c r="N1878" s="240"/>
      <c r="O1878" s="240"/>
      <c r="P1878" s="240"/>
      <c r="Q1878" s="240"/>
      <c r="R1878" s="240"/>
      <c r="S1878" s="240"/>
      <c r="T1878" s="240"/>
      <c r="U1878" s="240"/>
      <c r="V1878" s="240"/>
      <c r="W1878" s="240"/>
      <c r="X1878" s="240"/>
      <c r="Y1878" s="240"/>
      <c r="Z1878" s="240"/>
    </row>
    <row r="1879" ht="14.25" customHeight="1">
      <c r="A1879" s="302">
        <f t="shared" si="4"/>
        <v>48051</v>
      </c>
      <c r="B1879" s="241">
        <f t="shared" si="1"/>
        <v>2031</v>
      </c>
      <c r="C1879" s="241">
        <f t="shared" si="2"/>
        <v>7</v>
      </c>
      <c r="D1879" s="301" t="str">
        <f t="shared" si="3"/>
        <v>Tuesday</v>
      </c>
      <c r="E1879" s="240"/>
      <c r="F1879" s="240"/>
      <c r="G1879" s="240"/>
      <c r="H1879" s="241"/>
      <c r="I1879" s="301"/>
      <c r="J1879" s="240"/>
      <c r="K1879" s="240"/>
      <c r="L1879" s="240"/>
      <c r="M1879" s="240"/>
      <c r="N1879" s="240"/>
      <c r="O1879" s="240"/>
      <c r="P1879" s="240"/>
      <c r="Q1879" s="240"/>
      <c r="R1879" s="240"/>
      <c r="S1879" s="240"/>
      <c r="T1879" s="240"/>
      <c r="U1879" s="240"/>
      <c r="V1879" s="240"/>
      <c r="W1879" s="240"/>
      <c r="X1879" s="240"/>
      <c r="Y1879" s="240"/>
      <c r="Z1879" s="240"/>
    </row>
    <row r="1880" ht="14.25" customHeight="1">
      <c r="A1880" s="302">
        <f t="shared" si="4"/>
        <v>48052</v>
      </c>
      <c r="B1880" s="241">
        <f t="shared" si="1"/>
        <v>2031</v>
      </c>
      <c r="C1880" s="241">
        <f t="shared" si="2"/>
        <v>7</v>
      </c>
      <c r="D1880" s="301" t="str">
        <f t="shared" si="3"/>
        <v>Wednesday</v>
      </c>
      <c r="E1880" s="240"/>
      <c r="F1880" s="240"/>
      <c r="G1880" s="240"/>
      <c r="H1880" s="241"/>
      <c r="I1880" s="301"/>
      <c r="J1880" s="240"/>
      <c r="K1880" s="240"/>
      <c r="L1880" s="240"/>
      <c r="M1880" s="240"/>
      <c r="N1880" s="240"/>
      <c r="O1880" s="240"/>
      <c r="P1880" s="240"/>
      <c r="Q1880" s="240"/>
      <c r="R1880" s="240"/>
      <c r="S1880" s="240"/>
      <c r="T1880" s="240"/>
      <c r="U1880" s="240"/>
      <c r="V1880" s="240"/>
      <c r="W1880" s="240"/>
      <c r="X1880" s="240"/>
      <c r="Y1880" s="240"/>
      <c r="Z1880" s="240"/>
    </row>
    <row r="1881" ht="14.25" customHeight="1">
      <c r="A1881" s="302">
        <f t="shared" si="4"/>
        <v>48053</v>
      </c>
      <c r="B1881" s="241">
        <f t="shared" si="1"/>
        <v>2031</v>
      </c>
      <c r="C1881" s="241">
        <f t="shared" si="2"/>
        <v>7</v>
      </c>
      <c r="D1881" s="301" t="str">
        <f t="shared" si="3"/>
        <v>Thursday</v>
      </c>
      <c r="E1881" s="240"/>
      <c r="F1881" s="240"/>
      <c r="G1881" s="240"/>
      <c r="H1881" s="241"/>
      <c r="I1881" s="301"/>
      <c r="J1881" s="240"/>
      <c r="K1881" s="240"/>
      <c r="L1881" s="240"/>
      <c r="M1881" s="240"/>
      <c r="N1881" s="240"/>
      <c r="O1881" s="240"/>
      <c r="P1881" s="240"/>
      <c r="Q1881" s="240"/>
      <c r="R1881" s="240"/>
      <c r="S1881" s="240"/>
      <c r="T1881" s="240"/>
      <c r="U1881" s="240"/>
      <c r="V1881" s="240"/>
      <c r="W1881" s="240"/>
      <c r="X1881" s="240"/>
      <c r="Y1881" s="240"/>
      <c r="Z1881" s="240"/>
    </row>
    <row r="1882" ht="14.25" customHeight="1">
      <c r="A1882" s="302">
        <f t="shared" si="4"/>
        <v>48054</v>
      </c>
      <c r="B1882" s="241">
        <f t="shared" si="1"/>
        <v>2031</v>
      </c>
      <c r="C1882" s="241">
        <f t="shared" si="2"/>
        <v>7</v>
      </c>
      <c r="D1882" s="301" t="str">
        <f t="shared" si="3"/>
        <v>Friday</v>
      </c>
      <c r="E1882" s="240"/>
      <c r="F1882" s="240"/>
      <c r="G1882" s="240"/>
      <c r="H1882" s="241"/>
      <c r="I1882" s="301"/>
      <c r="J1882" s="240"/>
      <c r="K1882" s="240"/>
      <c r="L1882" s="240"/>
      <c r="M1882" s="240"/>
      <c r="N1882" s="240"/>
      <c r="O1882" s="240"/>
      <c r="P1882" s="240"/>
      <c r="Q1882" s="240"/>
      <c r="R1882" s="240"/>
      <c r="S1882" s="240"/>
      <c r="T1882" s="240"/>
      <c r="U1882" s="240"/>
      <c r="V1882" s="240"/>
      <c r="W1882" s="240"/>
      <c r="X1882" s="240"/>
      <c r="Y1882" s="240"/>
      <c r="Z1882" s="240"/>
    </row>
    <row r="1883" ht="14.25" customHeight="1">
      <c r="A1883" s="302">
        <f t="shared" si="4"/>
        <v>48055</v>
      </c>
      <c r="B1883" s="241">
        <f t="shared" si="1"/>
        <v>2031</v>
      </c>
      <c r="C1883" s="241">
        <f t="shared" si="2"/>
        <v>7</v>
      </c>
      <c r="D1883" s="301" t="str">
        <f t="shared" si="3"/>
        <v>Saturday</v>
      </c>
      <c r="E1883" s="240"/>
      <c r="F1883" s="240"/>
      <c r="G1883" s="240"/>
      <c r="H1883" s="241"/>
      <c r="I1883" s="301"/>
      <c r="J1883" s="240"/>
      <c r="K1883" s="240"/>
      <c r="L1883" s="240"/>
      <c r="M1883" s="240"/>
      <c r="N1883" s="240"/>
      <c r="O1883" s="240"/>
      <c r="P1883" s="240"/>
      <c r="Q1883" s="240"/>
      <c r="R1883" s="240"/>
      <c r="S1883" s="240"/>
      <c r="T1883" s="240"/>
      <c r="U1883" s="240"/>
      <c r="V1883" s="240"/>
      <c r="W1883" s="240"/>
      <c r="X1883" s="240"/>
      <c r="Y1883" s="240"/>
      <c r="Z1883" s="240"/>
    </row>
    <row r="1884" ht="14.25" customHeight="1">
      <c r="A1884" s="302">
        <f t="shared" si="4"/>
        <v>48056</v>
      </c>
      <c r="B1884" s="241">
        <f t="shared" si="1"/>
        <v>2031</v>
      </c>
      <c r="C1884" s="241">
        <f t="shared" si="2"/>
        <v>7</v>
      </c>
      <c r="D1884" s="301" t="str">
        <f t="shared" si="3"/>
        <v>Sunday</v>
      </c>
      <c r="E1884" s="240"/>
      <c r="F1884" s="240"/>
      <c r="G1884" s="240"/>
      <c r="H1884" s="241"/>
      <c r="I1884" s="301"/>
      <c r="J1884" s="240"/>
      <c r="K1884" s="240"/>
      <c r="L1884" s="240"/>
      <c r="M1884" s="240"/>
      <c r="N1884" s="240"/>
      <c r="O1884" s="240"/>
      <c r="P1884" s="240"/>
      <c r="Q1884" s="240"/>
      <c r="R1884" s="240"/>
      <c r="S1884" s="240"/>
      <c r="T1884" s="240"/>
      <c r="U1884" s="240"/>
      <c r="V1884" s="240"/>
      <c r="W1884" s="240"/>
      <c r="X1884" s="240"/>
      <c r="Y1884" s="240"/>
      <c r="Z1884" s="240"/>
    </row>
    <row r="1885" ht="14.25" customHeight="1">
      <c r="A1885" s="302">
        <f t="shared" si="4"/>
        <v>48057</v>
      </c>
      <c r="B1885" s="241">
        <f t="shared" si="1"/>
        <v>2031</v>
      </c>
      <c r="C1885" s="241">
        <f t="shared" si="2"/>
        <v>7</v>
      </c>
      <c r="D1885" s="301" t="str">
        <f t="shared" si="3"/>
        <v>Monday</v>
      </c>
      <c r="E1885" s="240"/>
      <c r="F1885" s="240"/>
      <c r="G1885" s="240"/>
      <c r="H1885" s="241"/>
      <c r="I1885" s="301"/>
      <c r="J1885" s="240"/>
      <c r="K1885" s="240"/>
      <c r="L1885" s="240"/>
      <c r="M1885" s="240"/>
      <c r="N1885" s="240"/>
      <c r="O1885" s="240"/>
      <c r="P1885" s="240"/>
      <c r="Q1885" s="240"/>
      <c r="R1885" s="240"/>
      <c r="S1885" s="240"/>
      <c r="T1885" s="240"/>
      <c r="U1885" s="240"/>
      <c r="V1885" s="240"/>
      <c r="W1885" s="240"/>
      <c r="X1885" s="240"/>
      <c r="Y1885" s="240"/>
      <c r="Z1885" s="240"/>
    </row>
    <row r="1886" ht="14.25" customHeight="1">
      <c r="A1886" s="302">
        <f t="shared" si="4"/>
        <v>48058</v>
      </c>
      <c r="B1886" s="241">
        <f t="shared" si="1"/>
        <v>2031</v>
      </c>
      <c r="C1886" s="241">
        <f t="shared" si="2"/>
        <v>7</v>
      </c>
      <c r="D1886" s="301" t="str">
        <f t="shared" si="3"/>
        <v>Tuesday</v>
      </c>
      <c r="E1886" s="240"/>
      <c r="F1886" s="240"/>
      <c r="G1886" s="240"/>
      <c r="H1886" s="241"/>
      <c r="I1886" s="301"/>
      <c r="J1886" s="240"/>
      <c r="K1886" s="240"/>
      <c r="L1886" s="240"/>
      <c r="M1886" s="240"/>
      <c r="N1886" s="240"/>
      <c r="O1886" s="240"/>
      <c r="P1886" s="240"/>
      <c r="Q1886" s="240"/>
      <c r="R1886" s="240"/>
      <c r="S1886" s="240"/>
      <c r="T1886" s="240"/>
      <c r="U1886" s="240"/>
      <c r="V1886" s="240"/>
      <c r="W1886" s="240"/>
      <c r="X1886" s="240"/>
      <c r="Y1886" s="240"/>
      <c r="Z1886" s="240"/>
    </row>
    <row r="1887" ht="14.25" customHeight="1">
      <c r="A1887" s="302">
        <f t="shared" si="4"/>
        <v>48059</v>
      </c>
      <c r="B1887" s="241">
        <f t="shared" si="1"/>
        <v>2031</v>
      </c>
      <c r="C1887" s="241">
        <f t="shared" si="2"/>
        <v>7</v>
      </c>
      <c r="D1887" s="301" t="str">
        <f t="shared" si="3"/>
        <v>Wednesday</v>
      </c>
      <c r="E1887" s="240"/>
      <c r="F1887" s="240"/>
      <c r="G1887" s="240"/>
      <c r="H1887" s="241"/>
      <c r="I1887" s="301"/>
      <c r="J1887" s="240"/>
      <c r="K1887" s="240"/>
      <c r="L1887" s="240"/>
      <c r="M1887" s="240"/>
      <c r="N1887" s="240"/>
      <c r="O1887" s="240"/>
      <c r="P1887" s="240"/>
      <c r="Q1887" s="240"/>
      <c r="R1887" s="240"/>
      <c r="S1887" s="240"/>
      <c r="T1887" s="240"/>
      <c r="U1887" s="240"/>
      <c r="V1887" s="240"/>
      <c r="W1887" s="240"/>
      <c r="X1887" s="240"/>
      <c r="Y1887" s="240"/>
      <c r="Z1887" s="240"/>
    </row>
    <row r="1888" ht="14.25" customHeight="1">
      <c r="A1888" s="302">
        <f t="shared" si="4"/>
        <v>48060</v>
      </c>
      <c r="B1888" s="241">
        <f t="shared" si="1"/>
        <v>2031</v>
      </c>
      <c r="C1888" s="241">
        <f t="shared" si="2"/>
        <v>7</v>
      </c>
      <c r="D1888" s="301" t="str">
        <f t="shared" si="3"/>
        <v>Thursday</v>
      </c>
      <c r="E1888" s="240"/>
      <c r="F1888" s="240"/>
      <c r="G1888" s="240"/>
      <c r="H1888" s="241"/>
      <c r="I1888" s="301"/>
      <c r="J1888" s="240"/>
      <c r="K1888" s="240"/>
      <c r="L1888" s="240"/>
      <c r="M1888" s="240"/>
      <c r="N1888" s="240"/>
      <c r="O1888" s="240"/>
      <c r="P1888" s="240"/>
      <c r="Q1888" s="240"/>
      <c r="R1888" s="240"/>
      <c r="S1888" s="240"/>
      <c r="T1888" s="240"/>
      <c r="U1888" s="240"/>
      <c r="V1888" s="240"/>
      <c r="W1888" s="240"/>
      <c r="X1888" s="240"/>
      <c r="Y1888" s="240"/>
      <c r="Z1888" s="240"/>
    </row>
    <row r="1889" ht="14.25" customHeight="1">
      <c r="A1889" s="302">
        <f t="shared" si="4"/>
        <v>48061</v>
      </c>
      <c r="B1889" s="241">
        <f t="shared" si="1"/>
        <v>2031</v>
      </c>
      <c r="C1889" s="241">
        <f t="shared" si="2"/>
        <v>8</v>
      </c>
      <c r="D1889" s="301" t="str">
        <f t="shared" si="3"/>
        <v>Friday</v>
      </c>
      <c r="E1889" s="240"/>
      <c r="F1889" s="240"/>
      <c r="G1889" s="240"/>
      <c r="H1889" s="241"/>
      <c r="I1889" s="301"/>
      <c r="J1889" s="240"/>
      <c r="K1889" s="240"/>
      <c r="L1889" s="240"/>
      <c r="M1889" s="240"/>
      <c r="N1889" s="240"/>
      <c r="O1889" s="240"/>
      <c r="P1889" s="240"/>
      <c r="Q1889" s="240"/>
      <c r="R1889" s="240"/>
      <c r="S1889" s="240"/>
      <c r="T1889" s="240"/>
      <c r="U1889" s="240"/>
      <c r="V1889" s="240"/>
      <c r="W1889" s="240"/>
      <c r="X1889" s="240"/>
      <c r="Y1889" s="240"/>
      <c r="Z1889" s="240"/>
    </row>
    <row r="1890" ht="14.25" customHeight="1">
      <c r="A1890" s="302">
        <f t="shared" si="4"/>
        <v>48062</v>
      </c>
      <c r="B1890" s="241">
        <f t="shared" si="1"/>
        <v>2031</v>
      </c>
      <c r="C1890" s="241">
        <f t="shared" si="2"/>
        <v>8</v>
      </c>
      <c r="D1890" s="301" t="str">
        <f t="shared" si="3"/>
        <v>Saturday</v>
      </c>
      <c r="E1890" s="240"/>
      <c r="F1890" s="240"/>
      <c r="G1890" s="240"/>
      <c r="H1890" s="241"/>
      <c r="I1890" s="301"/>
      <c r="J1890" s="240"/>
      <c r="K1890" s="240"/>
      <c r="L1890" s="240"/>
      <c r="M1890" s="240"/>
      <c r="N1890" s="240"/>
      <c r="O1890" s="240"/>
      <c r="P1890" s="240"/>
      <c r="Q1890" s="240"/>
      <c r="R1890" s="240"/>
      <c r="S1890" s="240"/>
      <c r="T1890" s="240"/>
      <c r="U1890" s="240"/>
      <c r="V1890" s="240"/>
      <c r="W1890" s="240"/>
      <c r="X1890" s="240"/>
      <c r="Y1890" s="240"/>
      <c r="Z1890" s="240"/>
    </row>
    <row r="1891" ht="14.25" customHeight="1">
      <c r="A1891" s="302">
        <f t="shared" si="4"/>
        <v>48063</v>
      </c>
      <c r="B1891" s="241">
        <f t="shared" si="1"/>
        <v>2031</v>
      </c>
      <c r="C1891" s="241">
        <f t="shared" si="2"/>
        <v>8</v>
      </c>
      <c r="D1891" s="301" t="str">
        <f t="shared" si="3"/>
        <v>Sunday</v>
      </c>
      <c r="E1891" s="240"/>
      <c r="F1891" s="240"/>
      <c r="G1891" s="240"/>
      <c r="H1891" s="241"/>
      <c r="I1891" s="301"/>
      <c r="J1891" s="240"/>
      <c r="K1891" s="240"/>
      <c r="L1891" s="240"/>
      <c r="M1891" s="240"/>
      <c r="N1891" s="240"/>
      <c r="O1891" s="240"/>
      <c r="P1891" s="240"/>
      <c r="Q1891" s="240"/>
      <c r="R1891" s="240"/>
      <c r="S1891" s="240"/>
      <c r="T1891" s="240"/>
      <c r="U1891" s="240"/>
      <c r="V1891" s="240"/>
      <c r="W1891" s="240"/>
      <c r="X1891" s="240"/>
      <c r="Y1891" s="240"/>
      <c r="Z1891" s="240"/>
    </row>
    <row r="1892" ht="14.25" customHeight="1">
      <c r="A1892" s="302">
        <f t="shared" si="4"/>
        <v>48064</v>
      </c>
      <c r="B1892" s="241">
        <f t="shared" si="1"/>
        <v>2031</v>
      </c>
      <c r="C1892" s="241">
        <f t="shared" si="2"/>
        <v>8</v>
      </c>
      <c r="D1892" s="301" t="str">
        <f t="shared" si="3"/>
        <v>Monday</v>
      </c>
      <c r="E1892" s="240"/>
      <c r="F1892" s="240"/>
      <c r="G1892" s="240"/>
      <c r="H1892" s="241"/>
      <c r="I1892" s="301"/>
      <c r="J1892" s="240"/>
      <c r="K1892" s="240"/>
      <c r="L1892" s="240"/>
      <c r="M1892" s="240"/>
      <c r="N1892" s="240"/>
      <c r="O1892" s="240"/>
      <c r="P1892" s="240"/>
      <c r="Q1892" s="240"/>
      <c r="R1892" s="240"/>
      <c r="S1892" s="240"/>
      <c r="T1892" s="240"/>
      <c r="U1892" s="240"/>
      <c r="V1892" s="240"/>
      <c r="W1892" s="240"/>
      <c r="X1892" s="240"/>
      <c r="Y1892" s="240"/>
      <c r="Z1892" s="240"/>
    </row>
    <row r="1893" ht="14.25" customHeight="1">
      <c r="A1893" s="302">
        <f t="shared" si="4"/>
        <v>48065</v>
      </c>
      <c r="B1893" s="241">
        <f t="shared" si="1"/>
        <v>2031</v>
      </c>
      <c r="C1893" s="241">
        <f t="shared" si="2"/>
        <v>8</v>
      </c>
      <c r="D1893" s="301" t="str">
        <f t="shared" si="3"/>
        <v>Tuesday</v>
      </c>
      <c r="E1893" s="240"/>
      <c r="F1893" s="240"/>
      <c r="G1893" s="240"/>
      <c r="H1893" s="241"/>
      <c r="I1893" s="301"/>
      <c r="J1893" s="240"/>
      <c r="K1893" s="240"/>
      <c r="L1893" s="240"/>
      <c r="M1893" s="240"/>
      <c r="N1893" s="240"/>
      <c r="O1893" s="240"/>
      <c r="P1893" s="240"/>
      <c r="Q1893" s="240"/>
      <c r="R1893" s="240"/>
      <c r="S1893" s="240"/>
      <c r="T1893" s="240"/>
      <c r="U1893" s="240"/>
      <c r="V1893" s="240"/>
      <c r="W1893" s="240"/>
      <c r="X1893" s="240"/>
      <c r="Y1893" s="240"/>
      <c r="Z1893" s="240"/>
    </row>
    <row r="1894" ht="14.25" customHeight="1">
      <c r="A1894" s="302">
        <f t="shared" si="4"/>
        <v>48066</v>
      </c>
      <c r="B1894" s="241">
        <f t="shared" si="1"/>
        <v>2031</v>
      </c>
      <c r="C1894" s="241">
        <f t="shared" si="2"/>
        <v>8</v>
      </c>
      <c r="D1894" s="301" t="str">
        <f t="shared" si="3"/>
        <v>Wednesday</v>
      </c>
      <c r="E1894" s="240"/>
      <c r="F1894" s="240"/>
      <c r="G1894" s="240"/>
      <c r="H1894" s="241"/>
      <c r="I1894" s="301"/>
      <c r="J1894" s="240"/>
      <c r="K1894" s="240"/>
      <c r="L1894" s="240"/>
      <c r="M1894" s="240"/>
      <c r="N1894" s="240"/>
      <c r="O1894" s="240"/>
      <c r="P1894" s="240"/>
      <c r="Q1894" s="240"/>
      <c r="R1894" s="240"/>
      <c r="S1894" s="240"/>
      <c r="T1894" s="240"/>
      <c r="U1894" s="240"/>
      <c r="V1894" s="240"/>
      <c r="W1894" s="240"/>
      <c r="X1894" s="240"/>
      <c r="Y1894" s="240"/>
      <c r="Z1894" s="240"/>
    </row>
    <row r="1895" ht="14.25" customHeight="1">
      <c r="A1895" s="302">
        <f t="shared" si="4"/>
        <v>48067</v>
      </c>
      <c r="B1895" s="241">
        <f t="shared" si="1"/>
        <v>2031</v>
      </c>
      <c r="C1895" s="241">
        <f t="shared" si="2"/>
        <v>8</v>
      </c>
      <c r="D1895" s="301" t="str">
        <f t="shared" si="3"/>
        <v>Thursday</v>
      </c>
      <c r="E1895" s="240"/>
      <c r="F1895" s="240"/>
      <c r="G1895" s="240"/>
      <c r="H1895" s="241"/>
      <c r="I1895" s="301"/>
      <c r="J1895" s="240"/>
      <c r="K1895" s="240"/>
      <c r="L1895" s="240"/>
      <c r="M1895" s="240"/>
      <c r="N1895" s="240"/>
      <c r="O1895" s="240"/>
      <c r="P1895" s="240"/>
      <c r="Q1895" s="240"/>
      <c r="R1895" s="240"/>
      <c r="S1895" s="240"/>
      <c r="T1895" s="240"/>
      <c r="U1895" s="240"/>
      <c r="V1895" s="240"/>
      <c r="W1895" s="240"/>
      <c r="X1895" s="240"/>
      <c r="Y1895" s="240"/>
      <c r="Z1895" s="240"/>
    </row>
    <row r="1896" ht="14.25" customHeight="1">
      <c r="A1896" s="302">
        <f t="shared" si="4"/>
        <v>48068</v>
      </c>
      <c r="B1896" s="241">
        <f t="shared" si="1"/>
        <v>2031</v>
      </c>
      <c r="C1896" s="241">
        <f t="shared" si="2"/>
        <v>8</v>
      </c>
      <c r="D1896" s="301" t="str">
        <f t="shared" si="3"/>
        <v>Friday</v>
      </c>
      <c r="E1896" s="240"/>
      <c r="F1896" s="240"/>
      <c r="G1896" s="240"/>
      <c r="H1896" s="241"/>
      <c r="I1896" s="301"/>
      <c r="J1896" s="240"/>
      <c r="K1896" s="240"/>
      <c r="L1896" s="240"/>
      <c r="M1896" s="240"/>
      <c r="N1896" s="240"/>
      <c r="O1896" s="240"/>
      <c r="P1896" s="240"/>
      <c r="Q1896" s="240"/>
      <c r="R1896" s="240"/>
      <c r="S1896" s="240"/>
      <c r="T1896" s="240"/>
      <c r="U1896" s="240"/>
      <c r="V1896" s="240"/>
      <c r="W1896" s="240"/>
      <c r="X1896" s="240"/>
      <c r="Y1896" s="240"/>
      <c r="Z1896" s="240"/>
    </row>
    <row r="1897" ht="14.25" customHeight="1">
      <c r="A1897" s="302">
        <f t="shared" si="4"/>
        <v>48069</v>
      </c>
      <c r="B1897" s="241">
        <f t="shared" si="1"/>
        <v>2031</v>
      </c>
      <c r="C1897" s="241">
        <f t="shared" si="2"/>
        <v>8</v>
      </c>
      <c r="D1897" s="301" t="str">
        <f t="shared" si="3"/>
        <v>Saturday</v>
      </c>
      <c r="E1897" s="240"/>
      <c r="F1897" s="240"/>
      <c r="G1897" s="240"/>
      <c r="H1897" s="241"/>
      <c r="I1897" s="301"/>
      <c r="J1897" s="240"/>
      <c r="K1897" s="240"/>
      <c r="L1897" s="240"/>
      <c r="M1897" s="240"/>
      <c r="N1897" s="240"/>
      <c r="O1897" s="240"/>
      <c r="P1897" s="240"/>
      <c r="Q1897" s="240"/>
      <c r="R1897" s="240"/>
      <c r="S1897" s="240"/>
      <c r="T1897" s="240"/>
      <c r="U1897" s="240"/>
      <c r="V1897" s="240"/>
      <c r="W1897" s="240"/>
      <c r="X1897" s="240"/>
      <c r="Y1897" s="240"/>
      <c r="Z1897" s="240"/>
    </row>
    <row r="1898" ht="14.25" customHeight="1">
      <c r="A1898" s="302">
        <f t="shared" si="4"/>
        <v>48070</v>
      </c>
      <c r="B1898" s="241">
        <f t="shared" si="1"/>
        <v>2031</v>
      </c>
      <c r="C1898" s="241">
        <f t="shared" si="2"/>
        <v>8</v>
      </c>
      <c r="D1898" s="301" t="str">
        <f t="shared" si="3"/>
        <v>Sunday</v>
      </c>
      <c r="E1898" s="240"/>
      <c r="F1898" s="240"/>
      <c r="G1898" s="240"/>
      <c r="H1898" s="241"/>
      <c r="I1898" s="301"/>
      <c r="J1898" s="240"/>
      <c r="K1898" s="240"/>
      <c r="L1898" s="240"/>
      <c r="M1898" s="240"/>
      <c r="N1898" s="240"/>
      <c r="O1898" s="240"/>
      <c r="P1898" s="240"/>
      <c r="Q1898" s="240"/>
      <c r="R1898" s="240"/>
      <c r="S1898" s="240"/>
      <c r="T1898" s="240"/>
      <c r="U1898" s="240"/>
      <c r="V1898" s="240"/>
      <c r="W1898" s="240"/>
      <c r="X1898" s="240"/>
      <c r="Y1898" s="240"/>
      <c r="Z1898" s="240"/>
    </row>
    <row r="1899" ht="14.25" customHeight="1">
      <c r="A1899" s="302">
        <f t="shared" si="4"/>
        <v>48071</v>
      </c>
      <c r="B1899" s="241">
        <f t="shared" si="1"/>
        <v>2031</v>
      </c>
      <c r="C1899" s="241">
        <f t="shared" si="2"/>
        <v>8</v>
      </c>
      <c r="D1899" s="301" t="str">
        <f t="shared" si="3"/>
        <v>Monday</v>
      </c>
      <c r="E1899" s="240"/>
      <c r="F1899" s="240"/>
      <c r="G1899" s="240"/>
      <c r="H1899" s="241"/>
      <c r="I1899" s="301"/>
      <c r="J1899" s="240"/>
      <c r="K1899" s="240"/>
      <c r="L1899" s="240"/>
      <c r="M1899" s="240"/>
      <c r="N1899" s="240"/>
      <c r="O1899" s="240"/>
      <c r="P1899" s="240"/>
      <c r="Q1899" s="240"/>
      <c r="R1899" s="240"/>
      <c r="S1899" s="240"/>
      <c r="T1899" s="240"/>
      <c r="U1899" s="240"/>
      <c r="V1899" s="240"/>
      <c r="W1899" s="240"/>
      <c r="X1899" s="240"/>
      <c r="Y1899" s="240"/>
      <c r="Z1899" s="240"/>
    </row>
    <row r="1900" ht="14.25" customHeight="1">
      <c r="A1900" s="302">
        <f t="shared" si="4"/>
        <v>48072</v>
      </c>
      <c r="B1900" s="241">
        <f t="shared" si="1"/>
        <v>2031</v>
      </c>
      <c r="C1900" s="241">
        <f t="shared" si="2"/>
        <v>8</v>
      </c>
      <c r="D1900" s="301" t="str">
        <f t="shared" si="3"/>
        <v>Tuesday</v>
      </c>
      <c r="E1900" s="240"/>
      <c r="F1900" s="240"/>
      <c r="G1900" s="240"/>
      <c r="H1900" s="241"/>
      <c r="I1900" s="301"/>
      <c r="J1900" s="240"/>
      <c r="K1900" s="240"/>
      <c r="L1900" s="240"/>
      <c r="M1900" s="240"/>
      <c r="N1900" s="240"/>
      <c r="O1900" s="240"/>
      <c r="P1900" s="240"/>
      <c r="Q1900" s="240"/>
      <c r="R1900" s="240"/>
      <c r="S1900" s="240"/>
      <c r="T1900" s="240"/>
      <c r="U1900" s="240"/>
      <c r="V1900" s="240"/>
      <c r="W1900" s="240"/>
      <c r="X1900" s="240"/>
      <c r="Y1900" s="240"/>
      <c r="Z1900" s="240"/>
    </row>
    <row r="1901" ht="14.25" customHeight="1">
      <c r="A1901" s="302">
        <f t="shared" si="4"/>
        <v>48073</v>
      </c>
      <c r="B1901" s="241">
        <f t="shared" si="1"/>
        <v>2031</v>
      </c>
      <c r="C1901" s="241">
        <f t="shared" si="2"/>
        <v>8</v>
      </c>
      <c r="D1901" s="301" t="str">
        <f t="shared" si="3"/>
        <v>Wednesday</v>
      </c>
      <c r="E1901" s="240"/>
      <c r="F1901" s="240"/>
      <c r="G1901" s="240"/>
      <c r="H1901" s="241"/>
      <c r="I1901" s="301"/>
      <c r="J1901" s="240"/>
      <c r="K1901" s="240"/>
      <c r="L1901" s="240"/>
      <c r="M1901" s="240"/>
      <c r="N1901" s="240"/>
      <c r="O1901" s="240"/>
      <c r="P1901" s="240"/>
      <c r="Q1901" s="240"/>
      <c r="R1901" s="240"/>
      <c r="S1901" s="240"/>
      <c r="T1901" s="240"/>
      <c r="U1901" s="240"/>
      <c r="V1901" s="240"/>
      <c r="W1901" s="240"/>
      <c r="X1901" s="240"/>
      <c r="Y1901" s="240"/>
      <c r="Z1901" s="240"/>
    </row>
    <row r="1902" ht="14.25" customHeight="1">
      <c r="A1902" s="302">
        <f t="shared" si="4"/>
        <v>48074</v>
      </c>
      <c r="B1902" s="241">
        <f t="shared" si="1"/>
        <v>2031</v>
      </c>
      <c r="C1902" s="241">
        <f t="shared" si="2"/>
        <v>8</v>
      </c>
      <c r="D1902" s="301" t="str">
        <f t="shared" si="3"/>
        <v>Thursday</v>
      </c>
      <c r="E1902" s="240"/>
      <c r="F1902" s="240"/>
      <c r="G1902" s="240"/>
      <c r="H1902" s="241"/>
      <c r="I1902" s="301"/>
      <c r="J1902" s="240"/>
      <c r="K1902" s="240"/>
      <c r="L1902" s="240"/>
      <c r="M1902" s="240"/>
      <c r="N1902" s="240"/>
      <c r="O1902" s="240"/>
      <c r="P1902" s="240"/>
      <c r="Q1902" s="240"/>
      <c r="R1902" s="240"/>
      <c r="S1902" s="240"/>
      <c r="T1902" s="240"/>
      <c r="U1902" s="240"/>
      <c r="V1902" s="240"/>
      <c r="W1902" s="240"/>
      <c r="X1902" s="240"/>
      <c r="Y1902" s="240"/>
      <c r="Z1902" s="240"/>
    </row>
    <row r="1903" ht="14.25" customHeight="1">
      <c r="A1903" s="302">
        <f t="shared" si="4"/>
        <v>48075</v>
      </c>
      <c r="B1903" s="241">
        <f t="shared" si="1"/>
        <v>2031</v>
      </c>
      <c r="C1903" s="241">
        <f t="shared" si="2"/>
        <v>8</v>
      </c>
      <c r="D1903" s="301" t="str">
        <f t="shared" si="3"/>
        <v>Friday</v>
      </c>
      <c r="E1903" s="240"/>
      <c r="F1903" s="240"/>
      <c r="G1903" s="240"/>
      <c r="H1903" s="241"/>
      <c r="I1903" s="301"/>
      <c r="J1903" s="240"/>
      <c r="K1903" s="240"/>
      <c r="L1903" s="240"/>
      <c r="M1903" s="240"/>
      <c r="N1903" s="240"/>
      <c r="O1903" s="240"/>
      <c r="P1903" s="240"/>
      <c r="Q1903" s="240"/>
      <c r="R1903" s="240"/>
      <c r="S1903" s="240"/>
      <c r="T1903" s="240"/>
      <c r="U1903" s="240"/>
      <c r="V1903" s="240"/>
      <c r="W1903" s="240"/>
      <c r="X1903" s="240"/>
      <c r="Y1903" s="240"/>
      <c r="Z1903" s="240"/>
    </row>
    <row r="1904" ht="14.25" customHeight="1">
      <c r="A1904" s="302">
        <f t="shared" si="4"/>
        <v>48076</v>
      </c>
      <c r="B1904" s="241">
        <f t="shared" si="1"/>
        <v>2031</v>
      </c>
      <c r="C1904" s="241">
        <f t="shared" si="2"/>
        <v>8</v>
      </c>
      <c r="D1904" s="301" t="str">
        <f t="shared" si="3"/>
        <v>Saturday</v>
      </c>
      <c r="E1904" s="240"/>
      <c r="F1904" s="240"/>
      <c r="G1904" s="240"/>
      <c r="H1904" s="241"/>
      <c r="I1904" s="301"/>
      <c r="J1904" s="240"/>
      <c r="K1904" s="240"/>
      <c r="L1904" s="240"/>
      <c r="M1904" s="240"/>
      <c r="N1904" s="240"/>
      <c r="O1904" s="240"/>
      <c r="P1904" s="240"/>
      <c r="Q1904" s="240"/>
      <c r="R1904" s="240"/>
      <c r="S1904" s="240"/>
      <c r="T1904" s="240"/>
      <c r="U1904" s="240"/>
      <c r="V1904" s="240"/>
      <c r="W1904" s="240"/>
      <c r="X1904" s="240"/>
      <c r="Y1904" s="240"/>
      <c r="Z1904" s="240"/>
    </row>
    <row r="1905" ht="14.25" customHeight="1">
      <c r="A1905" s="302">
        <f t="shared" si="4"/>
        <v>48077</v>
      </c>
      <c r="B1905" s="241">
        <f t="shared" si="1"/>
        <v>2031</v>
      </c>
      <c r="C1905" s="241">
        <f t="shared" si="2"/>
        <v>8</v>
      </c>
      <c r="D1905" s="301" t="str">
        <f t="shared" si="3"/>
        <v>Sunday</v>
      </c>
      <c r="E1905" s="240"/>
      <c r="F1905" s="240"/>
      <c r="G1905" s="240"/>
      <c r="H1905" s="241"/>
      <c r="I1905" s="301"/>
      <c r="J1905" s="240"/>
      <c r="K1905" s="240"/>
      <c r="L1905" s="240"/>
      <c r="M1905" s="240"/>
      <c r="N1905" s="240"/>
      <c r="O1905" s="240"/>
      <c r="P1905" s="240"/>
      <c r="Q1905" s="240"/>
      <c r="R1905" s="240"/>
      <c r="S1905" s="240"/>
      <c r="T1905" s="240"/>
      <c r="U1905" s="240"/>
      <c r="V1905" s="240"/>
      <c r="W1905" s="240"/>
      <c r="X1905" s="240"/>
      <c r="Y1905" s="240"/>
      <c r="Z1905" s="240"/>
    </row>
    <row r="1906" ht="14.25" customHeight="1">
      <c r="A1906" s="302">
        <f t="shared" si="4"/>
        <v>48078</v>
      </c>
      <c r="B1906" s="241">
        <f t="shared" si="1"/>
        <v>2031</v>
      </c>
      <c r="C1906" s="241">
        <f t="shared" si="2"/>
        <v>8</v>
      </c>
      <c r="D1906" s="301" t="str">
        <f t="shared" si="3"/>
        <v>Monday</v>
      </c>
      <c r="E1906" s="240"/>
      <c r="F1906" s="240"/>
      <c r="G1906" s="240"/>
      <c r="H1906" s="241"/>
      <c r="I1906" s="301"/>
      <c r="J1906" s="240"/>
      <c r="K1906" s="240"/>
      <c r="L1906" s="240"/>
      <c r="M1906" s="240"/>
      <c r="N1906" s="240"/>
      <c r="O1906" s="240"/>
      <c r="P1906" s="240"/>
      <c r="Q1906" s="240"/>
      <c r="R1906" s="240"/>
      <c r="S1906" s="240"/>
      <c r="T1906" s="240"/>
      <c r="U1906" s="240"/>
      <c r="V1906" s="240"/>
      <c r="W1906" s="240"/>
      <c r="X1906" s="240"/>
      <c r="Y1906" s="240"/>
      <c r="Z1906" s="240"/>
    </row>
    <row r="1907" ht="14.25" customHeight="1">
      <c r="A1907" s="302">
        <f t="shared" si="4"/>
        <v>48079</v>
      </c>
      <c r="B1907" s="241">
        <f t="shared" si="1"/>
        <v>2031</v>
      </c>
      <c r="C1907" s="241">
        <f t="shared" si="2"/>
        <v>8</v>
      </c>
      <c r="D1907" s="301" t="str">
        <f t="shared" si="3"/>
        <v>Tuesday</v>
      </c>
      <c r="E1907" s="240"/>
      <c r="F1907" s="240"/>
      <c r="G1907" s="240"/>
      <c r="H1907" s="241"/>
      <c r="I1907" s="301"/>
      <c r="J1907" s="240"/>
      <c r="K1907" s="240"/>
      <c r="L1907" s="240"/>
      <c r="M1907" s="240"/>
      <c r="N1907" s="240"/>
      <c r="O1907" s="240"/>
      <c r="P1907" s="240"/>
      <c r="Q1907" s="240"/>
      <c r="R1907" s="240"/>
      <c r="S1907" s="240"/>
      <c r="T1907" s="240"/>
      <c r="U1907" s="240"/>
      <c r="V1907" s="240"/>
      <c r="W1907" s="240"/>
      <c r="X1907" s="240"/>
      <c r="Y1907" s="240"/>
      <c r="Z1907" s="240"/>
    </row>
    <row r="1908" ht="14.25" customHeight="1">
      <c r="A1908" s="302">
        <f t="shared" si="4"/>
        <v>48080</v>
      </c>
      <c r="B1908" s="241">
        <f t="shared" si="1"/>
        <v>2031</v>
      </c>
      <c r="C1908" s="241">
        <f t="shared" si="2"/>
        <v>8</v>
      </c>
      <c r="D1908" s="301" t="str">
        <f t="shared" si="3"/>
        <v>Wednesday</v>
      </c>
      <c r="E1908" s="240"/>
      <c r="F1908" s="240"/>
      <c r="G1908" s="240"/>
      <c r="H1908" s="241"/>
      <c r="I1908" s="301"/>
      <c r="J1908" s="240"/>
      <c r="K1908" s="240"/>
      <c r="L1908" s="240"/>
      <c r="M1908" s="240"/>
      <c r="N1908" s="240"/>
      <c r="O1908" s="240"/>
      <c r="P1908" s="240"/>
      <c r="Q1908" s="240"/>
      <c r="R1908" s="240"/>
      <c r="S1908" s="240"/>
      <c r="T1908" s="240"/>
      <c r="U1908" s="240"/>
      <c r="V1908" s="240"/>
      <c r="W1908" s="240"/>
      <c r="X1908" s="240"/>
      <c r="Y1908" s="240"/>
      <c r="Z1908" s="240"/>
    </row>
    <row r="1909" ht="14.25" customHeight="1">
      <c r="A1909" s="302">
        <f t="shared" si="4"/>
        <v>48081</v>
      </c>
      <c r="B1909" s="241">
        <f t="shared" si="1"/>
        <v>2031</v>
      </c>
      <c r="C1909" s="241">
        <f t="shared" si="2"/>
        <v>8</v>
      </c>
      <c r="D1909" s="301" t="str">
        <f t="shared" si="3"/>
        <v>Thursday</v>
      </c>
      <c r="E1909" s="240"/>
      <c r="F1909" s="240"/>
      <c r="G1909" s="240"/>
      <c r="H1909" s="241"/>
      <c r="I1909" s="301"/>
      <c r="J1909" s="240"/>
      <c r="K1909" s="240"/>
      <c r="L1909" s="240"/>
      <c r="M1909" s="240"/>
      <c r="N1909" s="240"/>
      <c r="O1909" s="240"/>
      <c r="P1909" s="240"/>
      <c r="Q1909" s="240"/>
      <c r="R1909" s="240"/>
      <c r="S1909" s="240"/>
      <c r="T1909" s="240"/>
      <c r="U1909" s="240"/>
      <c r="V1909" s="240"/>
      <c r="W1909" s="240"/>
      <c r="X1909" s="240"/>
      <c r="Y1909" s="240"/>
      <c r="Z1909" s="240"/>
    </row>
    <row r="1910" ht="14.25" customHeight="1">
      <c r="A1910" s="302">
        <f t="shared" si="4"/>
        <v>48082</v>
      </c>
      <c r="B1910" s="241">
        <f t="shared" si="1"/>
        <v>2031</v>
      </c>
      <c r="C1910" s="241">
        <f t="shared" si="2"/>
        <v>8</v>
      </c>
      <c r="D1910" s="301" t="str">
        <f t="shared" si="3"/>
        <v>Friday</v>
      </c>
      <c r="E1910" s="240"/>
      <c r="F1910" s="240"/>
      <c r="G1910" s="240"/>
      <c r="H1910" s="241"/>
      <c r="I1910" s="301"/>
      <c r="J1910" s="240"/>
      <c r="K1910" s="240"/>
      <c r="L1910" s="240"/>
      <c r="M1910" s="240"/>
      <c r="N1910" s="240"/>
      <c r="O1910" s="240"/>
      <c r="P1910" s="240"/>
      <c r="Q1910" s="240"/>
      <c r="R1910" s="240"/>
      <c r="S1910" s="240"/>
      <c r="T1910" s="240"/>
      <c r="U1910" s="240"/>
      <c r="V1910" s="240"/>
      <c r="W1910" s="240"/>
      <c r="X1910" s="240"/>
      <c r="Y1910" s="240"/>
      <c r="Z1910" s="240"/>
    </row>
    <row r="1911" ht="14.25" customHeight="1">
      <c r="A1911" s="302">
        <f t="shared" si="4"/>
        <v>48083</v>
      </c>
      <c r="B1911" s="241">
        <f t="shared" si="1"/>
        <v>2031</v>
      </c>
      <c r="C1911" s="241">
        <f t="shared" si="2"/>
        <v>8</v>
      </c>
      <c r="D1911" s="301" t="str">
        <f t="shared" si="3"/>
        <v>Saturday</v>
      </c>
      <c r="E1911" s="240"/>
      <c r="F1911" s="240"/>
      <c r="G1911" s="240"/>
      <c r="H1911" s="241"/>
      <c r="I1911" s="301"/>
      <c r="J1911" s="240"/>
      <c r="K1911" s="240"/>
      <c r="L1911" s="240"/>
      <c r="M1911" s="240"/>
      <c r="N1911" s="240"/>
      <c r="O1911" s="240"/>
      <c r="P1911" s="240"/>
      <c r="Q1911" s="240"/>
      <c r="R1911" s="240"/>
      <c r="S1911" s="240"/>
      <c r="T1911" s="240"/>
      <c r="U1911" s="240"/>
      <c r="V1911" s="240"/>
      <c r="W1911" s="240"/>
      <c r="X1911" s="240"/>
      <c r="Y1911" s="240"/>
      <c r="Z1911" s="240"/>
    </row>
    <row r="1912" ht="14.25" customHeight="1">
      <c r="A1912" s="302">
        <f t="shared" si="4"/>
        <v>48084</v>
      </c>
      <c r="B1912" s="241">
        <f t="shared" si="1"/>
        <v>2031</v>
      </c>
      <c r="C1912" s="241">
        <f t="shared" si="2"/>
        <v>8</v>
      </c>
      <c r="D1912" s="301" t="str">
        <f t="shared" si="3"/>
        <v>Sunday</v>
      </c>
      <c r="E1912" s="240"/>
      <c r="F1912" s="240"/>
      <c r="G1912" s="240"/>
      <c r="H1912" s="241"/>
      <c r="I1912" s="301"/>
      <c r="J1912" s="240"/>
      <c r="K1912" s="240"/>
      <c r="L1912" s="240"/>
      <c r="M1912" s="240"/>
      <c r="N1912" s="240"/>
      <c r="O1912" s="240"/>
      <c r="P1912" s="240"/>
      <c r="Q1912" s="240"/>
      <c r="R1912" s="240"/>
      <c r="S1912" s="240"/>
      <c r="T1912" s="240"/>
      <c r="U1912" s="240"/>
      <c r="V1912" s="240"/>
      <c r="W1912" s="240"/>
      <c r="X1912" s="240"/>
      <c r="Y1912" s="240"/>
      <c r="Z1912" s="240"/>
    </row>
    <row r="1913" ht="14.25" customHeight="1">
      <c r="A1913" s="302">
        <f t="shared" si="4"/>
        <v>48085</v>
      </c>
      <c r="B1913" s="241">
        <f t="shared" si="1"/>
        <v>2031</v>
      </c>
      <c r="C1913" s="241">
        <f t="shared" si="2"/>
        <v>8</v>
      </c>
      <c r="D1913" s="301" t="str">
        <f t="shared" si="3"/>
        <v>Monday</v>
      </c>
      <c r="E1913" s="240"/>
      <c r="F1913" s="240"/>
      <c r="G1913" s="240"/>
      <c r="H1913" s="241"/>
      <c r="I1913" s="301"/>
      <c r="J1913" s="240"/>
      <c r="K1913" s="240"/>
      <c r="L1913" s="240"/>
      <c r="M1913" s="240"/>
      <c r="N1913" s="240"/>
      <c r="O1913" s="240"/>
      <c r="P1913" s="240"/>
      <c r="Q1913" s="240"/>
      <c r="R1913" s="240"/>
      <c r="S1913" s="240"/>
      <c r="T1913" s="240"/>
      <c r="U1913" s="240"/>
      <c r="V1913" s="240"/>
      <c r="W1913" s="240"/>
      <c r="X1913" s="240"/>
      <c r="Y1913" s="240"/>
      <c r="Z1913" s="240"/>
    </row>
    <row r="1914" ht="14.25" customHeight="1">
      <c r="A1914" s="302">
        <f t="shared" si="4"/>
        <v>48086</v>
      </c>
      <c r="B1914" s="241">
        <f t="shared" si="1"/>
        <v>2031</v>
      </c>
      <c r="C1914" s="241">
        <f t="shared" si="2"/>
        <v>8</v>
      </c>
      <c r="D1914" s="301" t="str">
        <f t="shared" si="3"/>
        <v>Tuesday</v>
      </c>
      <c r="E1914" s="240"/>
      <c r="F1914" s="240"/>
      <c r="G1914" s="240"/>
      <c r="H1914" s="241"/>
      <c r="I1914" s="301"/>
      <c r="J1914" s="240"/>
      <c r="K1914" s="240"/>
      <c r="L1914" s="240"/>
      <c r="M1914" s="240"/>
      <c r="N1914" s="240"/>
      <c r="O1914" s="240"/>
      <c r="P1914" s="240"/>
      <c r="Q1914" s="240"/>
      <c r="R1914" s="240"/>
      <c r="S1914" s="240"/>
      <c r="T1914" s="240"/>
      <c r="U1914" s="240"/>
      <c r="V1914" s="240"/>
      <c r="W1914" s="240"/>
      <c r="X1914" s="240"/>
      <c r="Y1914" s="240"/>
      <c r="Z1914" s="240"/>
    </row>
    <row r="1915" ht="14.25" customHeight="1">
      <c r="A1915" s="302">
        <f t="shared" si="4"/>
        <v>48087</v>
      </c>
      <c r="B1915" s="241">
        <f t="shared" si="1"/>
        <v>2031</v>
      </c>
      <c r="C1915" s="241">
        <f t="shared" si="2"/>
        <v>8</v>
      </c>
      <c r="D1915" s="301" t="str">
        <f t="shared" si="3"/>
        <v>Wednesday</v>
      </c>
      <c r="E1915" s="240"/>
      <c r="F1915" s="240"/>
      <c r="G1915" s="240"/>
      <c r="H1915" s="241"/>
      <c r="I1915" s="301"/>
      <c r="J1915" s="240"/>
      <c r="K1915" s="240"/>
      <c r="L1915" s="240"/>
      <c r="M1915" s="240"/>
      <c r="N1915" s="240"/>
      <c r="O1915" s="240"/>
      <c r="P1915" s="240"/>
      <c r="Q1915" s="240"/>
      <c r="R1915" s="240"/>
      <c r="S1915" s="240"/>
      <c r="T1915" s="240"/>
      <c r="U1915" s="240"/>
      <c r="V1915" s="240"/>
      <c r="W1915" s="240"/>
      <c r="X1915" s="240"/>
      <c r="Y1915" s="240"/>
      <c r="Z1915" s="240"/>
    </row>
    <row r="1916" ht="14.25" customHeight="1">
      <c r="A1916" s="302">
        <f t="shared" si="4"/>
        <v>48088</v>
      </c>
      <c r="B1916" s="241">
        <f t="shared" si="1"/>
        <v>2031</v>
      </c>
      <c r="C1916" s="241">
        <f t="shared" si="2"/>
        <v>8</v>
      </c>
      <c r="D1916" s="301" t="str">
        <f t="shared" si="3"/>
        <v>Thursday</v>
      </c>
      <c r="E1916" s="240"/>
      <c r="F1916" s="240"/>
      <c r="G1916" s="240"/>
      <c r="H1916" s="241"/>
      <c r="I1916" s="301"/>
      <c r="J1916" s="240"/>
      <c r="K1916" s="240"/>
      <c r="L1916" s="240"/>
      <c r="M1916" s="240"/>
      <c r="N1916" s="240"/>
      <c r="O1916" s="240"/>
      <c r="P1916" s="240"/>
      <c r="Q1916" s="240"/>
      <c r="R1916" s="240"/>
      <c r="S1916" s="240"/>
      <c r="T1916" s="240"/>
      <c r="U1916" s="240"/>
      <c r="V1916" s="240"/>
      <c r="W1916" s="240"/>
      <c r="X1916" s="240"/>
      <c r="Y1916" s="240"/>
      <c r="Z1916" s="240"/>
    </row>
    <row r="1917" ht="14.25" customHeight="1">
      <c r="A1917" s="302">
        <f t="shared" si="4"/>
        <v>48089</v>
      </c>
      <c r="B1917" s="241">
        <f t="shared" si="1"/>
        <v>2031</v>
      </c>
      <c r="C1917" s="241">
        <f t="shared" si="2"/>
        <v>8</v>
      </c>
      <c r="D1917" s="301" t="str">
        <f t="shared" si="3"/>
        <v>Friday</v>
      </c>
      <c r="E1917" s="240"/>
      <c r="F1917" s="240"/>
      <c r="G1917" s="240"/>
      <c r="H1917" s="241"/>
      <c r="I1917" s="301"/>
      <c r="J1917" s="240"/>
      <c r="K1917" s="240"/>
      <c r="L1917" s="240"/>
      <c r="M1917" s="240"/>
      <c r="N1917" s="240"/>
      <c r="O1917" s="240"/>
      <c r="P1917" s="240"/>
      <c r="Q1917" s="240"/>
      <c r="R1917" s="240"/>
      <c r="S1917" s="240"/>
      <c r="T1917" s="240"/>
      <c r="U1917" s="240"/>
      <c r="V1917" s="240"/>
      <c r="W1917" s="240"/>
      <c r="X1917" s="240"/>
      <c r="Y1917" s="240"/>
      <c r="Z1917" s="240"/>
    </row>
    <row r="1918" ht="14.25" customHeight="1">
      <c r="A1918" s="302">
        <f t="shared" si="4"/>
        <v>48090</v>
      </c>
      <c r="B1918" s="241">
        <f t="shared" si="1"/>
        <v>2031</v>
      </c>
      <c r="C1918" s="241">
        <f t="shared" si="2"/>
        <v>8</v>
      </c>
      <c r="D1918" s="301" t="str">
        <f t="shared" si="3"/>
        <v>Saturday</v>
      </c>
      <c r="E1918" s="240"/>
      <c r="F1918" s="240"/>
      <c r="G1918" s="240"/>
      <c r="H1918" s="241"/>
      <c r="I1918" s="301"/>
      <c r="J1918" s="240"/>
      <c r="K1918" s="240"/>
      <c r="L1918" s="240"/>
      <c r="M1918" s="240"/>
      <c r="N1918" s="240"/>
      <c r="O1918" s="240"/>
      <c r="P1918" s="240"/>
      <c r="Q1918" s="240"/>
      <c r="R1918" s="240"/>
      <c r="S1918" s="240"/>
      <c r="T1918" s="240"/>
      <c r="U1918" s="240"/>
      <c r="V1918" s="240"/>
      <c r="W1918" s="240"/>
      <c r="X1918" s="240"/>
      <c r="Y1918" s="240"/>
      <c r="Z1918" s="240"/>
    </row>
    <row r="1919" ht="14.25" customHeight="1">
      <c r="A1919" s="302">
        <f t="shared" si="4"/>
        <v>48091</v>
      </c>
      <c r="B1919" s="241">
        <f t="shared" si="1"/>
        <v>2031</v>
      </c>
      <c r="C1919" s="241">
        <f t="shared" si="2"/>
        <v>8</v>
      </c>
      <c r="D1919" s="301" t="str">
        <f t="shared" si="3"/>
        <v>Sunday</v>
      </c>
      <c r="E1919" s="240"/>
      <c r="F1919" s="240"/>
      <c r="G1919" s="240"/>
      <c r="H1919" s="241"/>
      <c r="I1919" s="301"/>
      <c r="J1919" s="240"/>
      <c r="K1919" s="240"/>
      <c r="L1919" s="240"/>
      <c r="M1919" s="240"/>
      <c r="N1919" s="240"/>
      <c r="O1919" s="240"/>
      <c r="P1919" s="240"/>
      <c r="Q1919" s="240"/>
      <c r="R1919" s="240"/>
      <c r="S1919" s="240"/>
      <c r="T1919" s="240"/>
      <c r="U1919" s="240"/>
      <c r="V1919" s="240"/>
      <c r="W1919" s="240"/>
      <c r="X1919" s="240"/>
      <c r="Y1919" s="240"/>
      <c r="Z1919" s="240"/>
    </row>
    <row r="1920" ht="14.25" customHeight="1">
      <c r="A1920" s="302">
        <f t="shared" si="4"/>
        <v>48092</v>
      </c>
      <c r="B1920" s="241">
        <f t="shared" si="1"/>
        <v>2031</v>
      </c>
      <c r="C1920" s="241">
        <f t="shared" si="2"/>
        <v>9</v>
      </c>
      <c r="D1920" s="301" t="str">
        <f t="shared" si="3"/>
        <v>Monday</v>
      </c>
      <c r="E1920" s="240"/>
      <c r="F1920" s="240"/>
      <c r="G1920" s="240"/>
      <c r="H1920" s="241"/>
      <c r="I1920" s="301"/>
      <c r="J1920" s="240"/>
      <c r="K1920" s="240"/>
      <c r="L1920" s="240"/>
      <c r="M1920" s="240"/>
      <c r="N1920" s="240"/>
      <c r="O1920" s="240"/>
      <c r="P1920" s="240"/>
      <c r="Q1920" s="240"/>
      <c r="R1920" s="240"/>
      <c r="S1920" s="240"/>
      <c r="T1920" s="240"/>
      <c r="U1920" s="240"/>
      <c r="V1920" s="240"/>
      <c r="W1920" s="240"/>
      <c r="X1920" s="240"/>
      <c r="Y1920" s="240"/>
      <c r="Z1920" s="240"/>
    </row>
    <row r="1921" ht="14.25" customHeight="1">
      <c r="A1921" s="302">
        <f t="shared" si="4"/>
        <v>48093</v>
      </c>
      <c r="B1921" s="241">
        <f t="shared" si="1"/>
        <v>2031</v>
      </c>
      <c r="C1921" s="241">
        <f t="shared" si="2"/>
        <v>9</v>
      </c>
      <c r="D1921" s="301" t="str">
        <f t="shared" si="3"/>
        <v>Tuesday</v>
      </c>
      <c r="E1921" s="240"/>
      <c r="F1921" s="240"/>
      <c r="G1921" s="240"/>
      <c r="H1921" s="241"/>
      <c r="I1921" s="301"/>
      <c r="J1921" s="240"/>
      <c r="K1921" s="240"/>
      <c r="L1921" s="240"/>
      <c r="M1921" s="240"/>
      <c r="N1921" s="240"/>
      <c r="O1921" s="240"/>
      <c r="P1921" s="240"/>
      <c r="Q1921" s="240"/>
      <c r="R1921" s="240"/>
      <c r="S1921" s="240"/>
      <c r="T1921" s="240"/>
      <c r="U1921" s="240"/>
      <c r="V1921" s="240"/>
      <c r="W1921" s="240"/>
      <c r="X1921" s="240"/>
      <c r="Y1921" s="240"/>
      <c r="Z1921" s="240"/>
    </row>
    <row r="1922" ht="14.25" customHeight="1">
      <c r="A1922" s="302">
        <f t="shared" si="4"/>
        <v>48094</v>
      </c>
      <c r="B1922" s="241">
        <f t="shared" si="1"/>
        <v>2031</v>
      </c>
      <c r="C1922" s="241">
        <f t="shared" si="2"/>
        <v>9</v>
      </c>
      <c r="D1922" s="301" t="str">
        <f t="shared" si="3"/>
        <v>Wednesday</v>
      </c>
      <c r="E1922" s="240"/>
      <c r="F1922" s="240"/>
      <c r="G1922" s="240"/>
      <c r="H1922" s="241"/>
      <c r="I1922" s="301"/>
      <c r="J1922" s="240"/>
      <c r="K1922" s="240"/>
      <c r="L1922" s="240"/>
      <c r="M1922" s="240"/>
      <c r="N1922" s="240"/>
      <c r="O1922" s="240"/>
      <c r="P1922" s="240"/>
      <c r="Q1922" s="240"/>
      <c r="R1922" s="240"/>
      <c r="S1922" s="240"/>
      <c r="T1922" s="240"/>
      <c r="U1922" s="240"/>
      <c r="V1922" s="240"/>
      <c r="W1922" s="240"/>
      <c r="X1922" s="240"/>
      <c r="Y1922" s="240"/>
      <c r="Z1922" s="240"/>
    </row>
    <row r="1923" ht="14.25" customHeight="1">
      <c r="A1923" s="302">
        <f t="shared" si="4"/>
        <v>48095</v>
      </c>
      <c r="B1923" s="241">
        <f t="shared" si="1"/>
        <v>2031</v>
      </c>
      <c r="C1923" s="241">
        <f t="shared" si="2"/>
        <v>9</v>
      </c>
      <c r="D1923" s="301" t="str">
        <f t="shared" si="3"/>
        <v>Thursday</v>
      </c>
      <c r="E1923" s="240"/>
      <c r="F1923" s="240"/>
      <c r="G1923" s="240"/>
      <c r="H1923" s="241"/>
      <c r="I1923" s="301"/>
      <c r="J1923" s="240"/>
      <c r="K1923" s="240"/>
      <c r="L1923" s="240"/>
      <c r="M1923" s="240"/>
      <c r="N1923" s="240"/>
      <c r="O1923" s="240"/>
      <c r="P1923" s="240"/>
      <c r="Q1923" s="240"/>
      <c r="R1923" s="240"/>
      <c r="S1923" s="240"/>
      <c r="T1923" s="240"/>
      <c r="U1923" s="240"/>
      <c r="V1923" s="240"/>
      <c r="W1923" s="240"/>
      <c r="X1923" s="240"/>
      <c r="Y1923" s="240"/>
      <c r="Z1923" s="240"/>
    </row>
    <row r="1924" ht="14.25" customHeight="1">
      <c r="A1924" s="302">
        <f t="shared" si="4"/>
        <v>48096</v>
      </c>
      <c r="B1924" s="241">
        <f t="shared" si="1"/>
        <v>2031</v>
      </c>
      <c r="C1924" s="241">
        <f t="shared" si="2"/>
        <v>9</v>
      </c>
      <c r="D1924" s="301" t="str">
        <f t="shared" si="3"/>
        <v>Friday</v>
      </c>
      <c r="E1924" s="240"/>
      <c r="F1924" s="240"/>
      <c r="G1924" s="240"/>
      <c r="H1924" s="241"/>
      <c r="I1924" s="301"/>
      <c r="J1924" s="240"/>
      <c r="K1924" s="240"/>
      <c r="L1924" s="240"/>
      <c r="M1924" s="240"/>
      <c r="N1924" s="240"/>
      <c r="O1924" s="240"/>
      <c r="P1924" s="240"/>
      <c r="Q1924" s="240"/>
      <c r="R1924" s="240"/>
      <c r="S1924" s="240"/>
      <c r="T1924" s="240"/>
      <c r="U1924" s="240"/>
      <c r="V1924" s="240"/>
      <c r="W1924" s="240"/>
      <c r="X1924" s="240"/>
      <c r="Y1924" s="240"/>
      <c r="Z1924" s="240"/>
    </row>
    <row r="1925" ht="14.25" customHeight="1">
      <c r="A1925" s="302">
        <f t="shared" si="4"/>
        <v>48097</v>
      </c>
      <c r="B1925" s="241">
        <f t="shared" si="1"/>
        <v>2031</v>
      </c>
      <c r="C1925" s="241">
        <f t="shared" si="2"/>
        <v>9</v>
      </c>
      <c r="D1925" s="301" t="str">
        <f t="shared" si="3"/>
        <v>Saturday</v>
      </c>
      <c r="E1925" s="240"/>
      <c r="F1925" s="240"/>
      <c r="G1925" s="240"/>
      <c r="H1925" s="241"/>
      <c r="I1925" s="301"/>
      <c r="J1925" s="240"/>
      <c r="K1925" s="240"/>
      <c r="L1925" s="240"/>
      <c r="M1925" s="240"/>
      <c r="N1925" s="240"/>
      <c r="O1925" s="240"/>
      <c r="P1925" s="240"/>
      <c r="Q1925" s="240"/>
      <c r="R1925" s="240"/>
      <c r="S1925" s="240"/>
      <c r="T1925" s="240"/>
      <c r="U1925" s="240"/>
      <c r="V1925" s="240"/>
      <c r="W1925" s="240"/>
      <c r="X1925" s="240"/>
      <c r="Y1925" s="240"/>
      <c r="Z1925" s="240"/>
    </row>
    <row r="1926" ht="14.25" customHeight="1">
      <c r="A1926" s="302">
        <f t="shared" si="4"/>
        <v>48098</v>
      </c>
      <c r="B1926" s="241">
        <f t="shared" si="1"/>
        <v>2031</v>
      </c>
      <c r="C1926" s="241">
        <f t="shared" si="2"/>
        <v>9</v>
      </c>
      <c r="D1926" s="301" t="str">
        <f t="shared" si="3"/>
        <v>Sunday</v>
      </c>
      <c r="E1926" s="240"/>
      <c r="F1926" s="240"/>
      <c r="G1926" s="240"/>
      <c r="H1926" s="241"/>
      <c r="I1926" s="301"/>
      <c r="J1926" s="240"/>
      <c r="K1926" s="240"/>
      <c r="L1926" s="240"/>
      <c r="M1926" s="240"/>
      <c r="N1926" s="240"/>
      <c r="O1926" s="240"/>
      <c r="P1926" s="240"/>
      <c r="Q1926" s="240"/>
      <c r="R1926" s="240"/>
      <c r="S1926" s="240"/>
      <c r="T1926" s="240"/>
      <c r="U1926" s="240"/>
      <c r="V1926" s="240"/>
      <c r="W1926" s="240"/>
      <c r="X1926" s="240"/>
      <c r="Y1926" s="240"/>
      <c r="Z1926" s="240"/>
    </row>
    <row r="1927" ht="14.25" customHeight="1">
      <c r="A1927" s="302">
        <f t="shared" si="4"/>
        <v>48099</v>
      </c>
      <c r="B1927" s="241">
        <f t="shared" si="1"/>
        <v>2031</v>
      </c>
      <c r="C1927" s="241">
        <f t="shared" si="2"/>
        <v>9</v>
      </c>
      <c r="D1927" s="301" t="str">
        <f t="shared" si="3"/>
        <v>Monday</v>
      </c>
      <c r="E1927" s="240"/>
      <c r="F1927" s="240"/>
      <c r="G1927" s="240"/>
      <c r="H1927" s="241"/>
      <c r="I1927" s="301"/>
      <c r="J1927" s="240"/>
      <c r="K1927" s="240"/>
      <c r="L1927" s="240"/>
      <c r="M1927" s="240"/>
      <c r="N1927" s="240"/>
      <c r="O1927" s="240"/>
      <c r="P1927" s="240"/>
      <c r="Q1927" s="240"/>
      <c r="R1927" s="240"/>
      <c r="S1927" s="240"/>
      <c r="T1927" s="240"/>
      <c r="U1927" s="240"/>
      <c r="V1927" s="240"/>
      <c r="W1927" s="240"/>
      <c r="X1927" s="240"/>
      <c r="Y1927" s="240"/>
      <c r="Z1927" s="240"/>
    </row>
    <row r="1928" ht="14.25" customHeight="1">
      <c r="A1928" s="302">
        <f t="shared" si="4"/>
        <v>48100</v>
      </c>
      <c r="B1928" s="241">
        <f t="shared" si="1"/>
        <v>2031</v>
      </c>
      <c r="C1928" s="241">
        <f t="shared" si="2"/>
        <v>9</v>
      </c>
      <c r="D1928" s="301" t="str">
        <f t="shared" si="3"/>
        <v>Tuesday</v>
      </c>
      <c r="E1928" s="240"/>
      <c r="F1928" s="240"/>
      <c r="G1928" s="240"/>
      <c r="H1928" s="241"/>
      <c r="I1928" s="301"/>
      <c r="J1928" s="240"/>
      <c r="K1928" s="240"/>
      <c r="L1928" s="240"/>
      <c r="M1928" s="240"/>
      <c r="N1928" s="240"/>
      <c r="O1928" s="240"/>
      <c r="P1928" s="240"/>
      <c r="Q1928" s="240"/>
      <c r="R1928" s="240"/>
      <c r="S1928" s="240"/>
      <c r="T1928" s="240"/>
      <c r="U1928" s="240"/>
      <c r="V1928" s="240"/>
      <c r="W1928" s="240"/>
      <c r="X1928" s="240"/>
      <c r="Y1928" s="240"/>
      <c r="Z1928" s="240"/>
    </row>
    <row r="1929" ht="14.25" customHeight="1">
      <c r="A1929" s="302">
        <f t="shared" si="4"/>
        <v>48101</v>
      </c>
      <c r="B1929" s="241">
        <f t="shared" si="1"/>
        <v>2031</v>
      </c>
      <c r="C1929" s="241">
        <f t="shared" si="2"/>
        <v>9</v>
      </c>
      <c r="D1929" s="301" t="str">
        <f t="shared" si="3"/>
        <v>Wednesday</v>
      </c>
      <c r="E1929" s="240"/>
      <c r="F1929" s="240"/>
      <c r="G1929" s="240"/>
      <c r="H1929" s="241"/>
      <c r="I1929" s="301"/>
      <c r="J1929" s="240"/>
      <c r="K1929" s="240"/>
      <c r="L1929" s="240"/>
      <c r="M1929" s="240"/>
      <c r="N1929" s="240"/>
      <c r="O1929" s="240"/>
      <c r="P1929" s="240"/>
      <c r="Q1929" s="240"/>
      <c r="R1929" s="240"/>
      <c r="S1929" s="240"/>
      <c r="T1929" s="240"/>
      <c r="U1929" s="240"/>
      <c r="V1929" s="240"/>
      <c r="W1929" s="240"/>
      <c r="X1929" s="240"/>
      <c r="Y1929" s="240"/>
      <c r="Z1929" s="240"/>
    </row>
    <row r="1930" ht="14.25" customHeight="1">
      <c r="A1930" s="302">
        <f t="shared" si="4"/>
        <v>48102</v>
      </c>
      <c r="B1930" s="241">
        <f t="shared" si="1"/>
        <v>2031</v>
      </c>
      <c r="C1930" s="241">
        <f t="shared" si="2"/>
        <v>9</v>
      </c>
      <c r="D1930" s="301" t="str">
        <f t="shared" si="3"/>
        <v>Thursday</v>
      </c>
      <c r="E1930" s="240"/>
      <c r="F1930" s="240"/>
      <c r="G1930" s="240"/>
      <c r="H1930" s="241"/>
      <c r="I1930" s="301"/>
      <c r="J1930" s="240"/>
      <c r="K1930" s="240"/>
      <c r="L1930" s="240"/>
      <c r="M1930" s="240"/>
      <c r="N1930" s="240"/>
      <c r="O1930" s="240"/>
      <c r="P1930" s="240"/>
      <c r="Q1930" s="240"/>
      <c r="R1930" s="240"/>
      <c r="S1930" s="240"/>
      <c r="T1930" s="240"/>
      <c r="U1930" s="240"/>
      <c r="V1930" s="240"/>
      <c r="W1930" s="240"/>
      <c r="X1930" s="240"/>
      <c r="Y1930" s="240"/>
      <c r="Z1930" s="240"/>
    </row>
    <row r="1931" ht="14.25" customHeight="1">
      <c r="A1931" s="302">
        <f t="shared" si="4"/>
        <v>48103</v>
      </c>
      <c r="B1931" s="241">
        <f t="shared" si="1"/>
        <v>2031</v>
      </c>
      <c r="C1931" s="241">
        <f t="shared" si="2"/>
        <v>9</v>
      </c>
      <c r="D1931" s="301" t="str">
        <f t="shared" si="3"/>
        <v>Friday</v>
      </c>
      <c r="E1931" s="240"/>
      <c r="F1931" s="240"/>
      <c r="G1931" s="240"/>
      <c r="H1931" s="241"/>
      <c r="I1931" s="301"/>
      <c r="J1931" s="240"/>
      <c r="K1931" s="240"/>
      <c r="L1931" s="240"/>
      <c r="M1931" s="240"/>
      <c r="N1931" s="240"/>
      <c r="O1931" s="240"/>
      <c r="P1931" s="240"/>
      <c r="Q1931" s="240"/>
      <c r="R1931" s="240"/>
      <c r="S1931" s="240"/>
      <c r="T1931" s="240"/>
      <c r="U1931" s="240"/>
      <c r="V1931" s="240"/>
      <c r="W1931" s="240"/>
      <c r="X1931" s="240"/>
      <c r="Y1931" s="240"/>
      <c r="Z1931" s="240"/>
    </row>
    <row r="1932" ht="14.25" customHeight="1">
      <c r="A1932" s="302">
        <f t="shared" si="4"/>
        <v>48104</v>
      </c>
      <c r="B1932" s="241">
        <f t="shared" si="1"/>
        <v>2031</v>
      </c>
      <c r="C1932" s="241">
        <f t="shared" si="2"/>
        <v>9</v>
      </c>
      <c r="D1932" s="301" t="str">
        <f t="shared" si="3"/>
        <v>Saturday</v>
      </c>
      <c r="E1932" s="240"/>
      <c r="F1932" s="240"/>
      <c r="G1932" s="240"/>
      <c r="H1932" s="241"/>
      <c r="I1932" s="301"/>
      <c r="J1932" s="240"/>
      <c r="K1932" s="240"/>
      <c r="L1932" s="240"/>
      <c r="M1932" s="240"/>
      <c r="N1932" s="240"/>
      <c r="O1932" s="240"/>
      <c r="P1932" s="240"/>
      <c r="Q1932" s="240"/>
      <c r="R1932" s="240"/>
      <c r="S1932" s="240"/>
      <c r="T1932" s="240"/>
      <c r="U1932" s="240"/>
      <c r="V1932" s="240"/>
      <c r="W1932" s="240"/>
      <c r="X1932" s="240"/>
      <c r="Y1932" s="240"/>
      <c r="Z1932" s="240"/>
    </row>
    <row r="1933" ht="14.25" customHeight="1">
      <c r="A1933" s="302">
        <f t="shared" si="4"/>
        <v>48105</v>
      </c>
      <c r="B1933" s="241">
        <f t="shared" si="1"/>
        <v>2031</v>
      </c>
      <c r="C1933" s="241">
        <f t="shared" si="2"/>
        <v>9</v>
      </c>
      <c r="D1933" s="301" t="str">
        <f t="shared" si="3"/>
        <v>Sunday</v>
      </c>
      <c r="E1933" s="240"/>
      <c r="F1933" s="240"/>
      <c r="G1933" s="240"/>
      <c r="H1933" s="241"/>
      <c r="I1933" s="301"/>
      <c r="J1933" s="240"/>
      <c r="K1933" s="240"/>
      <c r="L1933" s="240"/>
      <c r="M1933" s="240"/>
      <c r="N1933" s="240"/>
      <c r="O1933" s="240"/>
      <c r="P1933" s="240"/>
      <c r="Q1933" s="240"/>
      <c r="R1933" s="240"/>
      <c r="S1933" s="240"/>
      <c r="T1933" s="240"/>
      <c r="U1933" s="240"/>
      <c r="V1933" s="240"/>
      <c r="W1933" s="240"/>
      <c r="X1933" s="240"/>
      <c r="Y1933" s="240"/>
      <c r="Z1933" s="240"/>
    </row>
    <row r="1934" ht="14.25" customHeight="1">
      <c r="A1934" s="302">
        <f t="shared" si="4"/>
        <v>48106</v>
      </c>
      <c r="B1934" s="241">
        <f t="shared" si="1"/>
        <v>2031</v>
      </c>
      <c r="C1934" s="241">
        <f t="shared" si="2"/>
        <v>9</v>
      </c>
      <c r="D1934" s="301" t="str">
        <f t="shared" si="3"/>
        <v>Monday</v>
      </c>
      <c r="E1934" s="240"/>
      <c r="F1934" s="240"/>
      <c r="G1934" s="240"/>
      <c r="H1934" s="241"/>
      <c r="I1934" s="301"/>
      <c r="J1934" s="240"/>
      <c r="K1934" s="240"/>
      <c r="L1934" s="240"/>
      <c r="M1934" s="240"/>
      <c r="N1934" s="240"/>
      <c r="O1934" s="240"/>
      <c r="P1934" s="240"/>
      <c r="Q1934" s="240"/>
      <c r="R1934" s="240"/>
      <c r="S1934" s="240"/>
      <c r="T1934" s="240"/>
      <c r="U1934" s="240"/>
      <c r="V1934" s="240"/>
      <c r="W1934" s="240"/>
      <c r="X1934" s="240"/>
      <c r="Y1934" s="240"/>
      <c r="Z1934" s="240"/>
    </row>
    <row r="1935" ht="14.25" customHeight="1">
      <c r="A1935" s="302">
        <f t="shared" si="4"/>
        <v>48107</v>
      </c>
      <c r="B1935" s="241">
        <f t="shared" si="1"/>
        <v>2031</v>
      </c>
      <c r="C1935" s="241">
        <f t="shared" si="2"/>
        <v>9</v>
      </c>
      <c r="D1935" s="301" t="str">
        <f t="shared" si="3"/>
        <v>Tuesday</v>
      </c>
      <c r="E1935" s="240"/>
      <c r="F1935" s="240"/>
      <c r="G1935" s="240"/>
      <c r="H1935" s="241"/>
      <c r="I1935" s="301"/>
      <c r="J1935" s="240"/>
      <c r="K1935" s="240"/>
      <c r="L1935" s="240"/>
      <c r="M1935" s="240"/>
      <c r="N1935" s="240"/>
      <c r="O1935" s="240"/>
      <c r="P1935" s="240"/>
      <c r="Q1935" s="240"/>
      <c r="R1935" s="240"/>
      <c r="S1935" s="240"/>
      <c r="T1935" s="240"/>
      <c r="U1935" s="240"/>
      <c r="V1935" s="240"/>
      <c r="W1935" s="240"/>
      <c r="X1935" s="240"/>
      <c r="Y1935" s="240"/>
      <c r="Z1935" s="240"/>
    </row>
    <row r="1936" ht="14.25" customHeight="1">
      <c r="A1936" s="302">
        <f t="shared" si="4"/>
        <v>48108</v>
      </c>
      <c r="B1936" s="241">
        <f t="shared" si="1"/>
        <v>2031</v>
      </c>
      <c r="C1936" s="241">
        <f t="shared" si="2"/>
        <v>9</v>
      </c>
      <c r="D1936" s="301" t="str">
        <f t="shared" si="3"/>
        <v>Wednesday</v>
      </c>
      <c r="E1936" s="240"/>
      <c r="F1936" s="240"/>
      <c r="G1936" s="240"/>
      <c r="H1936" s="241"/>
      <c r="I1936" s="301"/>
      <c r="J1936" s="240"/>
      <c r="K1936" s="240"/>
      <c r="L1936" s="240"/>
      <c r="M1936" s="240"/>
      <c r="N1936" s="240"/>
      <c r="O1936" s="240"/>
      <c r="P1936" s="240"/>
      <c r="Q1936" s="240"/>
      <c r="R1936" s="240"/>
      <c r="S1936" s="240"/>
      <c r="T1936" s="240"/>
      <c r="U1936" s="240"/>
      <c r="V1936" s="240"/>
      <c r="W1936" s="240"/>
      <c r="X1936" s="240"/>
      <c r="Y1936" s="240"/>
      <c r="Z1936" s="240"/>
    </row>
    <row r="1937" ht="14.25" customHeight="1">
      <c r="A1937" s="302">
        <f t="shared" si="4"/>
        <v>48109</v>
      </c>
      <c r="B1937" s="241">
        <f t="shared" si="1"/>
        <v>2031</v>
      </c>
      <c r="C1937" s="241">
        <f t="shared" si="2"/>
        <v>9</v>
      </c>
      <c r="D1937" s="301" t="str">
        <f t="shared" si="3"/>
        <v>Thursday</v>
      </c>
      <c r="E1937" s="240"/>
      <c r="F1937" s="240"/>
      <c r="G1937" s="240"/>
      <c r="H1937" s="241"/>
      <c r="I1937" s="301"/>
      <c r="J1937" s="240"/>
      <c r="K1937" s="240"/>
      <c r="L1937" s="240"/>
      <c r="M1937" s="240"/>
      <c r="N1937" s="240"/>
      <c r="O1937" s="240"/>
      <c r="P1937" s="240"/>
      <c r="Q1937" s="240"/>
      <c r="R1937" s="240"/>
      <c r="S1937" s="240"/>
      <c r="T1937" s="240"/>
      <c r="U1937" s="240"/>
      <c r="V1937" s="240"/>
      <c r="W1937" s="240"/>
      <c r="X1937" s="240"/>
      <c r="Y1937" s="240"/>
      <c r="Z1937" s="240"/>
    </row>
    <row r="1938" ht="14.25" customHeight="1">
      <c r="A1938" s="302">
        <f t="shared" si="4"/>
        <v>48110</v>
      </c>
      <c r="B1938" s="241">
        <f t="shared" si="1"/>
        <v>2031</v>
      </c>
      <c r="C1938" s="241">
        <f t="shared" si="2"/>
        <v>9</v>
      </c>
      <c r="D1938" s="301" t="str">
        <f t="shared" si="3"/>
        <v>Friday</v>
      </c>
      <c r="E1938" s="240"/>
      <c r="F1938" s="240"/>
      <c r="G1938" s="240"/>
      <c r="H1938" s="241"/>
      <c r="I1938" s="301"/>
      <c r="J1938" s="240"/>
      <c r="K1938" s="240"/>
      <c r="L1938" s="240"/>
      <c r="M1938" s="240"/>
      <c r="N1938" s="240"/>
      <c r="O1938" s="240"/>
      <c r="P1938" s="240"/>
      <c r="Q1938" s="240"/>
      <c r="R1938" s="240"/>
      <c r="S1938" s="240"/>
      <c r="T1938" s="240"/>
      <c r="U1938" s="240"/>
      <c r="V1938" s="240"/>
      <c r="W1938" s="240"/>
      <c r="X1938" s="240"/>
      <c r="Y1938" s="240"/>
      <c r="Z1938" s="240"/>
    </row>
    <row r="1939" ht="14.25" customHeight="1">
      <c r="A1939" s="302">
        <f t="shared" si="4"/>
        <v>48111</v>
      </c>
      <c r="B1939" s="241">
        <f t="shared" si="1"/>
        <v>2031</v>
      </c>
      <c r="C1939" s="241">
        <f t="shared" si="2"/>
        <v>9</v>
      </c>
      <c r="D1939" s="301" t="str">
        <f t="shared" si="3"/>
        <v>Saturday</v>
      </c>
      <c r="E1939" s="240"/>
      <c r="F1939" s="240"/>
      <c r="G1939" s="240"/>
      <c r="H1939" s="241"/>
      <c r="I1939" s="301"/>
      <c r="J1939" s="240"/>
      <c r="K1939" s="240"/>
      <c r="L1939" s="240"/>
      <c r="M1939" s="240"/>
      <c r="N1939" s="240"/>
      <c r="O1939" s="240"/>
      <c r="P1939" s="240"/>
      <c r="Q1939" s="240"/>
      <c r="R1939" s="240"/>
      <c r="S1939" s="240"/>
      <c r="T1939" s="240"/>
      <c r="U1939" s="240"/>
      <c r="V1939" s="240"/>
      <c r="W1939" s="240"/>
      <c r="X1939" s="240"/>
      <c r="Y1939" s="240"/>
      <c r="Z1939" s="240"/>
    </row>
    <row r="1940" ht="14.25" customHeight="1">
      <c r="A1940" s="302">
        <f t="shared" si="4"/>
        <v>48112</v>
      </c>
      <c r="B1940" s="241">
        <f t="shared" si="1"/>
        <v>2031</v>
      </c>
      <c r="C1940" s="241">
        <f t="shared" si="2"/>
        <v>9</v>
      </c>
      <c r="D1940" s="301" t="str">
        <f t="shared" si="3"/>
        <v>Sunday</v>
      </c>
      <c r="E1940" s="240"/>
      <c r="F1940" s="240"/>
      <c r="G1940" s="240"/>
      <c r="H1940" s="241"/>
      <c r="I1940" s="301"/>
      <c r="J1940" s="240"/>
      <c r="K1940" s="240"/>
      <c r="L1940" s="240"/>
      <c r="M1940" s="240"/>
      <c r="N1940" s="240"/>
      <c r="O1940" s="240"/>
      <c r="P1940" s="240"/>
      <c r="Q1940" s="240"/>
      <c r="R1940" s="240"/>
      <c r="S1940" s="240"/>
      <c r="T1940" s="240"/>
      <c r="U1940" s="240"/>
      <c r="V1940" s="240"/>
      <c r="W1940" s="240"/>
      <c r="X1940" s="240"/>
      <c r="Y1940" s="240"/>
      <c r="Z1940" s="240"/>
    </row>
    <row r="1941" ht="14.25" customHeight="1">
      <c r="A1941" s="302">
        <f t="shared" si="4"/>
        <v>48113</v>
      </c>
      <c r="B1941" s="241">
        <f t="shared" si="1"/>
        <v>2031</v>
      </c>
      <c r="C1941" s="241">
        <f t="shared" si="2"/>
        <v>9</v>
      </c>
      <c r="D1941" s="301" t="str">
        <f t="shared" si="3"/>
        <v>Monday</v>
      </c>
      <c r="E1941" s="240"/>
      <c r="F1941" s="240"/>
      <c r="G1941" s="240"/>
      <c r="H1941" s="241"/>
      <c r="I1941" s="301"/>
      <c r="J1941" s="240"/>
      <c r="K1941" s="240"/>
      <c r="L1941" s="240"/>
      <c r="M1941" s="240"/>
      <c r="N1941" s="240"/>
      <c r="O1941" s="240"/>
      <c r="P1941" s="240"/>
      <c r="Q1941" s="240"/>
      <c r="R1941" s="240"/>
      <c r="S1941" s="240"/>
      <c r="T1941" s="240"/>
      <c r="U1941" s="240"/>
      <c r="V1941" s="240"/>
      <c r="W1941" s="240"/>
      <c r="X1941" s="240"/>
      <c r="Y1941" s="240"/>
      <c r="Z1941" s="240"/>
    </row>
    <row r="1942" ht="14.25" customHeight="1">
      <c r="A1942" s="302">
        <f t="shared" si="4"/>
        <v>48114</v>
      </c>
      <c r="B1942" s="241">
        <f t="shared" si="1"/>
        <v>2031</v>
      </c>
      <c r="C1942" s="241">
        <f t="shared" si="2"/>
        <v>9</v>
      </c>
      <c r="D1942" s="301" t="str">
        <f t="shared" si="3"/>
        <v>Tuesday</v>
      </c>
      <c r="E1942" s="240"/>
      <c r="F1942" s="240"/>
      <c r="G1942" s="240"/>
      <c r="H1942" s="241"/>
      <c r="I1942" s="301"/>
      <c r="J1942" s="240"/>
      <c r="K1942" s="240"/>
      <c r="L1942" s="240"/>
      <c r="M1942" s="240"/>
      <c r="N1942" s="240"/>
      <c r="O1942" s="240"/>
      <c r="P1942" s="240"/>
      <c r="Q1942" s="240"/>
      <c r="R1942" s="240"/>
      <c r="S1942" s="240"/>
      <c r="T1942" s="240"/>
      <c r="U1942" s="240"/>
      <c r="V1942" s="240"/>
      <c r="W1942" s="240"/>
      <c r="X1942" s="240"/>
      <c r="Y1942" s="240"/>
      <c r="Z1942" s="240"/>
    </row>
    <row r="1943" ht="14.25" customHeight="1">
      <c r="A1943" s="302">
        <f t="shared" si="4"/>
        <v>48115</v>
      </c>
      <c r="B1943" s="241">
        <f t="shared" si="1"/>
        <v>2031</v>
      </c>
      <c r="C1943" s="241">
        <f t="shared" si="2"/>
        <v>9</v>
      </c>
      <c r="D1943" s="301" t="str">
        <f t="shared" si="3"/>
        <v>Wednesday</v>
      </c>
      <c r="E1943" s="240"/>
      <c r="F1943" s="240"/>
      <c r="G1943" s="240"/>
      <c r="H1943" s="241"/>
      <c r="I1943" s="301"/>
      <c r="J1943" s="240"/>
      <c r="K1943" s="240"/>
      <c r="L1943" s="240"/>
      <c r="M1943" s="240"/>
      <c r="N1943" s="240"/>
      <c r="O1943" s="240"/>
      <c r="P1943" s="240"/>
      <c r="Q1943" s="240"/>
      <c r="R1943" s="240"/>
      <c r="S1943" s="240"/>
      <c r="T1943" s="240"/>
      <c r="U1943" s="240"/>
      <c r="V1943" s="240"/>
      <c r="W1943" s="240"/>
      <c r="X1943" s="240"/>
      <c r="Y1943" s="240"/>
      <c r="Z1943" s="240"/>
    </row>
    <row r="1944" ht="14.25" customHeight="1">
      <c r="A1944" s="302">
        <f t="shared" si="4"/>
        <v>48116</v>
      </c>
      <c r="B1944" s="241">
        <f t="shared" si="1"/>
        <v>2031</v>
      </c>
      <c r="C1944" s="241">
        <f t="shared" si="2"/>
        <v>9</v>
      </c>
      <c r="D1944" s="301" t="str">
        <f t="shared" si="3"/>
        <v>Thursday</v>
      </c>
      <c r="E1944" s="240"/>
      <c r="F1944" s="240"/>
      <c r="G1944" s="240"/>
      <c r="H1944" s="241"/>
      <c r="I1944" s="301"/>
      <c r="J1944" s="240"/>
      <c r="K1944" s="240"/>
      <c r="L1944" s="240"/>
      <c r="M1944" s="240"/>
      <c r="N1944" s="240"/>
      <c r="O1944" s="240"/>
      <c r="P1944" s="240"/>
      <c r="Q1944" s="240"/>
      <c r="R1944" s="240"/>
      <c r="S1944" s="240"/>
      <c r="T1944" s="240"/>
      <c r="U1944" s="240"/>
      <c r="V1944" s="240"/>
      <c r="W1944" s="240"/>
      <c r="X1944" s="240"/>
      <c r="Y1944" s="240"/>
      <c r="Z1944" s="240"/>
    </row>
    <row r="1945" ht="14.25" customHeight="1">
      <c r="A1945" s="302">
        <f t="shared" si="4"/>
        <v>48117</v>
      </c>
      <c r="B1945" s="241">
        <f t="shared" si="1"/>
        <v>2031</v>
      </c>
      <c r="C1945" s="241">
        <f t="shared" si="2"/>
        <v>9</v>
      </c>
      <c r="D1945" s="301" t="str">
        <f t="shared" si="3"/>
        <v>Friday</v>
      </c>
      <c r="E1945" s="240"/>
      <c r="F1945" s="240"/>
      <c r="G1945" s="240"/>
      <c r="H1945" s="241"/>
      <c r="I1945" s="301"/>
      <c r="J1945" s="240"/>
      <c r="K1945" s="240"/>
      <c r="L1945" s="240"/>
      <c r="M1945" s="240"/>
      <c r="N1945" s="240"/>
      <c r="O1945" s="240"/>
      <c r="P1945" s="240"/>
      <c r="Q1945" s="240"/>
      <c r="R1945" s="240"/>
      <c r="S1945" s="240"/>
      <c r="T1945" s="240"/>
      <c r="U1945" s="240"/>
      <c r="V1945" s="240"/>
      <c r="W1945" s="240"/>
      <c r="X1945" s="240"/>
      <c r="Y1945" s="240"/>
      <c r="Z1945" s="240"/>
    </row>
    <row r="1946" ht="14.25" customHeight="1">
      <c r="A1946" s="302">
        <f t="shared" si="4"/>
        <v>48118</v>
      </c>
      <c r="B1946" s="241">
        <f t="shared" si="1"/>
        <v>2031</v>
      </c>
      <c r="C1946" s="241">
        <f t="shared" si="2"/>
        <v>9</v>
      </c>
      <c r="D1946" s="301" t="str">
        <f t="shared" si="3"/>
        <v>Saturday</v>
      </c>
      <c r="E1946" s="240"/>
      <c r="F1946" s="240"/>
      <c r="G1946" s="240"/>
      <c r="H1946" s="241"/>
      <c r="I1946" s="301"/>
      <c r="J1946" s="240"/>
      <c r="K1946" s="240"/>
      <c r="L1946" s="240"/>
      <c r="M1946" s="240"/>
      <c r="N1946" s="240"/>
      <c r="O1946" s="240"/>
      <c r="P1946" s="240"/>
      <c r="Q1946" s="240"/>
      <c r="R1946" s="240"/>
      <c r="S1946" s="240"/>
      <c r="T1946" s="240"/>
      <c r="U1946" s="240"/>
      <c r="V1946" s="240"/>
      <c r="W1946" s="240"/>
      <c r="X1946" s="240"/>
      <c r="Y1946" s="240"/>
      <c r="Z1946" s="240"/>
    </row>
    <row r="1947" ht="14.25" customHeight="1">
      <c r="A1947" s="302">
        <f t="shared" si="4"/>
        <v>48119</v>
      </c>
      <c r="B1947" s="241">
        <f t="shared" si="1"/>
        <v>2031</v>
      </c>
      <c r="C1947" s="241">
        <f t="shared" si="2"/>
        <v>9</v>
      </c>
      <c r="D1947" s="301" t="str">
        <f t="shared" si="3"/>
        <v>Sunday</v>
      </c>
      <c r="E1947" s="240"/>
      <c r="F1947" s="240"/>
      <c r="G1947" s="240"/>
      <c r="H1947" s="241"/>
      <c r="I1947" s="301"/>
      <c r="J1947" s="240"/>
      <c r="K1947" s="240"/>
      <c r="L1947" s="240"/>
      <c r="M1947" s="240"/>
      <c r="N1947" s="240"/>
      <c r="O1947" s="240"/>
      <c r="P1947" s="240"/>
      <c r="Q1947" s="240"/>
      <c r="R1947" s="240"/>
      <c r="S1947" s="240"/>
      <c r="T1947" s="240"/>
      <c r="U1947" s="240"/>
      <c r="V1947" s="240"/>
      <c r="W1947" s="240"/>
      <c r="X1947" s="240"/>
      <c r="Y1947" s="240"/>
      <c r="Z1947" s="240"/>
    </row>
    <row r="1948" ht="14.25" customHeight="1">
      <c r="A1948" s="302">
        <f t="shared" si="4"/>
        <v>48120</v>
      </c>
      <c r="B1948" s="241">
        <f t="shared" si="1"/>
        <v>2031</v>
      </c>
      <c r="C1948" s="241">
        <f t="shared" si="2"/>
        <v>9</v>
      </c>
      <c r="D1948" s="301" t="str">
        <f t="shared" si="3"/>
        <v>Monday</v>
      </c>
      <c r="E1948" s="240"/>
      <c r="F1948" s="240"/>
      <c r="G1948" s="240"/>
      <c r="H1948" s="241"/>
      <c r="I1948" s="301"/>
      <c r="J1948" s="240"/>
      <c r="K1948" s="240"/>
      <c r="L1948" s="240"/>
      <c r="M1948" s="240"/>
      <c r="N1948" s="240"/>
      <c r="O1948" s="240"/>
      <c r="P1948" s="240"/>
      <c r="Q1948" s="240"/>
      <c r="R1948" s="240"/>
      <c r="S1948" s="240"/>
      <c r="T1948" s="240"/>
      <c r="U1948" s="240"/>
      <c r="V1948" s="240"/>
      <c r="W1948" s="240"/>
      <c r="X1948" s="240"/>
      <c r="Y1948" s="240"/>
      <c r="Z1948" s="240"/>
    </row>
    <row r="1949" ht="14.25" customHeight="1">
      <c r="A1949" s="302">
        <f t="shared" si="4"/>
        <v>48121</v>
      </c>
      <c r="B1949" s="241">
        <f t="shared" si="1"/>
        <v>2031</v>
      </c>
      <c r="C1949" s="241">
        <f t="shared" si="2"/>
        <v>9</v>
      </c>
      <c r="D1949" s="301" t="str">
        <f t="shared" si="3"/>
        <v>Tuesday</v>
      </c>
      <c r="E1949" s="240"/>
      <c r="F1949" s="240"/>
      <c r="G1949" s="240"/>
      <c r="H1949" s="241"/>
      <c r="I1949" s="301"/>
      <c r="J1949" s="240"/>
      <c r="K1949" s="240"/>
      <c r="L1949" s="240"/>
      <c r="M1949" s="240"/>
      <c r="N1949" s="240"/>
      <c r="O1949" s="240"/>
      <c r="P1949" s="240"/>
      <c r="Q1949" s="240"/>
      <c r="R1949" s="240"/>
      <c r="S1949" s="240"/>
      <c r="T1949" s="240"/>
      <c r="U1949" s="240"/>
      <c r="V1949" s="240"/>
      <c r="W1949" s="240"/>
      <c r="X1949" s="240"/>
      <c r="Y1949" s="240"/>
      <c r="Z1949" s="240"/>
    </row>
    <row r="1950" ht="14.25" customHeight="1">
      <c r="A1950" s="302">
        <f t="shared" si="4"/>
        <v>48122</v>
      </c>
      <c r="B1950" s="241">
        <f t="shared" si="1"/>
        <v>2031</v>
      </c>
      <c r="C1950" s="241">
        <f t="shared" si="2"/>
        <v>10</v>
      </c>
      <c r="D1950" s="301" t="str">
        <f t="shared" si="3"/>
        <v>Wednesday</v>
      </c>
      <c r="E1950" s="240"/>
      <c r="F1950" s="240"/>
      <c r="G1950" s="240"/>
      <c r="H1950" s="241"/>
      <c r="I1950" s="301"/>
      <c r="J1950" s="240"/>
      <c r="K1950" s="240"/>
      <c r="L1950" s="240"/>
      <c r="M1950" s="240"/>
      <c r="N1950" s="240"/>
      <c r="O1950" s="240"/>
      <c r="P1950" s="240"/>
      <c r="Q1950" s="240"/>
      <c r="R1950" s="240"/>
      <c r="S1950" s="240"/>
      <c r="T1950" s="240"/>
      <c r="U1950" s="240"/>
      <c r="V1950" s="240"/>
      <c r="W1950" s="240"/>
      <c r="X1950" s="240"/>
      <c r="Y1950" s="240"/>
      <c r="Z1950" s="240"/>
    </row>
    <row r="1951" ht="14.25" customHeight="1">
      <c r="A1951" s="302">
        <f t="shared" si="4"/>
        <v>48123</v>
      </c>
      <c r="B1951" s="241">
        <f t="shared" si="1"/>
        <v>2031</v>
      </c>
      <c r="C1951" s="241">
        <f t="shared" si="2"/>
        <v>10</v>
      </c>
      <c r="D1951" s="301" t="str">
        <f t="shared" si="3"/>
        <v>Thursday</v>
      </c>
      <c r="E1951" s="240"/>
      <c r="F1951" s="240"/>
      <c r="G1951" s="240"/>
      <c r="H1951" s="241"/>
      <c r="I1951" s="301"/>
      <c r="J1951" s="240"/>
      <c r="K1951" s="240"/>
      <c r="L1951" s="240"/>
      <c r="M1951" s="240"/>
      <c r="N1951" s="240"/>
      <c r="O1951" s="240"/>
      <c r="P1951" s="240"/>
      <c r="Q1951" s="240"/>
      <c r="R1951" s="240"/>
      <c r="S1951" s="240"/>
      <c r="T1951" s="240"/>
      <c r="U1951" s="240"/>
      <c r="V1951" s="240"/>
      <c r="W1951" s="240"/>
      <c r="X1951" s="240"/>
      <c r="Y1951" s="240"/>
      <c r="Z1951" s="240"/>
    </row>
    <row r="1952" ht="14.25" customHeight="1">
      <c r="A1952" s="302">
        <f t="shared" si="4"/>
        <v>48124</v>
      </c>
      <c r="B1952" s="241">
        <f t="shared" si="1"/>
        <v>2031</v>
      </c>
      <c r="C1952" s="241">
        <f t="shared" si="2"/>
        <v>10</v>
      </c>
      <c r="D1952" s="301" t="str">
        <f t="shared" si="3"/>
        <v>Friday</v>
      </c>
      <c r="E1952" s="240"/>
      <c r="F1952" s="240"/>
      <c r="G1952" s="240"/>
      <c r="H1952" s="241"/>
      <c r="I1952" s="301"/>
      <c r="J1952" s="240"/>
      <c r="K1952" s="240"/>
      <c r="L1952" s="240"/>
      <c r="M1952" s="240"/>
      <c r="N1952" s="240"/>
      <c r="O1952" s="240"/>
      <c r="P1952" s="240"/>
      <c r="Q1952" s="240"/>
      <c r="R1952" s="240"/>
      <c r="S1952" s="240"/>
      <c r="T1952" s="240"/>
      <c r="U1952" s="240"/>
      <c r="V1952" s="240"/>
      <c r="W1952" s="240"/>
      <c r="X1952" s="240"/>
      <c r="Y1952" s="240"/>
      <c r="Z1952" s="240"/>
    </row>
    <row r="1953" ht="14.25" customHeight="1">
      <c r="A1953" s="302">
        <f t="shared" si="4"/>
        <v>48125</v>
      </c>
      <c r="B1953" s="241">
        <f t="shared" si="1"/>
        <v>2031</v>
      </c>
      <c r="C1953" s="241">
        <f t="shared" si="2"/>
        <v>10</v>
      </c>
      <c r="D1953" s="301" t="str">
        <f t="shared" si="3"/>
        <v>Saturday</v>
      </c>
      <c r="E1953" s="240"/>
      <c r="F1953" s="240"/>
      <c r="G1953" s="240"/>
      <c r="H1953" s="241"/>
      <c r="I1953" s="301"/>
      <c r="J1953" s="240"/>
      <c r="K1953" s="240"/>
      <c r="L1953" s="240"/>
      <c r="M1953" s="240"/>
      <c r="N1953" s="240"/>
      <c r="O1953" s="240"/>
      <c r="P1953" s="240"/>
      <c r="Q1953" s="240"/>
      <c r="R1953" s="240"/>
      <c r="S1953" s="240"/>
      <c r="T1953" s="240"/>
      <c r="U1953" s="240"/>
      <c r="V1953" s="240"/>
      <c r="W1953" s="240"/>
      <c r="X1953" s="240"/>
      <c r="Y1953" s="240"/>
      <c r="Z1953" s="240"/>
    </row>
    <row r="1954" ht="14.25" customHeight="1">
      <c r="A1954" s="302">
        <f t="shared" si="4"/>
        <v>48126</v>
      </c>
      <c r="B1954" s="241">
        <f t="shared" si="1"/>
        <v>2031</v>
      </c>
      <c r="C1954" s="241">
        <f t="shared" si="2"/>
        <v>10</v>
      </c>
      <c r="D1954" s="301" t="str">
        <f t="shared" si="3"/>
        <v>Sunday</v>
      </c>
      <c r="E1954" s="240"/>
      <c r="F1954" s="240"/>
      <c r="G1954" s="240"/>
      <c r="H1954" s="241"/>
      <c r="I1954" s="301"/>
      <c r="J1954" s="240"/>
      <c r="K1954" s="240"/>
      <c r="L1954" s="240"/>
      <c r="M1954" s="240"/>
      <c r="N1954" s="240"/>
      <c r="O1954" s="240"/>
      <c r="P1954" s="240"/>
      <c r="Q1954" s="240"/>
      <c r="R1954" s="240"/>
      <c r="S1954" s="240"/>
      <c r="T1954" s="240"/>
      <c r="U1954" s="240"/>
      <c r="V1954" s="240"/>
      <c r="W1954" s="240"/>
      <c r="X1954" s="240"/>
      <c r="Y1954" s="240"/>
      <c r="Z1954" s="240"/>
    </row>
    <row r="1955" ht="14.25" customHeight="1">
      <c r="A1955" s="302">
        <f t="shared" si="4"/>
        <v>48127</v>
      </c>
      <c r="B1955" s="241">
        <f t="shared" si="1"/>
        <v>2031</v>
      </c>
      <c r="C1955" s="241">
        <f t="shared" si="2"/>
        <v>10</v>
      </c>
      <c r="D1955" s="301" t="str">
        <f t="shared" si="3"/>
        <v>Monday</v>
      </c>
      <c r="E1955" s="240"/>
      <c r="F1955" s="240"/>
      <c r="G1955" s="240"/>
      <c r="H1955" s="241"/>
      <c r="I1955" s="301"/>
      <c r="J1955" s="240"/>
      <c r="K1955" s="240"/>
      <c r="L1955" s="240"/>
      <c r="M1955" s="240"/>
      <c r="N1955" s="240"/>
      <c r="O1955" s="240"/>
      <c r="P1955" s="240"/>
      <c r="Q1955" s="240"/>
      <c r="R1955" s="240"/>
      <c r="S1955" s="240"/>
      <c r="T1955" s="240"/>
      <c r="U1955" s="240"/>
      <c r="V1955" s="240"/>
      <c r="W1955" s="240"/>
      <c r="X1955" s="240"/>
      <c r="Y1955" s="240"/>
      <c r="Z1955" s="240"/>
    </row>
    <row r="1956" ht="14.25" customHeight="1">
      <c r="A1956" s="302">
        <f t="shared" si="4"/>
        <v>48128</v>
      </c>
      <c r="B1956" s="241">
        <f t="shared" si="1"/>
        <v>2031</v>
      </c>
      <c r="C1956" s="241">
        <f t="shared" si="2"/>
        <v>10</v>
      </c>
      <c r="D1956" s="301" t="str">
        <f t="shared" si="3"/>
        <v>Tuesday</v>
      </c>
      <c r="E1956" s="240"/>
      <c r="F1956" s="240"/>
      <c r="G1956" s="240"/>
      <c r="H1956" s="241"/>
      <c r="I1956" s="301"/>
      <c r="J1956" s="240"/>
      <c r="K1956" s="240"/>
      <c r="L1956" s="240"/>
      <c r="M1956" s="240"/>
      <c r="N1956" s="240"/>
      <c r="O1956" s="240"/>
      <c r="P1956" s="240"/>
      <c r="Q1956" s="240"/>
      <c r="R1956" s="240"/>
      <c r="S1956" s="240"/>
      <c r="T1956" s="240"/>
      <c r="U1956" s="240"/>
      <c r="V1956" s="240"/>
      <c r="W1956" s="240"/>
      <c r="X1956" s="240"/>
      <c r="Y1956" s="240"/>
      <c r="Z1956" s="240"/>
    </row>
    <row r="1957" ht="14.25" customHeight="1">
      <c r="A1957" s="302">
        <f t="shared" si="4"/>
        <v>48129</v>
      </c>
      <c r="B1957" s="241">
        <f t="shared" si="1"/>
        <v>2031</v>
      </c>
      <c r="C1957" s="241">
        <f t="shared" si="2"/>
        <v>10</v>
      </c>
      <c r="D1957" s="301" t="str">
        <f t="shared" si="3"/>
        <v>Wednesday</v>
      </c>
      <c r="E1957" s="240"/>
      <c r="F1957" s="240"/>
      <c r="G1957" s="240"/>
      <c r="H1957" s="241"/>
      <c r="I1957" s="301"/>
      <c r="J1957" s="240"/>
      <c r="K1957" s="240"/>
      <c r="L1957" s="240"/>
      <c r="M1957" s="240"/>
      <c r="N1957" s="240"/>
      <c r="O1957" s="240"/>
      <c r="P1957" s="240"/>
      <c r="Q1957" s="240"/>
      <c r="R1957" s="240"/>
      <c r="S1957" s="240"/>
      <c r="T1957" s="240"/>
      <c r="U1957" s="240"/>
      <c r="V1957" s="240"/>
      <c r="W1957" s="240"/>
      <c r="X1957" s="240"/>
      <c r="Y1957" s="240"/>
      <c r="Z1957" s="240"/>
    </row>
    <row r="1958" ht="14.25" customHeight="1">
      <c r="A1958" s="302">
        <f t="shared" si="4"/>
        <v>48130</v>
      </c>
      <c r="B1958" s="241">
        <f t="shared" si="1"/>
        <v>2031</v>
      </c>
      <c r="C1958" s="241">
        <f t="shared" si="2"/>
        <v>10</v>
      </c>
      <c r="D1958" s="301" t="str">
        <f t="shared" si="3"/>
        <v>Thursday</v>
      </c>
      <c r="E1958" s="240"/>
      <c r="F1958" s="240"/>
      <c r="G1958" s="240"/>
      <c r="H1958" s="241"/>
      <c r="I1958" s="301"/>
      <c r="J1958" s="240"/>
      <c r="K1958" s="240"/>
      <c r="L1958" s="240"/>
      <c r="M1958" s="240"/>
      <c r="N1958" s="240"/>
      <c r="O1958" s="240"/>
      <c r="P1958" s="240"/>
      <c r="Q1958" s="240"/>
      <c r="R1958" s="240"/>
      <c r="S1958" s="240"/>
      <c r="T1958" s="240"/>
      <c r="U1958" s="240"/>
      <c r="V1958" s="240"/>
      <c r="W1958" s="240"/>
      <c r="X1958" s="240"/>
      <c r="Y1958" s="240"/>
      <c r="Z1958" s="240"/>
    </row>
    <row r="1959" ht="14.25" customHeight="1">
      <c r="A1959" s="302">
        <f t="shared" si="4"/>
        <v>48131</v>
      </c>
      <c r="B1959" s="241">
        <f t="shared" si="1"/>
        <v>2031</v>
      </c>
      <c r="C1959" s="241">
        <f t="shared" si="2"/>
        <v>10</v>
      </c>
      <c r="D1959" s="301" t="str">
        <f t="shared" si="3"/>
        <v>Friday</v>
      </c>
      <c r="E1959" s="240"/>
      <c r="F1959" s="240"/>
      <c r="G1959" s="240"/>
      <c r="H1959" s="241"/>
      <c r="I1959" s="301"/>
      <c r="J1959" s="240"/>
      <c r="K1959" s="240"/>
      <c r="L1959" s="240"/>
      <c r="M1959" s="240"/>
      <c r="N1959" s="240"/>
      <c r="O1959" s="240"/>
      <c r="P1959" s="240"/>
      <c r="Q1959" s="240"/>
      <c r="R1959" s="240"/>
      <c r="S1959" s="240"/>
      <c r="T1959" s="240"/>
      <c r="U1959" s="240"/>
      <c r="V1959" s="240"/>
      <c r="W1959" s="240"/>
      <c r="X1959" s="240"/>
      <c r="Y1959" s="240"/>
      <c r="Z1959" s="240"/>
    </row>
    <row r="1960" ht="14.25" customHeight="1">
      <c r="A1960" s="302">
        <f t="shared" si="4"/>
        <v>48132</v>
      </c>
      <c r="B1960" s="241">
        <f t="shared" si="1"/>
        <v>2031</v>
      </c>
      <c r="C1960" s="241">
        <f t="shared" si="2"/>
        <v>10</v>
      </c>
      <c r="D1960" s="301" t="str">
        <f t="shared" si="3"/>
        <v>Saturday</v>
      </c>
      <c r="E1960" s="240"/>
      <c r="F1960" s="240"/>
      <c r="G1960" s="240"/>
      <c r="H1960" s="241"/>
      <c r="I1960" s="301"/>
      <c r="J1960" s="240"/>
      <c r="K1960" s="240"/>
      <c r="L1960" s="240"/>
      <c r="M1960" s="240"/>
      <c r="N1960" s="240"/>
      <c r="O1960" s="240"/>
      <c r="P1960" s="240"/>
      <c r="Q1960" s="240"/>
      <c r="R1960" s="240"/>
      <c r="S1960" s="240"/>
      <c r="T1960" s="240"/>
      <c r="U1960" s="240"/>
      <c r="V1960" s="240"/>
      <c r="W1960" s="240"/>
      <c r="X1960" s="240"/>
      <c r="Y1960" s="240"/>
      <c r="Z1960" s="240"/>
    </row>
    <row r="1961" ht="14.25" customHeight="1">
      <c r="A1961" s="302">
        <f t="shared" si="4"/>
        <v>48133</v>
      </c>
      <c r="B1961" s="241">
        <f t="shared" si="1"/>
        <v>2031</v>
      </c>
      <c r="C1961" s="241">
        <f t="shared" si="2"/>
        <v>10</v>
      </c>
      <c r="D1961" s="301" t="str">
        <f t="shared" si="3"/>
        <v>Sunday</v>
      </c>
      <c r="E1961" s="240"/>
      <c r="F1961" s="240"/>
      <c r="G1961" s="240"/>
      <c r="H1961" s="241"/>
      <c r="I1961" s="301"/>
      <c r="J1961" s="240"/>
      <c r="K1961" s="240"/>
      <c r="L1961" s="240"/>
      <c r="M1961" s="240"/>
      <c r="N1961" s="240"/>
      <c r="O1961" s="240"/>
      <c r="P1961" s="240"/>
      <c r="Q1961" s="240"/>
      <c r="R1961" s="240"/>
      <c r="S1961" s="240"/>
      <c r="T1961" s="240"/>
      <c r="U1961" s="240"/>
      <c r="V1961" s="240"/>
      <c r="W1961" s="240"/>
      <c r="X1961" s="240"/>
      <c r="Y1961" s="240"/>
      <c r="Z1961" s="240"/>
    </row>
    <row r="1962" ht="14.25" customHeight="1">
      <c r="A1962" s="302">
        <f t="shared" si="4"/>
        <v>48134</v>
      </c>
      <c r="B1962" s="241">
        <f t="shared" si="1"/>
        <v>2031</v>
      </c>
      <c r="C1962" s="241">
        <f t="shared" si="2"/>
        <v>10</v>
      </c>
      <c r="D1962" s="301" t="str">
        <f t="shared" si="3"/>
        <v>Monday</v>
      </c>
      <c r="E1962" s="240"/>
      <c r="F1962" s="240"/>
      <c r="G1962" s="240"/>
      <c r="H1962" s="241"/>
      <c r="I1962" s="301"/>
      <c r="J1962" s="240"/>
      <c r="K1962" s="240"/>
      <c r="L1962" s="240"/>
      <c r="M1962" s="240"/>
      <c r="N1962" s="240"/>
      <c r="O1962" s="240"/>
      <c r="P1962" s="240"/>
      <c r="Q1962" s="240"/>
      <c r="R1962" s="240"/>
      <c r="S1962" s="240"/>
      <c r="T1962" s="240"/>
      <c r="U1962" s="240"/>
      <c r="V1962" s="240"/>
      <c r="W1962" s="240"/>
      <c r="X1962" s="240"/>
      <c r="Y1962" s="240"/>
      <c r="Z1962" s="240"/>
    </row>
    <row r="1963" ht="14.25" customHeight="1">
      <c r="A1963" s="302">
        <f t="shared" si="4"/>
        <v>48135</v>
      </c>
      <c r="B1963" s="241">
        <f t="shared" si="1"/>
        <v>2031</v>
      </c>
      <c r="C1963" s="241">
        <f t="shared" si="2"/>
        <v>10</v>
      </c>
      <c r="D1963" s="301" t="str">
        <f t="shared" si="3"/>
        <v>Tuesday</v>
      </c>
      <c r="E1963" s="240"/>
      <c r="F1963" s="240"/>
      <c r="G1963" s="240"/>
      <c r="H1963" s="241"/>
      <c r="I1963" s="301"/>
      <c r="J1963" s="240"/>
      <c r="K1963" s="240"/>
      <c r="L1963" s="240"/>
      <c r="M1963" s="240"/>
      <c r="N1963" s="240"/>
      <c r="O1963" s="240"/>
      <c r="P1963" s="240"/>
      <c r="Q1963" s="240"/>
      <c r="R1963" s="240"/>
      <c r="S1963" s="240"/>
      <c r="T1963" s="240"/>
      <c r="U1963" s="240"/>
      <c r="V1963" s="240"/>
      <c r="W1963" s="240"/>
      <c r="X1963" s="240"/>
      <c r="Y1963" s="240"/>
      <c r="Z1963" s="240"/>
    </row>
    <row r="1964" ht="14.25" customHeight="1">
      <c r="A1964" s="302">
        <f t="shared" si="4"/>
        <v>48136</v>
      </c>
      <c r="B1964" s="241">
        <f t="shared" si="1"/>
        <v>2031</v>
      </c>
      <c r="C1964" s="241">
        <f t="shared" si="2"/>
        <v>10</v>
      </c>
      <c r="D1964" s="301" t="str">
        <f t="shared" si="3"/>
        <v>Wednesday</v>
      </c>
      <c r="E1964" s="240"/>
      <c r="F1964" s="240"/>
      <c r="G1964" s="240"/>
      <c r="H1964" s="241"/>
      <c r="I1964" s="301"/>
      <c r="J1964" s="240"/>
      <c r="K1964" s="240"/>
      <c r="L1964" s="240"/>
      <c r="M1964" s="240"/>
      <c r="N1964" s="240"/>
      <c r="O1964" s="240"/>
      <c r="P1964" s="240"/>
      <c r="Q1964" s="240"/>
      <c r="R1964" s="240"/>
      <c r="S1964" s="240"/>
      <c r="T1964" s="240"/>
      <c r="U1964" s="240"/>
      <c r="V1964" s="240"/>
      <c r="W1964" s="240"/>
      <c r="X1964" s="240"/>
      <c r="Y1964" s="240"/>
      <c r="Z1964" s="240"/>
    </row>
    <row r="1965" ht="14.25" customHeight="1">
      <c r="A1965" s="302">
        <f t="shared" si="4"/>
        <v>48137</v>
      </c>
      <c r="B1965" s="241">
        <f t="shared" si="1"/>
        <v>2031</v>
      </c>
      <c r="C1965" s="241">
        <f t="shared" si="2"/>
        <v>10</v>
      </c>
      <c r="D1965" s="301" t="str">
        <f t="shared" si="3"/>
        <v>Thursday</v>
      </c>
      <c r="E1965" s="240"/>
      <c r="F1965" s="240"/>
      <c r="G1965" s="240"/>
      <c r="H1965" s="241"/>
      <c r="I1965" s="301"/>
      <c r="J1965" s="240"/>
      <c r="K1965" s="240"/>
      <c r="L1965" s="240"/>
      <c r="M1965" s="240"/>
      <c r="N1965" s="240"/>
      <c r="O1965" s="240"/>
      <c r="P1965" s="240"/>
      <c r="Q1965" s="240"/>
      <c r="R1965" s="240"/>
      <c r="S1965" s="240"/>
      <c r="T1965" s="240"/>
      <c r="U1965" s="240"/>
      <c r="V1965" s="240"/>
      <c r="W1965" s="240"/>
      <c r="X1965" s="240"/>
      <c r="Y1965" s="240"/>
      <c r="Z1965" s="240"/>
    </row>
    <row r="1966" ht="14.25" customHeight="1">
      <c r="A1966" s="302">
        <f t="shared" si="4"/>
        <v>48138</v>
      </c>
      <c r="B1966" s="241">
        <f t="shared" si="1"/>
        <v>2031</v>
      </c>
      <c r="C1966" s="241">
        <f t="shared" si="2"/>
        <v>10</v>
      </c>
      <c r="D1966" s="301" t="str">
        <f t="shared" si="3"/>
        <v>Friday</v>
      </c>
      <c r="E1966" s="240"/>
      <c r="F1966" s="240"/>
      <c r="G1966" s="240"/>
      <c r="H1966" s="241"/>
      <c r="I1966" s="301"/>
      <c r="J1966" s="240"/>
      <c r="K1966" s="240"/>
      <c r="L1966" s="240"/>
      <c r="M1966" s="240"/>
      <c r="N1966" s="240"/>
      <c r="O1966" s="240"/>
      <c r="P1966" s="240"/>
      <c r="Q1966" s="240"/>
      <c r="R1966" s="240"/>
      <c r="S1966" s="240"/>
      <c r="T1966" s="240"/>
      <c r="U1966" s="240"/>
      <c r="V1966" s="240"/>
      <c r="W1966" s="240"/>
      <c r="X1966" s="240"/>
      <c r="Y1966" s="240"/>
      <c r="Z1966" s="240"/>
    </row>
    <row r="1967" ht="14.25" customHeight="1">
      <c r="A1967" s="302">
        <f t="shared" si="4"/>
        <v>48139</v>
      </c>
      <c r="B1967" s="241">
        <f t="shared" si="1"/>
        <v>2031</v>
      </c>
      <c r="C1967" s="241">
        <f t="shared" si="2"/>
        <v>10</v>
      </c>
      <c r="D1967" s="301" t="str">
        <f t="shared" si="3"/>
        <v>Saturday</v>
      </c>
      <c r="E1967" s="240"/>
      <c r="F1967" s="240"/>
      <c r="G1967" s="240"/>
      <c r="H1967" s="241"/>
      <c r="I1967" s="301"/>
      <c r="J1967" s="240"/>
      <c r="K1967" s="240"/>
      <c r="L1967" s="240"/>
      <c r="M1967" s="240"/>
      <c r="N1967" s="240"/>
      <c r="O1967" s="240"/>
      <c r="P1967" s="240"/>
      <c r="Q1967" s="240"/>
      <c r="R1967" s="240"/>
      <c r="S1967" s="240"/>
      <c r="T1967" s="240"/>
      <c r="U1967" s="240"/>
      <c r="V1967" s="240"/>
      <c r="W1967" s="240"/>
      <c r="X1967" s="240"/>
      <c r="Y1967" s="240"/>
      <c r="Z1967" s="240"/>
    </row>
    <row r="1968" ht="14.25" customHeight="1">
      <c r="A1968" s="302">
        <f t="shared" si="4"/>
        <v>48140</v>
      </c>
      <c r="B1968" s="241">
        <f t="shared" si="1"/>
        <v>2031</v>
      </c>
      <c r="C1968" s="241">
        <f t="shared" si="2"/>
        <v>10</v>
      </c>
      <c r="D1968" s="301" t="str">
        <f t="shared" si="3"/>
        <v>Sunday</v>
      </c>
      <c r="E1968" s="240"/>
      <c r="F1968" s="240"/>
      <c r="G1968" s="240"/>
      <c r="H1968" s="241"/>
      <c r="I1968" s="301"/>
      <c r="J1968" s="240"/>
      <c r="K1968" s="240"/>
      <c r="L1968" s="240"/>
      <c r="M1968" s="240"/>
      <c r="N1968" s="240"/>
      <c r="O1968" s="240"/>
      <c r="P1968" s="240"/>
      <c r="Q1968" s="240"/>
      <c r="R1968" s="240"/>
      <c r="S1968" s="240"/>
      <c r="T1968" s="240"/>
      <c r="U1968" s="240"/>
      <c r="V1968" s="240"/>
      <c r="W1968" s="240"/>
      <c r="X1968" s="240"/>
      <c r="Y1968" s="240"/>
      <c r="Z1968" s="240"/>
    </row>
    <row r="1969" ht="14.25" customHeight="1">
      <c r="A1969" s="302">
        <f t="shared" si="4"/>
        <v>48141</v>
      </c>
      <c r="B1969" s="241">
        <f t="shared" si="1"/>
        <v>2031</v>
      </c>
      <c r="C1969" s="241">
        <f t="shared" si="2"/>
        <v>10</v>
      </c>
      <c r="D1969" s="301" t="str">
        <f t="shared" si="3"/>
        <v>Monday</v>
      </c>
      <c r="E1969" s="240"/>
      <c r="F1969" s="240"/>
      <c r="G1969" s="240"/>
      <c r="H1969" s="241"/>
      <c r="I1969" s="301"/>
      <c r="J1969" s="240"/>
      <c r="K1969" s="240"/>
      <c r="L1969" s="240"/>
      <c r="M1969" s="240"/>
      <c r="N1969" s="240"/>
      <c r="O1969" s="240"/>
      <c r="P1969" s="240"/>
      <c r="Q1969" s="240"/>
      <c r="R1969" s="240"/>
      <c r="S1969" s="240"/>
      <c r="T1969" s="240"/>
      <c r="U1969" s="240"/>
      <c r="V1969" s="240"/>
      <c r="W1969" s="240"/>
      <c r="X1969" s="240"/>
      <c r="Y1969" s="240"/>
      <c r="Z1969" s="240"/>
    </row>
    <row r="1970" ht="14.25" customHeight="1">
      <c r="A1970" s="302">
        <f t="shared" si="4"/>
        <v>48142</v>
      </c>
      <c r="B1970" s="241">
        <f t="shared" si="1"/>
        <v>2031</v>
      </c>
      <c r="C1970" s="241">
        <f t="shared" si="2"/>
        <v>10</v>
      </c>
      <c r="D1970" s="301" t="str">
        <f t="shared" si="3"/>
        <v>Tuesday</v>
      </c>
      <c r="E1970" s="240"/>
      <c r="F1970" s="240"/>
      <c r="G1970" s="240"/>
      <c r="H1970" s="241"/>
      <c r="I1970" s="301"/>
      <c r="J1970" s="240"/>
      <c r="K1970" s="240"/>
      <c r="L1970" s="240"/>
      <c r="M1970" s="240"/>
      <c r="N1970" s="240"/>
      <c r="O1970" s="240"/>
      <c r="P1970" s="240"/>
      <c r="Q1970" s="240"/>
      <c r="R1970" s="240"/>
      <c r="S1970" s="240"/>
      <c r="T1970" s="240"/>
      <c r="U1970" s="240"/>
      <c r="V1970" s="240"/>
      <c r="W1970" s="240"/>
      <c r="X1970" s="240"/>
      <c r="Y1970" s="240"/>
      <c r="Z1970" s="240"/>
    </row>
    <row r="1971" ht="14.25" customHeight="1">
      <c r="A1971" s="302">
        <f t="shared" si="4"/>
        <v>48143</v>
      </c>
      <c r="B1971" s="241">
        <f t="shared" si="1"/>
        <v>2031</v>
      </c>
      <c r="C1971" s="241">
        <f t="shared" si="2"/>
        <v>10</v>
      </c>
      <c r="D1971" s="301" t="str">
        <f t="shared" si="3"/>
        <v>Wednesday</v>
      </c>
      <c r="E1971" s="240"/>
      <c r="F1971" s="240"/>
      <c r="G1971" s="240"/>
      <c r="H1971" s="241"/>
      <c r="I1971" s="301"/>
      <c r="J1971" s="240"/>
      <c r="K1971" s="240"/>
      <c r="L1971" s="240"/>
      <c r="M1971" s="240"/>
      <c r="N1971" s="240"/>
      <c r="O1971" s="240"/>
      <c r="P1971" s="240"/>
      <c r="Q1971" s="240"/>
      <c r="R1971" s="240"/>
      <c r="S1971" s="240"/>
      <c r="T1971" s="240"/>
      <c r="U1971" s="240"/>
      <c r="V1971" s="240"/>
      <c r="W1971" s="240"/>
      <c r="X1971" s="240"/>
      <c r="Y1971" s="240"/>
      <c r="Z1971" s="240"/>
    </row>
    <row r="1972" ht="14.25" customHeight="1">
      <c r="A1972" s="302">
        <f t="shared" si="4"/>
        <v>48144</v>
      </c>
      <c r="B1972" s="241">
        <f t="shared" si="1"/>
        <v>2031</v>
      </c>
      <c r="C1972" s="241">
        <f t="shared" si="2"/>
        <v>10</v>
      </c>
      <c r="D1972" s="301" t="str">
        <f t="shared" si="3"/>
        <v>Thursday</v>
      </c>
      <c r="E1972" s="240"/>
      <c r="F1972" s="240"/>
      <c r="G1972" s="240"/>
      <c r="H1972" s="241"/>
      <c r="I1972" s="301"/>
      <c r="J1972" s="240"/>
      <c r="K1972" s="240"/>
      <c r="L1972" s="240"/>
      <c r="M1972" s="240"/>
      <c r="N1972" s="240"/>
      <c r="O1972" s="240"/>
      <c r="P1972" s="240"/>
      <c r="Q1972" s="240"/>
      <c r="R1972" s="240"/>
      <c r="S1972" s="240"/>
      <c r="T1972" s="240"/>
      <c r="U1972" s="240"/>
      <c r="V1972" s="240"/>
      <c r="W1972" s="240"/>
      <c r="X1972" s="240"/>
      <c r="Y1972" s="240"/>
      <c r="Z1972" s="240"/>
    </row>
    <row r="1973" ht="14.25" customHeight="1">
      <c r="A1973" s="302">
        <f t="shared" si="4"/>
        <v>48145</v>
      </c>
      <c r="B1973" s="241">
        <f t="shared" si="1"/>
        <v>2031</v>
      </c>
      <c r="C1973" s="241">
        <f t="shared" si="2"/>
        <v>10</v>
      </c>
      <c r="D1973" s="301" t="str">
        <f t="shared" si="3"/>
        <v>Friday</v>
      </c>
      <c r="E1973" s="240"/>
      <c r="F1973" s="240"/>
      <c r="G1973" s="240"/>
      <c r="H1973" s="241"/>
      <c r="I1973" s="301"/>
      <c r="J1973" s="240"/>
      <c r="K1973" s="240"/>
      <c r="L1973" s="240"/>
      <c r="M1973" s="240"/>
      <c r="N1973" s="240"/>
      <c r="O1973" s="240"/>
      <c r="P1973" s="240"/>
      <c r="Q1973" s="240"/>
      <c r="R1973" s="240"/>
      <c r="S1973" s="240"/>
      <c r="T1973" s="240"/>
      <c r="U1973" s="240"/>
      <c r="V1973" s="240"/>
      <c r="W1973" s="240"/>
      <c r="X1973" s="240"/>
      <c r="Y1973" s="240"/>
      <c r="Z1973" s="240"/>
    </row>
    <row r="1974" ht="14.25" customHeight="1">
      <c r="A1974" s="302">
        <f t="shared" si="4"/>
        <v>48146</v>
      </c>
      <c r="B1974" s="241">
        <f t="shared" si="1"/>
        <v>2031</v>
      </c>
      <c r="C1974" s="241">
        <f t="shared" si="2"/>
        <v>10</v>
      </c>
      <c r="D1974" s="301" t="str">
        <f t="shared" si="3"/>
        <v>Saturday</v>
      </c>
      <c r="E1974" s="240"/>
      <c r="F1974" s="240"/>
      <c r="G1974" s="240"/>
      <c r="H1974" s="241"/>
      <c r="I1974" s="301"/>
      <c r="J1974" s="240"/>
      <c r="K1974" s="240"/>
      <c r="L1974" s="240"/>
      <c r="M1974" s="240"/>
      <c r="N1974" s="240"/>
      <c r="O1974" s="240"/>
      <c r="P1974" s="240"/>
      <c r="Q1974" s="240"/>
      <c r="R1974" s="240"/>
      <c r="S1974" s="240"/>
      <c r="T1974" s="240"/>
      <c r="U1974" s="240"/>
      <c r="V1974" s="240"/>
      <c r="W1974" s="240"/>
      <c r="X1974" s="240"/>
      <c r="Y1974" s="240"/>
      <c r="Z1974" s="240"/>
    </row>
    <row r="1975" ht="14.25" customHeight="1">
      <c r="A1975" s="302">
        <f t="shared" si="4"/>
        <v>48147</v>
      </c>
      <c r="B1975" s="241">
        <f t="shared" si="1"/>
        <v>2031</v>
      </c>
      <c r="C1975" s="241">
        <f t="shared" si="2"/>
        <v>10</v>
      </c>
      <c r="D1975" s="301" t="str">
        <f t="shared" si="3"/>
        <v>Sunday</v>
      </c>
      <c r="E1975" s="240"/>
      <c r="F1975" s="240"/>
      <c r="G1975" s="240"/>
      <c r="H1975" s="241"/>
      <c r="I1975" s="301"/>
      <c r="J1975" s="240"/>
      <c r="K1975" s="240"/>
      <c r="L1975" s="240"/>
      <c r="M1975" s="240"/>
      <c r="N1975" s="240"/>
      <c r="O1975" s="240"/>
      <c r="P1975" s="240"/>
      <c r="Q1975" s="240"/>
      <c r="R1975" s="240"/>
      <c r="S1975" s="240"/>
      <c r="T1975" s="240"/>
      <c r="U1975" s="240"/>
      <c r="V1975" s="240"/>
      <c r="W1975" s="240"/>
      <c r="X1975" s="240"/>
      <c r="Y1975" s="240"/>
      <c r="Z1975" s="240"/>
    </row>
    <row r="1976" ht="14.25" customHeight="1">
      <c r="A1976" s="302">
        <f t="shared" si="4"/>
        <v>48148</v>
      </c>
      <c r="B1976" s="241">
        <f t="shared" si="1"/>
        <v>2031</v>
      </c>
      <c r="C1976" s="241">
        <f t="shared" si="2"/>
        <v>10</v>
      </c>
      <c r="D1976" s="301" t="str">
        <f t="shared" si="3"/>
        <v>Monday</v>
      </c>
      <c r="E1976" s="240"/>
      <c r="F1976" s="240"/>
      <c r="G1976" s="240"/>
      <c r="H1976" s="241"/>
      <c r="I1976" s="301"/>
      <c r="J1976" s="240"/>
      <c r="K1976" s="240"/>
      <c r="L1976" s="240"/>
      <c r="M1976" s="240"/>
      <c r="N1976" s="240"/>
      <c r="O1976" s="240"/>
      <c r="P1976" s="240"/>
      <c r="Q1976" s="240"/>
      <c r="R1976" s="240"/>
      <c r="S1976" s="240"/>
      <c r="T1976" s="240"/>
      <c r="U1976" s="240"/>
      <c r="V1976" s="240"/>
      <c r="W1976" s="240"/>
      <c r="X1976" s="240"/>
      <c r="Y1976" s="240"/>
      <c r="Z1976" s="240"/>
    </row>
    <row r="1977" ht="14.25" customHeight="1">
      <c r="A1977" s="302">
        <f t="shared" si="4"/>
        <v>48149</v>
      </c>
      <c r="B1977" s="241">
        <f t="shared" si="1"/>
        <v>2031</v>
      </c>
      <c r="C1977" s="241">
        <f t="shared" si="2"/>
        <v>10</v>
      </c>
      <c r="D1977" s="301" t="str">
        <f t="shared" si="3"/>
        <v>Tuesday</v>
      </c>
      <c r="E1977" s="240"/>
      <c r="F1977" s="240"/>
      <c r="G1977" s="240"/>
      <c r="H1977" s="241"/>
      <c r="I1977" s="301"/>
      <c r="J1977" s="240"/>
      <c r="K1977" s="240"/>
      <c r="L1977" s="240"/>
      <c r="M1977" s="240"/>
      <c r="N1977" s="240"/>
      <c r="O1977" s="240"/>
      <c r="P1977" s="240"/>
      <c r="Q1977" s="240"/>
      <c r="R1977" s="240"/>
      <c r="S1977" s="240"/>
      <c r="T1977" s="240"/>
      <c r="U1977" s="240"/>
      <c r="V1977" s="240"/>
      <c r="W1977" s="240"/>
      <c r="X1977" s="240"/>
      <c r="Y1977" s="240"/>
      <c r="Z1977" s="240"/>
    </row>
    <row r="1978" ht="14.25" customHeight="1">
      <c r="A1978" s="302">
        <f t="shared" si="4"/>
        <v>48150</v>
      </c>
      <c r="B1978" s="241">
        <f t="shared" si="1"/>
        <v>2031</v>
      </c>
      <c r="C1978" s="241">
        <f t="shared" si="2"/>
        <v>10</v>
      </c>
      <c r="D1978" s="301" t="str">
        <f t="shared" si="3"/>
        <v>Wednesday</v>
      </c>
      <c r="E1978" s="240"/>
      <c r="F1978" s="240"/>
      <c r="G1978" s="240"/>
      <c r="H1978" s="241"/>
      <c r="I1978" s="301"/>
      <c r="J1978" s="240"/>
      <c r="K1978" s="240"/>
      <c r="L1978" s="240"/>
      <c r="M1978" s="240"/>
      <c r="N1978" s="240"/>
      <c r="O1978" s="240"/>
      <c r="P1978" s="240"/>
      <c r="Q1978" s="240"/>
      <c r="R1978" s="240"/>
      <c r="S1978" s="240"/>
      <c r="T1978" s="240"/>
      <c r="U1978" s="240"/>
      <c r="V1978" s="240"/>
      <c r="W1978" s="240"/>
      <c r="X1978" s="240"/>
      <c r="Y1978" s="240"/>
      <c r="Z1978" s="240"/>
    </row>
    <row r="1979" ht="14.25" customHeight="1">
      <c r="A1979" s="302">
        <f t="shared" si="4"/>
        <v>48151</v>
      </c>
      <c r="B1979" s="241">
        <f t="shared" si="1"/>
        <v>2031</v>
      </c>
      <c r="C1979" s="241">
        <f t="shared" si="2"/>
        <v>10</v>
      </c>
      <c r="D1979" s="301" t="str">
        <f t="shared" si="3"/>
        <v>Thursday</v>
      </c>
      <c r="E1979" s="240"/>
      <c r="F1979" s="240"/>
      <c r="G1979" s="240"/>
      <c r="H1979" s="241"/>
      <c r="I1979" s="301"/>
      <c r="J1979" s="240"/>
      <c r="K1979" s="240"/>
      <c r="L1979" s="240"/>
      <c r="M1979" s="240"/>
      <c r="N1979" s="240"/>
      <c r="O1979" s="240"/>
      <c r="P1979" s="240"/>
      <c r="Q1979" s="240"/>
      <c r="R1979" s="240"/>
      <c r="S1979" s="240"/>
      <c r="T1979" s="240"/>
      <c r="U1979" s="240"/>
      <c r="V1979" s="240"/>
      <c r="W1979" s="240"/>
      <c r="X1979" s="240"/>
      <c r="Y1979" s="240"/>
      <c r="Z1979" s="240"/>
    </row>
    <row r="1980" ht="14.25" customHeight="1">
      <c r="A1980" s="302">
        <f t="shared" si="4"/>
        <v>48152</v>
      </c>
      <c r="B1980" s="241">
        <f t="shared" si="1"/>
        <v>2031</v>
      </c>
      <c r="C1980" s="241">
        <f t="shared" si="2"/>
        <v>10</v>
      </c>
      <c r="D1980" s="301" t="str">
        <f t="shared" si="3"/>
        <v>Friday</v>
      </c>
      <c r="E1980" s="240"/>
      <c r="F1980" s="240"/>
      <c r="G1980" s="240"/>
      <c r="H1980" s="241"/>
      <c r="I1980" s="301"/>
      <c r="J1980" s="240"/>
      <c r="K1980" s="240"/>
      <c r="L1980" s="240"/>
      <c r="M1980" s="240"/>
      <c r="N1980" s="240"/>
      <c r="O1980" s="240"/>
      <c r="P1980" s="240"/>
      <c r="Q1980" s="240"/>
      <c r="R1980" s="240"/>
      <c r="S1980" s="240"/>
      <c r="T1980" s="240"/>
      <c r="U1980" s="240"/>
      <c r="V1980" s="240"/>
      <c r="W1980" s="240"/>
      <c r="X1980" s="240"/>
      <c r="Y1980" s="240"/>
      <c r="Z1980" s="240"/>
    </row>
    <row r="1981" ht="14.25" customHeight="1">
      <c r="A1981" s="302">
        <f t="shared" si="4"/>
        <v>48153</v>
      </c>
      <c r="B1981" s="241">
        <f t="shared" si="1"/>
        <v>2031</v>
      </c>
      <c r="C1981" s="241">
        <f t="shared" si="2"/>
        <v>11</v>
      </c>
      <c r="D1981" s="301" t="str">
        <f t="shared" si="3"/>
        <v>Saturday</v>
      </c>
      <c r="E1981" s="240"/>
      <c r="F1981" s="240"/>
      <c r="G1981" s="240"/>
      <c r="H1981" s="241"/>
      <c r="I1981" s="301"/>
      <c r="J1981" s="240"/>
      <c r="K1981" s="240"/>
      <c r="L1981" s="240"/>
      <c r="M1981" s="240"/>
      <c r="N1981" s="240"/>
      <c r="O1981" s="240"/>
      <c r="P1981" s="240"/>
      <c r="Q1981" s="240"/>
      <c r="R1981" s="240"/>
      <c r="S1981" s="240"/>
      <c r="T1981" s="240"/>
      <c r="U1981" s="240"/>
      <c r="V1981" s="240"/>
      <c r="W1981" s="240"/>
      <c r="X1981" s="240"/>
      <c r="Y1981" s="240"/>
      <c r="Z1981" s="240"/>
    </row>
    <row r="1982" ht="14.25" customHeight="1">
      <c r="A1982" s="302">
        <f t="shared" si="4"/>
        <v>48154</v>
      </c>
      <c r="B1982" s="241">
        <f t="shared" si="1"/>
        <v>2031</v>
      </c>
      <c r="C1982" s="241">
        <f t="shared" si="2"/>
        <v>11</v>
      </c>
      <c r="D1982" s="301" t="str">
        <f t="shared" si="3"/>
        <v>Sunday</v>
      </c>
      <c r="E1982" s="240"/>
      <c r="F1982" s="240"/>
      <c r="G1982" s="240"/>
      <c r="H1982" s="241"/>
      <c r="I1982" s="301"/>
      <c r="J1982" s="240"/>
      <c r="K1982" s="240"/>
      <c r="L1982" s="240"/>
      <c r="M1982" s="240"/>
      <c r="N1982" s="240"/>
      <c r="O1982" s="240"/>
      <c r="P1982" s="240"/>
      <c r="Q1982" s="240"/>
      <c r="R1982" s="240"/>
      <c r="S1982" s="240"/>
      <c r="T1982" s="240"/>
      <c r="U1982" s="240"/>
      <c r="V1982" s="240"/>
      <c r="W1982" s="240"/>
      <c r="X1982" s="240"/>
      <c r="Y1982" s="240"/>
      <c r="Z1982" s="240"/>
    </row>
    <row r="1983" ht="14.25" customHeight="1">
      <c r="A1983" s="302">
        <f t="shared" si="4"/>
        <v>48155</v>
      </c>
      <c r="B1983" s="241">
        <f t="shared" si="1"/>
        <v>2031</v>
      </c>
      <c r="C1983" s="241">
        <f t="shared" si="2"/>
        <v>11</v>
      </c>
      <c r="D1983" s="301" t="str">
        <f t="shared" si="3"/>
        <v>Monday</v>
      </c>
      <c r="E1983" s="240"/>
      <c r="F1983" s="240"/>
      <c r="G1983" s="240"/>
      <c r="H1983" s="241"/>
      <c r="I1983" s="301"/>
      <c r="J1983" s="240"/>
      <c r="K1983" s="240"/>
      <c r="L1983" s="240"/>
      <c r="M1983" s="240"/>
      <c r="N1983" s="240"/>
      <c r="O1983" s="240"/>
      <c r="P1983" s="240"/>
      <c r="Q1983" s="240"/>
      <c r="R1983" s="240"/>
      <c r="S1983" s="240"/>
      <c r="T1983" s="240"/>
      <c r="U1983" s="240"/>
      <c r="V1983" s="240"/>
      <c r="W1983" s="240"/>
      <c r="X1983" s="240"/>
      <c r="Y1983" s="240"/>
      <c r="Z1983" s="240"/>
    </row>
    <row r="1984" ht="14.25" customHeight="1">
      <c r="A1984" s="302">
        <f t="shared" si="4"/>
        <v>48156</v>
      </c>
      <c r="B1984" s="241">
        <f t="shared" si="1"/>
        <v>2031</v>
      </c>
      <c r="C1984" s="241">
        <f t="shared" si="2"/>
        <v>11</v>
      </c>
      <c r="D1984" s="301" t="str">
        <f t="shared" si="3"/>
        <v>Tuesday</v>
      </c>
      <c r="E1984" s="240"/>
      <c r="F1984" s="240"/>
      <c r="G1984" s="240"/>
      <c r="H1984" s="241"/>
      <c r="I1984" s="301"/>
      <c r="J1984" s="240"/>
      <c r="K1984" s="240"/>
      <c r="L1984" s="240"/>
      <c r="M1984" s="240"/>
      <c r="N1984" s="240"/>
      <c r="O1984" s="240"/>
      <c r="P1984" s="240"/>
      <c r="Q1984" s="240"/>
      <c r="R1984" s="240"/>
      <c r="S1984" s="240"/>
      <c r="T1984" s="240"/>
      <c r="U1984" s="240"/>
      <c r="V1984" s="240"/>
      <c r="W1984" s="240"/>
      <c r="X1984" s="240"/>
      <c r="Y1984" s="240"/>
      <c r="Z1984" s="240"/>
    </row>
    <row r="1985" ht="14.25" customHeight="1">
      <c r="A1985" s="302">
        <f t="shared" si="4"/>
        <v>48157</v>
      </c>
      <c r="B1985" s="241">
        <f t="shared" si="1"/>
        <v>2031</v>
      </c>
      <c r="C1985" s="241">
        <f t="shared" si="2"/>
        <v>11</v>
      </c>
      <c r="D1985" s="301" t="str">
        <f t="shared" si="3"/>
        <v>Wednesday</v>
      </c>
      <c r="E1985" s="240"/>
      <c r="F1985" s="240"/>
      <c r="G1985" s="240"/>
      <c r="H1985" s="241"/>
      <c r="I1985" s="301"/>
      <c r="J1985" s="240"/>
      <c r="K1985" s="240"/>
      <c r="L1985" s="240"/>
      <c r="M1985" s="240"/>
      <c r="N1985" s="240"/>
      <c r="O1985" s="240"/>
      <c r="P1985" s="240"/>
      <c r="Q1985" s="240"/>
      <c r="R1985" s="240"/>
      <c r="S1985" s="240"/>
      <c r="T1985" s="240"/>
      <c r="U1985" s="240"/>
      <c r="V1985" s="240"/>
      <c r="W1985" s="240"/>
      <c r="X1985" s="240"/>
      <c r="Y1985" s="240"/>
      <c r="Z1985" s="240"/>
    </row>
    <row r="1986" ht="14.25" customHeight="1">
      <c r="A1986" s="302">
        <f t="shared" si="4"/>
        <v>48158</v>
      </c>
      <c r="B1986" s="241">
        <f t="shared" si="1"/>
        <v>2031</v>
      </c>
      <c r="C1986" s="241">
        <f t="shared" si="2"/>
        <v>11</v>
      </c>
      <c r="D1986" s="301" t="str">
        <f t="shared" si="3"/>
        <v>Thursday</v>
      </c>
      <c r="E1986" s="240"/>
      <c r="F1986" s="240"/>
      <c r="G1986" s="240"/>
      <c r="H1986" s="241"/>
      <c r="I1986" s="301"/>
      <c r="J1986" s="240"/>
      <c r="K1986" s="240"/>
      <c r="L1986" s="240"/>
      <c r="M1986" s="240"/>
      <c r="N1986" s="240"/>
      <c r="O1986" s="240"/>
      <c r="P1986" s="240"/>
      <c r="Q1986" s="240"/>
      <c r="R1986" s="240"/>
      <c r="S1986" s="240"/>
      <c r="T1986" s="240"/>
      <c r="U1986" s="240"/>
      <c r="V1986" s="240"/>
      <c r="W1986" s="240"/>
      <c r="X1986" s="240"/>
      <c r="Y1986" s="240"/>
      <c r="Z1986" s="240"/>
    </row>
    <row r="1987" ht="14.25" customHeight="1">
      <c r="A1987" s="302">
        <f t="shared" si="4"/>
        <v>48159</v>
      </c>
      <c r="B1987" s="241">
        <f t="shared" si="1"/>
        <v>2031</v>
      </c>
      <c r="C1987" s="241">
        <f t="shared" si="2"/>
        <v>11</v>
      </c>
      <c r="D1987" s="301" t="str">
        <f t="shared" si="3"/>
        <v>Friday</v>
      </c>
      <c r="E1987" s="240"/>
      <c r="F1987" s="240"/>
      <c r="G1987" s="240"/>
      <c r="H1987" s="241"/>
      <c r="I1987" s="301"/>
      <c r="J1987" s="240"/>
      <c r="K1987" s="240"/>
      <c r="L1987" s="240"/>
      <c r="M1987" s="240"/>
      <c r="N1987" s="240"/>
      <c r="O1987" s="240"/>
      <c r="P1987" s="240"/>
      <c r="Q1987" s="240"/>
      <c r="R1987" s="240"/>
      <c r="S1987" s="240"/>
      <c r="T1987" s="240"/>
      <c r="U1987" s="240"/>
      <c r="V1987" s="240"/>
      <c r="W1987" s="240"/>
      <c r="X1987" s="240"/>
      <c r="Y1987" s="240"/>
      <c r="Z1987" s="240"/>
    </row>
    <row r="1988" ht="14.25" customHeight="1">
      <c r="A1988" s="302">
        <f t="shared" si="4"/>
        <v>48160</v>
      </c>
      <c r="B1988" s="241">
        <f t="shared" si="1"/>
        <v>2031</v>
      </c>
      <c r="C1988" s="241">
        <f t="shared" si="2"/>
        <v>11</v>
      </c>
      <c r="D1988" s="301" t="str">
        <f t="shared" si="3"/>
        <v>Saturday</v>
      </c>
      <c r="E1988" s="240"/>
      <c r="F1988" s="240"/>
      <c r="G1988" s="240"/>
      <c r="H1988" s="241"/>
      <c r="I1988" s="301"/>
      <c r="J1988" s="240"/>
      <c r="K1988" s="240"/>
      <c r="L1988" s="240"/>
      <c r="M1988" s="240"/>
      <c r="N1988" s="240"/>
      <c r="O1988" s="240"/>
      <c r="P1988" s="240"/>
      <c r="Q1988" s="240"/>
      <c r="R1988" s="240"/>
      <c r="S1988" s="240"/>
      <c r="T1988" s="240"/>
      <c r="U1988" s="240"/>
      <c r="V1988" s="240"/>
      <c r="W1988" s="240"/>
      <c r="X1988" s="240"/>
      <c r="Y1988" s="240"/>
      <c r="Z1988" s="240"/>
    </row>
    <row r="1989" ht="14.25" customHeight="1">
      <c r="A1989" s="302">
        <f t="shared" si="4"/>
        <v>48161</v>
      </c>
      <c r="B1989" s="241">
        <f t="shared" si="1"/>
        <v>2031</v>
      </c>
      <c r="C1989" s="241">
        <f t="shared" si="2"/>
        <v>11</v>
      </c>
      <c r="D1989" s="301" t="str">
        <f t="shared" si="3"/>
        <v>Sunday</v>
      </c>
      <c r="E1989" s="240"/>
      <c r="F1989" s="240"/>
      <c r="G1989" s="240"/>
      <c r="H1989" s="241"/>
      <c r="I1989" s="301"/>
      <c r="J1989" s="240"/>
      <c r="K1989" s="240"/>
      <c r="L1989" s="240"/>
      <c r="M1989" s="240"/>
      <c r="N1989" s="240"/>
      <c r="O1989" s="240"/>
      <c r="P1989" s="240"/>
      <c r="Q1989" s="240"/>
      <c r="R1989" s="240"/>
      <c r="S1989" s="240"/>
      <c r="T1989" s="240"/>
      <c r="U1989" s="240"/>
      <c r="V1989" s="240"/>
      <c r="W1989" s="240"/>
      <c r="X1989" s="240"/>
      <c r="Y1989" s="240"/>
      <c r="Z1989" s="240"/>
    </row>
    <row r="1990" ht="14.25" customHeight="1">
      <c r="A1990" s="302">
        <f t="shared" si="4"/>
        <v>48162</v>
      </c>
      <c r="B1990" s="241">
        <f t="shared" si="1"/>
        <v>2031</v>
      </c>
      <c r="C1990" s="241">
        <f t="shared" si="2"/>
        <v>11</v>
      </c>
      <c r="D1990" s="301" t="str">
        <f t="shared" si="3"/>
        <v>Monday</v>
      </c>
      <c r="E1990" s="240"/>
      <c r="F1990" s="240"/>
      <c r="G1990" s="240"/>
      <c r="H1990" s="241"/>
      <c r="I1990" s="301"/>
      <c r="J1990" s="240"/>
      <c r="K1990" s="240"/>
      <c r="L1990" s="240"/>
      <c r="M1990" s="240"/>
      <c r="N1990" s="240"/>
      <c r="O1990" s="240"/>
      <c r="P1990" s="240"/>
      <c r="Q1990" s="240"/>
      <c r="R1990" s="240"/>
      <c r="S1990" s="240"/>
      <c r="T1990" s="240"/>
      <c r="U1990" s="240"/>
      <c r="V1990" s="240"/>
      <c r="W1990" s="240"/>
      <c r="X1990" s="240"/>
      <c r="Y1990" s="240"/>
      <c r="Z1990" s="240"/>
    </row>
    <row r="1991" ht="14.25" customHeight="1">
      <c r="A1991" s="302">
        <f t="shared" si="4"/>
        <v>48163</v>
      </c>
      <c r="B1991" s="241">
        <f t="shared" si="1"/>
        <v>2031</v>
      </c>
      <c r="C1991" s="241">
        <f t="shared" si="2"/>
        <v>11</v>
      </c>
      <c r="D1991" s="301" t="str">
        <f t="shared" si="3"/>
        <v>Tuesday</v>
      </c>
      <c r="E1991" s="240"/>
      <c r="F1991" s="240"/>
      <c r="G1991" s="240"/>
      <c r="H1991" s="241"/>
      <c r="I1991" s="301"/>
      <c r="J1991" s="240"/>
      <c r="K1991" s="240"/>
      <c r="L1991" s="240"/>
      <c r="M1991" s="240"/>
      <c r="N1991" s="240"/>
      <c r="O1991" s="240"/>
      <c r="P1991" s="240"/>
      <c r="Q1991" s="240"/>
      <c r="R1991" s="240"/>
      <c r="S1991" s="240"/>
      <c r="T1991" s="240"/>
      <c r="U1991" s="240"/>
      <c r="V1991" s="240"/>
      <c r="W1991" s="240"/>
      <c r="X1991" s="240"/>
      <c r="Y1991" s="240"/>
      <c r="Z1991" s="240"/>
    </row>
    <row r="1992" ht="14.25" customHeight="1">
      <c r="A1992" s="302">
        <f t="shared" si="4"/>
        <v>48164</v>
      </c>
      <c r="B1992" s="241">
        <f t="shared" si="1"/>
        <v>2031</v>
      </c>
      <c r="C1992" s="241">
        <f t="shared" si="2"/>
        <v>11</v>
      </c>
      <c r="D1992" s="301" t="str">
        <f t="shared" si="3"/>
        <v>Wednesday</v>
      </c>
      <c r="E1992" s="240"/>
      <c r="F1992" s="240"/>
      <c r="G1992" s="240"/>
      <c r="H1992" s="241"/>
      <c r="I1992" s="301"/>
      <c r="J1992" s="240"/>
      <c r="K1992" s="240"/>
      <c r="L1992" s="240"/>
      <c r="M1992" s="240"/>
      <c r="N1992" s="240"/>
      <c r="O1992" s="240"/>
      <c r="P1992" s="240"/>
      <c r="Q1992" s="240"/>
      <c r="R1992" s="240"/>
      <c r="S1992" s="240"/>
      <c r="T1992" s="240"/>
      <c r="U1992" s="240"/>
      <c r="V1992" s="240"/>
      <c r="W1992" s="240"/>
      <c r="X1992" s="240"/>
      <c r="Y1992" s="240"/>
      <c r="Z1992" s="240"/>
    </row>
    <row r="1993" ht="14.25" customHeight="1">
      <c r="A1993" s="302">
        <f t="shared" si="4"/>
        <v>48165</v>
      </c>
      <c r="B1993" s="241">
        <f t="shared" si="1"/>
        <v>2031</v>
      </c>
      <c r="C1993" s="241">
        <f t="shared" si="2"/>
        <v>11</v>
      </c>
      <c r="D1993" s="301" t="str">
        <f t="shared" si="3"/>
        <v>Thursday</v>
      </c>
      <c r="E1993" s="240"/>
      <c r="F1993" s="240"/>
      <c r="G1993" s="240"/>
      <c r="H1993" s="241"/>
      <c r="I1993" s="301"/>
      <c r="J1993" s="240"/>
      <c r="K1993" s="240"/>
      <c r="L1993" s="240"/>
      <c r="M1993" s="240"/>
      <c r="N1993" s="240"/>
      <c r="O1993" s="240"/>
      <c r="P1993" s="240"/>
      <c r="Q1993" s="240"/>
      <c r="R1993" s="240"/>
      <c r="S1993" s="240"/>
      <c r="T1993" s="240"/>
      <c r="U1993" s="240"/>
      <c r="V1993" s="240"/>
      <c r="W1993" s="240"/>
      <c r="X1993" s="240"/>
      <c r="Y1993" s="240"/>
      <c r="Z1993" s="240"/>
    </row>
    <row r="1994" ht="14.25" customHeight="1">
      <c r="A1994" s="302">
        <f t="shared" si="4"/>
        <v>48166</v>
      </c>
      <c r="B1994" s="241">
        <f t="shared" si="1"/>
        <v>2031</v>
      </c>
      <c r="C1994" s="241">
        <f t="shared" si="2"/>
        <v>11</v>
      </c>
      <c r="D1994" s="301" t="str">
        <f t="shared" si="3"/>
        <v>Friday</v>
      </c>
      <c r="E1994" s="240"/>
      <c r="F1994" s="240"/>
      <c r="G1994" s="240"/>
      <c r="H1994" s="241"/>
      <c r="I1994" s="301"/>
      <c r="J1994" s="240"/>
      <c r="K1994" s="240"/>
      <c r="L1994" s="240"/>
      <c r="M1994" s="240"/>
      <c r="N1994" s="240"/>
      <c r="O1994" s="240"/>
      <c r="P1994" s="240"/>
      <c r="Q1994" s="240"/>
      <c r="R1994" s="240"/>
      <c r="S1994" s="240"/>
      <c r="T1994" s="240"/>
      <c r="U1994" s="240"/>
      <c r="V1994" s="240"/>
      <c r="W1994" s="240"/>
      <c r="X1994" s="240"/>
      <c r="Y1994" s="240"/>
      <c r="Z1994" s="240"/>
    </row>
    <row r="1995" ht="14.25" customHeight="1">
      <c r="A1995" s="302">
        <f t="shared" si="4"/>
        <v>48167</v>
      </c>
      <c r="B1995" s="241">
        <f t="shared" si="1"/>
        <v>2031</v>
      </c>
      <c r="C1995" s="241">
        <f t="shared" si="2"/>
        <v>11</v>
      </c>
      <c r="D1995" s="301" t="str">
        <f t="shared" si="3"/>
        <v>Saturday</v>
      </c>
      <c r="E1995" s="240"/>
      <c r="F1995" s="240"/>
      <c r="G1995" s="240"/>
      <c r="H1995" s="241"/>
      <c r="I1995" s="301"/>
      <c r="J1995" s="240"/>
      <c r="K1995" s="240"/>
      <c r="L1995" s="240"/>
      <c r="M1995" s="240"/>
      <c r="N1995" s="240"/>
      <c r="O1995" s="240"/>
      <c r="P1995" s="240"/>
      <c r="Q1995" s="240"/>
      <c r="R1995" s="240"/>
      <c r="S1995" s="240"/>
      <c r="T1995" s="240"/>
      <c r="U1995" s="240"/>
      <c r="V1995" s="240"/>
      <c r="W1995" s="240"/>
      <c r="X1995" s="240"/>
      <c r="Y1995" s="240"/>
      <c r="Z1995" s="240"/>
    </row>
    <row r="1996" ht="14.25" customHeight="1">
      <c r="A1996" s="302">
        <f t="shared" si="4"/>
        <v>48168</v>
      </c>
      <c r="B1996" s="241">
        <f t="shared" si="1"/>
        <v>2031</v>
      </c>
      <c r="C1996" s="241">
        <f t="shared" si="2"/>
        <v>11</v>
      </c>
      <c r="D1996" s="301" t="str">
        <f t="shared" si="3"/>
        <v>Sunday</v>
      </c>
      <c r="E1996" s="240"/>
      <c r="F1996" s="240"/>
      <c r="G1996" s="240"/>
      <c r="H1996" s="241"/>
      <c r="I1996" s="301"/>
      <c r="J1996" s="240"/>
      <c r="K1996" s="240"/>
      <c r="L1996" s="240"/>
      <c r="M1996" s="240"/>
      <c r="N1996" s="240"/>
      <c r="O1996" s="240"/>
      <c r="P1996" s="240"/>
      <c r="Q1996" s="240"/>
      <c r="R1996" s="240"/>
      <c r="S1996" s="240"/>
      <c r="T1996" s="240"/>
      <c r="U1996" s="240"/>
      <c r="V1996" s="240"/>
      <c r="W1996" s="240"/>
      <c r="X1996" s="240"/>
      <c r="Y1996" s="240"/>
      <c r="Z1996" s="240"/>
    </row>
    <row r="1997" ht="14.25" customHeight="1">
      <c r="A1997" s="302">
        <f t="shared" si="4"/>
        <v>48169</v>
      </c>
      <c r="B1997" s="241">
        <f t="shared" si="1"/>
        <v>2031</v>
      </c>
      <c r="C1997" s="241">
        <f t="shared" si="2"/>
        <v>11</v>
      </c>
      <c r="D1997" s="301" t="str">
        <f t="shared" si="3"/>
        <v>Monday</v>
      </c>
      <c r="E1997" s="240"/>
      <c r="F1997" s="240"/>
      <c r="G1997" s="240"/>
      <c r="H1997" s="241"/>
      <c r="I1997" s="301"/>
      <c r="J1997" s="240"/>
      <c r="K1997" s="240"/>
      <c r="L1997" s="240"/>
      <c r="M1997" s="240"/>
      <c r="N1997" s="240"/>
      <c r="O1997" s="240"/>
      <c r="P1997" s="240"/>
      <c r="Q1997" s="240"/>
      <c r="R1997" s="240"/>
      <c r="S1997" s="240"/>
      <c r="T1997" s="240"/>
      <c r="U1997" s="240"/>
      <c r="V1997" s="240"/>
      <c r="W1997" s="240"/>
      <c r="X1997" s="240"/>
      <c r="Y1997" s="240"/>
      <c r="Z1997" s="240"/>
    </row>
    <row r="1998" ht="14.25" customHeight="1">
      <c r="A1998" s="302">
        <f t="shared" si="4"/>
        <v>48170</v>
      </c>
      <c r="B1998" s="241">
        <f t="shared" si="1"/>
        <v>2031</v>
      </c>
      <c r="C1998" s="241">
        <f t="shared" si="2"/>
        <v>11</v>
      </c>
      <c r="D1998" s="301" t="str">
        <f t="shared" si="3"/>
        <v>Tuesday</v>
      </c>
      <c r="E1998" s="240"/>
      <c r="F1998" s="240"/>
      <c r="G1998" s="240"/>
      <c r="H1998" s="241"/>
      <c r="I1998" s="301"/>
      <c r="J1998" s="240"/>
      <c r="K1998" s="240"/>
      <c r="L1998" s="240"/>
      <c r="M1998" s="240"/>
      <c r="N1998" s="240"/>
      <c r="O1998" s="240"/>
      <c r="P1998" s="240"/>
      <c r="Q1998" s="240"/>
      <c r="R1998" s="240"/>
      <c r="S1998" s="240"/>
      <c r="T1998" s="240"/>
      <c r="U1998" s="240"/>
      <c r="V1998" s="240"/>
      <c r="W1998" s="240"/>
      <c r="X1998" s="240"/>
      <c r="Y1998" s="240"/>
      <c r="Z1998" s="240"/>
    </row>
    <row r="1999" ht="14.25" customHeight="1">
      <c r="A1999" s="302">
        <f t="shared" si="4"/>
        <v>48171</v>
      </c>
      <c r="B1999" s="241">
        <f t="shared" si="1"/>
        <v>2031</v>
      </c>
      <c r="C1999" s="241">
        <f t="shared" si="2"/>
        <v>11</v>
      </c>
      <c r="D1999" s="301" t="str">
        <f t="shared" si="3"/>
        <v>Wednesday</v>
      </c>
      <c r="E1999" s="240"/>
      <c r="F1999" s="240"/>
      <c r="G1999" s="240"/>
      <c r="H1999" s="241"/>
      <c r="I1999" s="301"/>
      <c r="J1999" s="240"/>
      <c r="K1999" s="240"/>
      <c r="L1999" s="240"/>
      <c r="M1999" s="240"/>
      <c r="N1999" s="240"/>
      <c r="O1999" s="240"/>
      <c r="P1999" s="240"/>
      <c r="Q1999" s="240"/>
      <c r="R1999" s="240"/>
      <c r="S1999" s="240"/>
      <c r="T1999" s="240"/>
      <c r="U1999" s="240"/>
      <c r="V1999" s="240"/>
      <c r="W1999" s="240"/>
      <c r="X1999" s="240"/>
      <c r="Y1999" s="240"/>
      <c r="Z1999" s="240"/>
    </row>
    <row r="2000" ht="14.25" customHeight="1">
      <c r="A2000" s="302">
        <f t="shared" si="4"/>
        <v>48172</v>
      </c>
      <c r="B2000" s="241">
        <f t="shared" si="1"/>
        <v>2031</v>
      </c>
      <c r="C2000" s="241">
        <f t="shared" si="2"/>
        <v>11</v>
      </c>
      <c r="D2000" s="301" t="str">
        <f t="shared" si="3"/>
        <v>Thursday</v>
      </c>
      <c r="E2000" s="240"/>
      <c r="F2000" s="240"/>
      <c r="G2000" s="240"/>
      <c r="H2000" s="241"/>
      <c r="I2000" s="301"/>
      <c r="J2000" s="240"/>
      <c r="K2000" s="240"/>
      <c r="L2000" s="240"/>
      <c r="M2000" s="240"/>
      <c r="N2000" s="240"/>
      <c r="O2000" s="240"/>
      <c r="P2000" s="240"/>
      <c r="Q2000" s="240"/>
      <c r="R2000" s="240"/>
      <c r="S2000" s="240"/>
      <c r="T2000" s="240"/>
      <c r="U2000" s="240"/>
      <c r="V2000" s="240"/>
      <c r="W2000" s="240"/>
      <c r="X2000" s="240"/>
      <c r="Y2000" s="240"/>
      <c r="Z2000" s="240"/>
    </row>
    <row r="2001" ht="14.25" customHeight="1">
      <c r="A2001" s="302">
        <f t="shared" si="4"/>
        <v>48173</v>
      </c>
      <c r="B2001" s="241">
        <f t="shared" si="1"/>
        <v>2031</v>
      </c>
      <c r="C2001" s="241">
        <f t="shared" si="2"/>
        <v>11</v>
      </c>
      <c r="D2001" s="301" t="str">
        <f t="shared" si="3"/>
        <v>Friday</v>
      </c>
      <c r="E2001" s="240"/>
      <c r="F2001" s="240"/>
      <c r="G2001" s="240"/>
      <c r="H2001" s="241"/>
      <c r="I2001" s="301"/>
      <c r="J2001" s="240"/>
      <c r="K2001" s="240"/>
      <c r="L2001" s="240"/>
      <c r="M2001" s="240"/>
      <c r="N2001" s="240"/>
      <c r="O2001" s="240"/>
      <c r="P2001" s="240"/>
      <c r="Q2001" s="240"/>
      <c r="R2001" s="240"/>
      <c r="S2001" s="240"/>
      <c r="T2001" s="240"/>
      <c r="U2001" s="240"/>
      <c r="V2001" s="240"/>
      <c r="W2001" s="240"/>
      <c r="X2001" s="240"/>
      <c r="Y2001" s="240"/>
      <c r="Z2001" s="240"/>
    </row>
    <row r="2002" ht="14.25" customHeight="1">
      <c r="A2002" s="302">
        <f t="shared" si="4"/>
        <v>48174</v>
      </c>
      <c r="B2002" s="241">
        <f t="shared" si="1"/>
        <v>2031</v>
      </c>
      <c r="C2002" s="241">
        <f t="shared" si="2"/>
        <v>11</v>
      </c>
      <c r="D2002" s="301" t="str">
        <f t="shared" si="3"/>
        <v>Saturday</v>
      </c>
      <c r="E2002" s="240"/>
      <c r="F2002" s="240"/>
      <c r="G2002" s="240"/>
      <c r="H2002" s="241"/>
      <c r="I2002" s="301"/>
      <c r="J2002" s="240"/>
      <c r="K2002" s="240"/>
      <c r="L2002" s="240"/>
      <c r="M2002" s="240"/>
      <c r="N2002" s="240"/>
      <c r="O2002" s="240"/>
      <c r="P2002" s="240"/>
      <c r="Q2002" s="240"/>
      <c r="R2002" s="240"/>
      <c r="S2002" s="240"/>
      <c r="T2002" s="240"/>
      <c r="U2002" s="240"/>
      <c r="V2002" s="240"/>
      <c r="W2002" s="240"/>
      <c r="X2002" s="240"/>
      <c r="Y2002" s="240"/>
      <c r="Z2002" s="240"/>
    </row>
    <row r="2003" ht="14.25" customHeight="1">
      <c r="A2003" s="302">
        <f t="shared" si="4"/>
        <v>48175</v>
      </c>
      <c r="B2003" s="241">
        <f t="shared" si="1"/>
        <v>2031</v>
      </c>
      <c r="C2003" s="241">
        <f t="shared" si="2"/>
        <v>11</v>
      </c>
      <c r="D2003" s="301" t="str">
        <f t="shared" si="3"/>
        <v>Sunday</v>
      </c>
      <c r="E2003" s="240"/>
      <c r="F2003" s="240"/>
      <c r="G2003" s="240"/>
      <c r="H2003" s="241"/>
      <c r="I2003" s="301"/>
      <c r="J2003" s="240"/>
      <c r="K2003" s="240"/>
      <c r="L2003" s="240"/>
      <c r="M2003" s="240"/>
      <c r="N2003" s="240"/>
      <c r="O2003" s="240"/>
      <c r="P2003" s="240"/>
      <c r="Q2003" s="240"/>
      <c r="R2003" s="240"/>
      <c r="S2003" s="240"/>
      <c r="T2003" s="240"/>
      <c r="U2003" s="240"/>
      <c r="V2003" s="240"/>
      <c r="W2003" s="240"/>
      <c r="X2003" s="240"/>
      <c r="Y2003" s="240"/>
      <c r="Z2003" s="240"/>
    </row>
    <row r="2004" ht="14.25" customHeight="1">
      <c r="A2004" s="302">
        <f t="shared" si="4"/>
        <v>48176</v>
      </c>
      <c r="B2004" s="241">
        <f t="shared" si="1"/>
        <v>2031</v>
      </c>
      <c r="C2004" s="241">
        <f t="shared" si="2"/>
        <v>11</v>
      </c>
      <c r="D2004" s="301" t="str">
        <f t="shared" si="3"/>
        <v>Monday</v>
      </c>
      <c r="E2004" s="240"/>
      <c r="F2004" s="240"/>
      <c r="G2004" s="240"/>
      <c r="H2004" s="241"/>
      <c r="I2004" s="301"/>
      <c r="J2004" s="240"/>
      <c r="K2004" s="240"/>
      <c r="L2004" s="240"/>
      <c r="M2004" s="240"/>
      <c r="N2004" s="240"/>
      <c r="O2004" s="240"/>
      <c r="P2004" s="240"/>
      <c r="Q2004" s="240"/>
      <c r="R2004" s="240"/>
      <c r="S2004" s="240"/>
      <c r="T2004" s="240"/>
      <c r="U2004" s="240"/>
      <c r="V2004" s="240"/>
      <c r="W2004" s="240"/>
      <c r="X2004" s="240"/>
      <c r="Y2004" s="240"/>
      <c r="Z2004" s="240"/>
    </row>
    <row r="2005" ht="14.25" customHeight="1">
      <c r="A2005" s="302">
        <f t="shared" si="4"/>
        <v>48177</v>
      </c>
      <c r="B2005" s="241">
        <f t="shared" si="1"/>
        <v>2031</v>
      </c>
      <c r="C2005" s="241">
        <f t="shared" si="2"/>
        <v>11</v>
      </c>
      <c r="D2005" s="301" t="str">
        <f t="shared" si="3"/>
        <v>Tuesday</v>
      </c>
      <c r="E2005" s="240"/>
      <c r="F2005" s="240"/>
      <c r="G2005" s="240"/>
      <c r="H2005" s="241"/>
      <c r="I2005" s="301"/>
      <c r="J2005" s="240"/>
      <c r="K2005" s="240"/>
      <c r="L2005" s="240"/>
      <c r="M2005" s="240"/>
      <c r="N2005" s="240"/>
      <c r="O2005" s="240"/>
      <c r="P2005" s="240"/>
      <c r="Q2005" s="240"/>
      <c r="R2005" s="240"/>
      <c r="S2005" s="240"/>
      <c r="T2005" s="240"/>
      <c r="U2005" s="240"/>
      <c r="V2005" s="240"/>
      <c r="W2005" s="240"/>
      <c r="X2005" s="240"/>
      <c r="Y2005" s="240"/>
      <c r="Z2005" s="240"/>
    </row>
    <row r="2006" ht="14.25" customHeight="1">
      <c r="A2006" s="302">
        <f t="shared" si="4"/>
        <v>48178</v>
      </c>
      <c r="B2006" s="241">
        <f t="shared" si="1"/>
        <v>2031</v>
      </c>
      <c r="C2006" s="241">
        <f t="shared" si="2"/>
        <v>11</v>
      </c>
      <c r="D2006" s="301" t="str">
        <f t="shared" si="3"/>
        <v>Wednesday</v>
      </c>
      <c r="E2006" s="240"/>
      <c r="F2006" s="240"/>
      <c r="G2006" s="240"/>
      <c r="H2006" s="241"/>
      <c r="I2006" s="301"/>
      <c r="J2006" s="240"/>
      <c r="K2006" s="240"/>
      <c r="L2006" s="240"/>
      <c r="M2006" s="240"/>
      <c r="N2006" s="240"/>
      <c r="O2006" s="240"/>
      <c r="P2006" s="240"/>
      <c r="Q2006" s="240"/>
      <c r="R2006" s="240"/>
      <c r="S2006" s="240"/>
      <c r="T2006" s="240"/>
      <c r="U2006" s="240"/>
      <c r="V2006" s="240"/>
      <c r="W2006" s="240"/>
      <c r="X2006" s="240"/>
      <c r="Y2006" s="240"/>
      <c r="Z2006" s="240"/>
    </row>
    <row r="2007" ht="14.25" customHeight="1">
      <c r="A2007" s="302">
        <f t="shared" si="4"/>
        <v>48179</v>
      </c>
      <c r="B2007" s="241">
        <f t="shared" si="1"/>
        <v>2031</v>
      </c>
      <c r="C2007" s="241">
        <f t="shared" si="2"/>
        <v>11</v>
      </c>
      <c r="D2007" s="301" t="str">
        <f t="shared" si="3"/>
        <v>Thursday</v>
      </c>
      <c r="E2007" s="240"/>
      <c r="F2007" s="240"/>
      <c r="G2007" s="240"/>
      <c r="H2007" s="241"/>
      <c r="I2007" s="301"/>
      <c r="J2007" s="240"/>
      <c r="K2007" s="240"/>
      <c r="L2007" s="240"/>
      <c r="M2007" s="240"/>
      <c r="N2007" s="240"/>
      <c r="O2007" s="240"/>
      <c r="P2007" s="240"/>
      <c r="Q2007" s="240"/>
      <c r="R2007" s="240"/>
      <c r="S2007" s="240"/>
      <c r="T2007" s="240"/>
      <c r="U2007" s="240"/>
      <c r="V2007" s="240"/>
      <c r="W2007" s="240"/>
      <c r="X2007" s="240"/>
      <c r="Y2007" s="240"/>
      <c r="Z2007" s="240"/>
    </row>
    <row r="2008" ht="14.25" customHeight="1">
      <c r="A2008" s="302">
        <f t="shared" si="4"/>
        <v>48180</v>
      </c>
      <c r="B2008" s="241">
        <f t="shared" si="1"/>
        <v>2031</v>
      </c>
      <c r="C2008" s="241">
        <f t="shared" si="2"/>
        <v>11</v>
      </c>
      <c r="D2008" s="301" t="str">
        <f t="shared" si="3"/>
        <v>Friday</v>
      </c>
      <c r="E2008" s="240"/>
      <c r="F2008" s="240"/>
      <c r="G2008" s="240"/>
      <c r="H2008" s="241"/>
      <c r="I2008" s="301"/>
      <c r="J2008" s="240"/>
      <c r="K2008" s="240"/>
      <c r="L2008" s="240"/>
      <c r="M2008" s="240"/>
      <c r="N2008" s="240"/>
      <c r="O2008" s="240"/>
      <c r="P2008" s="240"/>
      <c r="Q2008" s="240"/>
      <c r="R2008" s="240"/>
      <c r="S2008" s="240"/>
      <c r="T2008" s="240"/>
      <c r="U2008" s="240"/>
      <c r="V2008" s="240"/>
      <c r="W2008" s="240"/>
      <c r="X2008" s="240"/>
      <c r="Y2008" s="240"/>
      <c r="Z2008" s="240"/>
    </row>
    <row r="2009" ht="14.25" customHeight="1">
      <c r="A2009" s="302">
        <f t="shared" si="4"/>
        <v>48181</v>
      </c>
      <c r="B2009" s="241">
        <f t="shared" si="1"/>
        <v>2031</v>
      </c>
      <c r="C2009" s="241">
        <f t="shared" si="2"/>
        <v>11</v>
      </c>
      <c r="D2009" s="301" t="str">
        <f t="shared" si="3"/>
        <v>Saturday</v>
      </c>
      <c r="E2009" s="240"/>
      <c r="F2009" s="240"/>
      <c r="G2009" s="240"/>
      <c r="H2009" s="241"/>
      <c r="I2009" s="301"/>
      <c r="J2009" s="240"/>
      <c r="K2009" s="240"/>
      <c r="L2009" s="240"/>
      <c r="M2009" s="240"/>
      <c r="N2009" s="240"/>
      <c r="O2009" s="240"/>
      <c r="P2009" s="240"/>
      <c r="Q2009" s="240"/>
      <c r="R2009" s="240"/>
      <c r="S2009" s="240"/>
      <c r="T2009" s="240"/>
      <c r="U2009" s="240"/>
      <c r="V2009" s="240"/>
      <c r="W2009" s="240"/>
      <c r="X2009" s="240"/>
      <c r="Y2009" s="240"/>
      <c r="Z2009" s="240"/>
    </row>
    <row r="2010" ht="14.25" customHeight="1">
      <c r="A2010" s="302">
        <f t="shared" si="4"/>
        <v>48182</v>
      </c>
      <c r="B2010" s="241">
        <f t="shared" si="1"/>
        <v>2031</v>
      </c>
      <c r="C2010" s="241">
        <f t="shared" si="2"/>
        <v>11</v>
      </c>
      <c r="D2010" s="301" t="str">
        <f t="shared" si="3"/>
        <v>Sunday</v>
      </c>
      <c r="E2010" s="240"/>
      <c r="F2010" s="240"/>
      <c r="G2010" s="240"/>
      <c r="H2010" s="241"/>
      <c r="I2010" s="301"/>
      <c r="J2010" s="240"/>
      <c r="K2010" s="240"/>
      <c r="L2010" s="240"/>
      <c r="M2010" s="240"/>
      <c r="N2010" s="240"/>
      <c r="O2010" s="240"/>
      <c r="P2010" s="240"/>
      <c r="Q2010" s="240"/>
      <c r="R2010" s="240"/>
      <c r="S2010" s="240"/>
      <c r="T2010" s="240"/>
      <c r="U2010" s="240"/>
      <c r="V2010" s="240"/>
      <c r="W2010" s="240"/>
      <c r="X2010" s="240"/>
      <c r="Y2010" s="240"/>
      <c r="Z2010" s="240"/>
    </row>
    <row r="2011" ht="14.25" customHeight="1">
      <c r="A2011" s="302">
        <f t="shared" si="4"/>
        <v>48183</v>
      </c>
      <c r="B2011" s="241">
        <f t="shared" si="1"/>
        <v>2031</v>
      </c>
      <c r="C2011" s="241">
        <f t="shared" si="2"/>
        <v>12</v>
      </c>
      <c r="D2011" s="301" t="str">
        <f t="shared" si="3"/>
        <v>Monday</v>
      </c>
      <c r="E2011" s="240"/>
      <c r="F2011" s="240"/>
      <c r="G2011" s="240"/>
      <c r="H2011" s="241"/>
      <c r="I2011" s="301"/>
      <c r="J2011" s="240"/>
      <c r="K2011" s="240"/>
      <c r="L2011" s="240"/>
      <c r="M2011" s="240"/>
      <c r="N2011" s="240"/>
      <c r="O2011" s="240"/>
      <c r="P2011" s="240"/>
      <c r="Q2011" s="240"/>
      <c r="R2011" s="240"/>
      <c r="S2011" s="240"/>
      <c r="T2011" s="240"/>
      <c r="U2011" s="240"/>
      <c r="V2011" s="240"/>
      <c r="W2011" s="240"/>
      <c r="X2011" s="240"/>
      <c r="Y2011" s="240"/>
      <c r="Z2011" s="240"/>
    </row>
    <row r="2012" ht="14.25" customHeight="1">
      <c r="A2012" s="302">
        <f t="shared" si="4"/>
        <v>48184</v>
      </c>
      <c r="B2012" s="241">
        <f t="shared" si="1"/>
        <v>2031</v>
      </c>
      <c r="C2012" s="241">
        <f t="shared" si="2"/>
        <v>12</v>
      </c>
      <c r="D2012" s="301" t="str">
        <f t="shared" si="3"/>
        <v>Tuesday</v>
      </c>
      <c r="E2012" s="240"/>
      <c r="F2012" s="240"/>
      <c r="G2012" s="240"/>
      <c r="H2012" s="241"/>
      <c r="I2012" s="301"/>
      <c r="J2012" s="240"/>
      <c r="K2012" s="240"/>
      <c r="L2012" s="240"/>
      <c r="M2012" s="240"/>
      <c r="N2012" s="240"/>
      <c r="O2012" s="240"/>
      <c r="P2012" s="240"/>
      <c r="Q2012" s="240"/>
      <c r="R2012" s="240"/>
      <c r="S2012" s="240"/>
      <c r="T2012" s="240"/>
      <c r="U2012" s="240"/>
      <c r="V2012" s="240"/>
      <c r="W2012" s="240"/>
      <c r="X2012" s="240"/>
      <c r="Y2012" s="240"/>
      <c r="Z2012" s="240"/>
    </row>
    <row r="2013" ht="14.25" customHeight="1">
      <c r="A2013" s="302">
        <f t="shared" si="4"/>
        <v>48185</v>
      </c>
      <c r="B2013" s="241">
        <f t="shared" si="1"/>
        <v>2031</v>
      </c>
      <c r="C2013" s="241">
        <f t="shared" si="2"/>
        <v>12</v>
      </c>
      <c r="D2013" s="301" t="str">
        <f t="shared" si="3"/>
        <v>Wednesday</v>
      </c>
      <c r="E2013" s="240"/>
      <c r="F2013" s="240"/>
      <c r="G2013" s="240"/>
      <c r="H2013" s="241"/>
      <c r="I2013" s="301"/>
      <c r="J2013" s="240"/>
      <c r="K2013" s="240"/>
      <c r="L2013" s="240"/>
      <c r="M2013" s="240"/>
      <c r="N2013" s="240"/>
      <c r="O2013" s="240"/>
      <c r="P2013" s="240"/>
      <c r="Q2013" s="240"/>
      <c r="R2013" s="240"/>
      <c r="S2013" s="240"/>
      <c r="T2013" s="240"/>
      <c r="U2013" s="240"/>
      <c r="V2013" s="240"/>
      <c r="W2013" s="240"/>
      <c r="X2013" s="240"/>
      <c r="Y2013" s="240"/>
      <c r="Z2013" s="240"/>
    </row>
    <row r="2014" ht="14.25" customHeight="1">
      <c r="A2014" s="302">
        <f t="shared" si="4"/>
        <v>48186</v>
      </c>
      <c r="B2014" s="241">
        <f t="shared" si="1"/>
        <v>2031</v>
      </c>
      <c r="C2014" s="241">
        <f t="shared" si="2"/>
        <v>12</v>
      </c>
      <c r="D2014" s="301" t="str">
        <f t="shared" si="3"/>
        <v>Thursday</v>
      </c>
      <c r="E2014" s="240"/>
      <c r="F2014" s="240"/>
      <c r="G2014" s="240"/>
      <c r="H2014" s="241"/>
      <c r="I2014" s="301"/>
      <c r="J2014" s="240"/>
      <c r="K2014" s="240"/>
      <c r="L2014" s="240"/>
      <c r="M2014" s="240"/>
      <c r="N2014" s="240"/>
      <c r="O2014" s="240"/>
      <c r="P2014" s="240"/>
      <c r="Q2014" s="240"/>
      <c r="R2014" s="240"/>
      <c r="S2014" s="240"/>
      <c r="T2014" s="240"/>
      <c r="U2014" s="240"/>
      <c r="V2014" s="240"/>
      <c r="W2014" s="240"/>
      <c r="X2014" s="240"/>
      <c r="Y2014" s="240"/>
      <c r="Z2014" s="240"/>
    </row>
    <row r="2015" ht="14.25" customHeight="1">
      <c r="A2015" s="302">
        <f t="shared" si="4"/>
        <v>48187</v>
      </c>
      <c r="B2015" s="241">
        <f t="shared" si="1"/>
        <v>2031</v>
      </c>
      <c r="C2015" s="241">
        <f t="shared" si="2"/>
        <v>12</v>
      </c>
      <c r="D2015" s="301" t="str">
        <f t="shared" si="3"/>
        <v>Friday</v>
      </c>
      <c r="E2015" s="240"/>
      <c r="F2015" s="240"/>
      <c r="G2015" s="240"/>
      <c r="H2015" s="241"/>
      <c r="I2015" s="301"/>
      <c r="J2015" s="240"/>
      <c r="K2015" s="240"/>
      <c r="L2015" s="240"/>
      <c r="M2015" s="240"/>
      <c r="N2015" s="240"/>
      <c r="O2015" s="240"/>
      <c r="P2015" s="240"/>
      <c r="Q2015" s="240"/>
      <c r="R2015" s="240"/>
      <c r="S2015" s="240"/>
      <c r="T2015" s="240"/>
      <c r="U2015" s="240"/>
      <c r="V2015" s="240"/>
      <c r="W2015" s="240"/>
      <c r="X2015" s="240"/>
      <c r="Y2015" s="240"/>
      <c r="Z2015" s="240"/>
    </row>
    <row r="2016" ht="14.25" customHeight="1">
      <c r="A2016" s="302">
        <f t="shared" si="4"/>
        <v>48188</v>
      </c>
      <c r="B2016" s="241">
        <f t="shared" si="1"/>
        <v>2031</v>
      </c>
      <c r="C2016" s="241">
        <f t="shared" si="2"/>
        <v>12</v>
      </c>
      <c r="D2016" s="301" t="str">
        <f t="shared" si="3"/>
        <v>Saturday</v>
      </c>
      <c r="E2016" s="240"/>
      <c r="F2016" s="240"/>
      <c r="G2016" s="240"/>
      <c r="H2016" s="241"/>
      <c r="I2016" s="301"/>
      <c r="J2016" s="240"/>
      <c r="K2016" s="240"/>
      <c r="L2016" s="240"/>
      <c r="M2016" s="240"/>
      <c r="N2016" s="240"/>
      <c r="O2016" s="240"/>
      <c r="P2016" s="240"/>
      <c r="Q2016" s="240"/>
      <c r="R2016" s="240"/>
      <c r="S2016" s="240"/>
      <c r="T2016" s="240"/>
      <c r="U2016" s="240"/>
      <c r="V2016" s="240"/>
      <c r="W2016" s="240"/>
      <c r="X2016" s="240"/>
      <c r="Y2016" s="240"/>
      <c r="Z2016" s="240"/>
    </row>
    <row r="2017" ht="14.25" customHeight="1">
      <c r="A2017" s="302">
        <f t="shared" si="4"/>
        <v>48189</v>
      </c>
      <c r="B2017" s="241">
        <f t="shared" si="1"/>
        <v>2031</v>
      </c>
      <c r="C2017" s="241">
        <f t="shared" si="2"/>
        <v>12</v>
      </c>
      <c r="D2017" s="301" t="str">
        <f t="shared" si="3"/>
        <v>Sunday</v>
      </c>
      <c r="E2017" s="240"/>
      <c r="F2017" s="240"/>
      <c r="G2017" s="240"/>
      <c r="H2017" s="241"/>
      <c r="I2017" s="301"/>
      <c r="J2017" s="240"/>
      <c r="K2017" s="240"/>
      <c r="L2017" s="240"/>
      <c r="M2017" s="240"/>
      <c r="N2017" s="240"/>
      <c r="O2017" s="240"/>
      <c r="P2017" s="240"/>
      <c r="Q2017" s="240"/>
      <c r="R2017" s="240"/>
      <c r="S2017" s="240"/>
      <c r="T2017" s="240"/>
      <c r="U2017" s="240"/>
      <c r="V2017" s="240"/>
      <c r="W2017" s="240"/>
      <c r="X2017" s="240"/>
      <c r="Y2017" s="240"/>
      <c r="Z2017" s="240"/>
    </row>
    <row r="2018" ht="14.25" customHeight="1">
      <c r="A2018" s="302">
        <f t="shared" si="4"/>
        <v>48190</v>
      </c>
      <c r="B2018" s="241">
        <f t="shared" si="1"/>
        <v>2031</v>
      </c>
      <c r="C2018" s="241">
        <f t="shared" si="2"/>
        <v>12</v>
      </c>
      <c r="D2018" s="301" t="str">
        <f t="shared" si="3"/>
        <v>Monday</v>
      </c>
      <c r="E2018" s="240"/>
      <c r="F2018" s="240"/>
      <c r="G2018" s="240"/>
      <c r="H2018" s="241"/>
      <c r="I2018" s="301"/>
      <c r="J2018" s="240"/>
      <c r="K2018" s="240"/>
      <c r="L2018" s="240"/>
      <c r="M2018" s="240"/>
      <c r="N2018" s="240"/>
      <c r="O2018" s="240"/>
      <c r="P2018" s="240"/>
      <c r="Q2018" s="240"/>
      <c r="R2018" s="240"/>
      <c r="S2018" s="240"/>
      <c r="T2018" s="240"/>
      <c r="U2018" s="240"/>
      <c r="V2018" s="240"/>
      <c r="W2018" s="240"/>
      <c r="X2018" s="240"/>
      <c r="Y2018" s="240"/>
      <c r="Z2018" s="240"/>
    </row>
    <row r="2019" ht="14.25" customHeight="1">
      <c r="A2019" s="302">
        <f t="shared" si="4"/>
        <v>48191</v>
      </c>
      <c r="B2019" s="241">
        <f t="shared" si="1"/>
        <v>2031</v>
      </c>
      <c r="C2019" s="241">
        <f t="shared" si="2"/>
        <v>12</v>
      </c>
      <c r="D2019" s="301" t="str">
        <f t="shared" si="3"/>
        <v>Tuesday</v>
      </c>
      <c r="E2019" s="240"/>
      <c r="F2019" s="240"/>
      <c r="G2019" s="240"/>
      <c r="H2019" s="241"/>
      <c r="I2019" s="301"/>
      <c r="J2019" s="240"/>
      <c r="K2019" s="240"/>
      <c r="L2019" s="240"/>
      <c r="M2019" s="240"/>
      <c r="N2019" s="240"/>
      <c r="O2019" s="240"/>
      <c r="P2019" s="240"/>
      <c r="Q2019" s="240"/>
      <c r="R2019" s="240"/>
      <c r="S2019" s="240"/>
      <c r="T2019" s="240"/>
      <c r="U2019" s="240"/>
      <c r="V2019" s="240"/>
      <c r="W2019" s="240"/>
      <c r="X2019" s="240"/>
      <c r="Y2019" s="240"/>
      <c r="Z2019" s="240"/>
    </row>
    <row r="2020" ht="14.25" customHeight="1">
      <c r="A2020" s="302">
        <f t="shared" si="4"/>
        <v>48192</v>
      </c>
      <c r="B2020" s="241">
        <f t="shared" si="1"/>
        <v>2031</v>
      </c>
      <c r="C2020" s="241">
        <f t="shared" si="2"/>
        <v>12</v>
      </c>
      <c r="D2020" s="301" t="str">
        <f t="shared" si="3"/>
        <v>Wednesday</v>
      </c>
      <c r="E2020" s="240"/>
      <c r="F2020" s="240"/>
      <c r="G2020" s="240"/>
      <c r="H2020" s="241"/>
      <c r="I2020" s="301"/>
      <c r="J2020" s="240"/>
      <c r="K2020" s="240"/>
      <c r="L2020" s="240"/>
      <c r="M2020" s="240"/>
      <c r="N2020" s="240"/>
      <c r="O2020" s="240"/>
      <c r="P2020" s="240"/>
      <c r="Q2020" s="240"/>
      <c r="R2020" s="240"/>
      <c r="S2020" s="240"/>
      <c r="T2020" s="240"/>
      <c r="U2020" s="240"/>
      <c r="V2020" s="240"/>
      <c r="W2020" s="240"/>
      <c r="X2020" s="240"/>
      <c r="Y2020" s="240"/>
      <c r="Z2020" s="240"/>
    </row>
    <row r="2021" ht="14.25" customHeight="1">
      <c r="A2021" s="302">
        <f t="shared" si="4"/>
        <v>48193</v>
      </c>
      <c r="B2021" s="241">
        <f t="shared" si="1"/>
        <v>2031</v>
      </c>
      <c r="C2021" s="241">
        <f t="shared" si="2"/>
        <v>12</v>
      </c>
      <c r="D2021" s="301" t="str">
        <f t="shared" si="3"/>
        <v>Thursday</v>
      </c>
      <c r="E2021" s="240"/>
      <c r="F2021" s="240"/>
      <c r="G2021" s="240"/>
      <c r="H2021" s="241"/>
      <c r="I2021" s="301"/>
      <c r="J2021" s="240"/>
      <c r="K2021" s="240"/>
      <c r="L2021" s="240"/>
      <c r="M2021" s="240"/>
      <c r="N2021" s="240"/>
      <c r="O2021" s="240"/>
      <c r="P2021" s="240"/>
      <c r="Q2021" s="240"/>
      <c r="R2021" s="240"/>
      <c r="S2021" s="240"/>
      <c r="T2021" s="240"/>
      <c r="U2021" s="240"/>
      <c r="V2021" s="240"/>
      <c r="W2021" s="240"/>
      <c r="X2021" s="240"/>
      <c r="Y2021" s="240"/>
      <c r="Z2021" s="240"/>
    </row>
    <row r="2022" ht="14.25" customHeight="1">
      <c r="A2022" s="302">
        <f t="shared" si="4"/>
        <v>48194</v>
      </c>
      <c r="B2022" s="241">
        <f t="shared" si="1"/>
        <v>2031</v>
      </c>
      <c r="C2022" s="241">
        <f t="shared" si="2"/>
        <v>12</v>
      </c>
      <c r="D2022" s="301" t="str">
        <f t="shared" si="3"/>
        <v>Friday</v>
      </c>
      <c r="E2022" s="240"/>
      <c r="F2022" s="240"/>
      <c r="G2022" s="240"/>
      <c r="H2022" s="241"/>
      <c r="I2022" s="301"/>
      <c r="J2022" s="240"/>
      <c r="K2022" s="240"/>
      <c r="L2022" s="240"/>
      <c r="M2022" s="240"/>
      <c r="N2022" s="240"/>
      <c r="O2022" s="240"/>
      <c r="P2022" s="240"/>
      <c r="Q2022" s="240"/>
      <c r="R2022" s="240"/>
      <c r="S2022" s="240"/>
      <c r="T2022" s="240"/>
      <c r="U2022" s="240"/>
      <c r="V2022" s="240"/>
      <c r="W2022" s="240"/>
      <c r="X2022" s="240"/>
      <c r="Y2022" s="240"/>
      <c r="Z2022" s="240"/>
    </row>
    <row r="2023" ht="14.25" customHeight="1">
      <c r="A2023" s="302">
        <f t="shared" si="4"/>
        <v>48195</v>
      </c>
      <c r="B2023" s="241">
        <f t="shared" si="1"/>
        <v>2031</v>
      </c>
      <c r="C2023" s="241">
        <f t="shared" si="2"/>
        <v>12</v>
      </c>
      <c r="D2023" s="301" t="str">
        <f t="shared" si="3"/>
        <v>Saturday</v>
      </c>
      <c r="E2023" s="240"/>
      <c r="F2023" s="240"/>
      <c r="G2023" s="240"/>
      <c r="H2023" s="241"/>
      <c r="I2023" s="301"/>
      <c r="J2023" s="240"/>
      <c r="K2023" s="240"/>
      <c r="L2023" s="240"/>
      <c r="M2023" s="240"/>
      <c r="N2023" s="240"/>
      <c r="O2023" s="240"/>
      <c r="P2023" s="240"/>
      <c r="Q2023" s="240"/>
      <c r="R2023" s="240"/>
      <c r="S2023" s="240"/>
      <c r="T2023" s="240"/>
      <c r="U2023" s="240"/>
      <c r="V2023" s="240"/>
      <c r="W2023" s="240"/>
      <c r="X2023" s="240"/>
      <c r="Y2023" s="240"/>
      <c r="Z2023" s="240"/>
    </row>
    <row r="2024" ht="14.25" customHeight="1">
      <c r="A2024" s="302">
        <f t="shared" si="4"/>
        <v>48196</v>
      </c>
      <c r="B2024" s="241">
        <f t="shared" si="1"/>
        <v>2031</v>
      </c>
      <c r="C2024" s="241">
        <f t="shared" si="2"/>
        <v>12</v>
      </c>
      <c r="D2024" s="301" t="str">
        <f t="shared" si="3"/>
        <v>Sunday</v>
      </c>
      <c r="E2024" s="240"/>
      <c r="F2024" s="240"/>
      <c r="G2024" s="240"/>
      <c r="H2024" s="241"/>
      <c r="I2024" s="301"/>
      <c r="J2024" s="240"/>
      <c r="K2024" s="240"/>
      <c r="L2024" s="240"/>
      <c r="M2024" s="240"/>
      <c r="N2024" s="240"/>
      <c r="O2024" s="240"/>
      <c r="P2024" s="240"/>
      <c r="Q2024" s="240"/>
      <c r="R2024" s="240"/>
      <c r="S2024" s="240"/>
      <c r="T2024" s="240"/>
      <c r="U2024" s="240"/>
      <c r="V2024" s="240"/>
      <c r="W2024" s="240"/>
      <c r="X2024" s="240"/>
      <c r="Y2024" s="240"/>
      <c r="Z2024" s="240"/>
    </row>
    <row r="2025" ht="14.25" customHeight="1">
      <c r="A2025" s="302">
        <f t="shared" si="4"/>
        <v>48197</v>
      </c>
      <c r="B2025" s="241">
        <f t="shared" si="1"/>
        <v>2031</v>
      </c>
      <c r="C2025" s="241">
        <f t="shared" si="2"/>
        <v>12</v>
      </c>
      <c r="D2025" s="301" t="str">
        <f t="shared" si="3"/>
        <v>Monday</v>
      </c>
      <c r="E2025" s="240"/>
      <c r="F2025" s="240"/>
      <c r="G2025" s="240"/>
      <c r="H2025" s="241"/>
      <c r="I2025" s="301"/>
      <c r="J2025" s="240"/>
      <c r="K2025" s="240"/>
      <c r="L2025" s="240"/>
      <c r="M2025" s="240"/>
      <c r="N2025" s="240"/>
      <c r="O2025" s="240"/>
      <c r="P2025" s="240"/>
      <c r="Q2025" s="240"/>
      <c r="R2025" s="240"/>
      <c r="S2025" s="240"/>
      <c r="T2025" s="240"/>
      <c r="U2025" s="240"/>
      <c r="V2025" s="240"/>
      <c r="W2025" s="240"/>
      <c r="X2025" s="240"/>
      <c r="Y2025" s="240"/>
      <c r="Z2025" s="240"/>
    </row>
    <row r="2026" ht="14.25" customHeight="1">
      <c r="A2026" s="302">
        <f t="shared" si="4"/>
        <v>48198</v>
      </c>
      <c r="B2026" s="241">
        <f t="shared" si="1"/>
        <v>2031</v>
      </c>
      <c r="C2026" s="241">
        <f t="shared" si="2"/>
        <v>12</v>
      </c>
      <c r="D2026" s="301" t="str">
        <f t="shared" si="3"/>
        <v>Tuesday</v>
      </c>
      <c r="E2026" s="240"/>
      <c r="F2026" s="240"/>
      <c r="G2026" s="240"/>
      <c r="H2026" s="241"/>
      <c r="I2026" s="301"/>
      <c r="J2026" s="240"/>
      <c r="K2026" s="240"/>
      <c r="L2026" s="240"/>
      <c r="M2026" s="240"/>
      <c r="N2026" s="240"/>
      <c r="O2026" s="240"/>
      <c r="P2026" s="240"/>
      <c r="Q2026" s="240"/>
      <c r="R2026" s="240"/>
      <c r="S2026" s="240"/>
      <c r="T2026" s="240"/>
      <c r="U2026" s="240"/>
      <c r="V2026" s="240"/>
      <c r="W2026" s="240"/>
      <c r="X2026" s="240"/>
      <c r="Y2026" s="240"/>
      <c r="Z2026" s="240"/>
    </row>
    <row r="2027" ht="14.25" customHeight="1">
      <c r="A2027" s="302">
        <f t="shared" si="4"/>
        <v>48199</v>
      </c>
      <c r="B2027" s="241">
        <f t="shared" si="1"/>
        <v>2031</v>
      </c>
      <c r="C2027" s="241">
        <f t="shared" si="2"/>
        <v>12</v>
      </c>
      <c r="D2027" s="301" t="str">
        <f t="shared" si="3"/>
        <v>Wednesday</v>
      </c>
      <c r="E2027" s="240"/>
      <c r="F2027" s="240"/>
      <c r="G2027" s="240"/>
      <c r="H2027" s="241"/>
      <c r="I2027" s="301"/>
      <c r="J2027" s="240"/>
      <c r="K2027" s="240"/>
      <c r="L2027" s="240"/>
      <c r="M2027" s="240"/>
      <c r="N2027" s="240"/>
      <c r="O2027" s="240"/>
      <c r="P2027" s="240"/>
      <c r="Q2027" s="240"/>
      <c r="R2027" s="240"/>
      <c r="S2027" s="240"/>
      <c r="T2027" s="240"/>
      <c r="U2027" s="240"/>
      <c r="V2027" s="240"/>
      <c r="W2027" s="240"/>
      <c r="X2027" s="240"/>
      <c r="Y2027" s="240"/>
      <c r="Z2027" s="240"/>
    </row>
    <row r="2028" ht="14.25" customHeight="1">
      <c r="A2028" s="302">
        <f t="shared" si="4"/>
        <v>48200</v>
      </c>
      <c r="B2028" s="241">
        <f t="shared" si="1"/>
        <v>2031</v>
      </c>
      <c r="C2028" s="241">
        <f t="shared" si="2"/>
        <v>12</v>
      </c>
      <c r="D2028" s="301" t="str">
        <f t="shared" si="3"/>
        <v>Thursday</v>
      </c>
      <c r="E2028" s="240"/>
      <c r="F2028" s="240"/>
      <c r="G2028" s="240"/>
      <c r="H2028" s="241"/>
      <c r="I2028" s="301"/>
      <c r="J2028" s="240"/>
      <c r="K2028" s="240"/>
      <c r="L2028" s="240"/>
      <c r="M2028" s="240"/>
      <c r="N2028" s="240"/>
      <c r="O2028" s="240"/>
      <c r="P2028" s="240"/>
      <c r="Q2028" s="240"/>
      <c r="R2028" s="240"/>
      <c r="S2028" s="240"/>
      <c r="T2028" s="240"/>
      <c r="U2028" s="240"/>
      <c r="V2028" s="240"/>
      <c r="W2028" s="240"/>
      <c r="X2028" s="240"/>
      <c r="Y2028" s="240"/>
      <c r="Z2028" s="240"/>
    </row>
    <row r="2029" ht="14.25" customHeight="1">
      <c r="A2029" s="302">
        <f t="shared" si="4"/>
        <v>48201</v>
      </c>
      <c r="B2029" s="241">
        <f t="shared" si="1"/>
        <v>2031</v>
      </c>
      <c r="C2029" s="241">
        <f t="shared" si="2"/>
        <v>12</v>
      </c>
      <c r="D2029" s="301" t="str">
        <f t="shared" si="3"/>
        <v>Friday</v>
      </c>
      <c r="E2029" s="240"/>
      <c r="F2029" s="240"/>
      <c r="G2029" s="240"/>
      <c r="H2029" s="241"/>
      <c r="I2029" s="301"/>
      <c r="J2029" s="240"/>
      <c r="K2029" s="240"/>
      <c r="L2029" s="240"/>
      <c r="M2029" s="240"/>
      <c r="N2029" s="240"/>
      <c r="O2029" s="240"/>
      <c r="P2029" s="240"/>
      <c r="Q2029" s="240"/>
      <c r="R2029" s="240"/>
      <c r="S2029" s="240"/>
      <c r="T2029" s="240"/>
      <c r="U2029" s="240"/>
      <c r="V2029" s="240"/>
      <c r="W2029" s="240"/>
      <c r="X2029" s="240"/>
      <c r="Y2029" s="240"/>
      <c r="Z2029" s="240"/>
    </row>
    <row r="2030" ht="14.25" customHeight="1">
      <c r="A2030" s="302">
        <f t="shared" si="4"/>
        <v>48202</v>
      </c>
      <c r="B2030" s="241">
        <f t="shared" si="1"/>
        <v>2031</v>
      </c>
      <c r="C2030" s="241">
        <f t="shared" si="2"/>
        <v>12</v>
      </c>
      <c r="D2030" s="301" t="str">
        <f t="shared" si="3"/>
        <v>Saturday</v>
      </c>
      <c r="E2030" s="240"/>
      <c r="F2030" s="240"/>
      <c r="G2030" s="240"/>
      <c r="H2030" s="241"/>
      <c r="I2030" s="301"/>
      <c r="J2030" s="240"/>
      <c r="K2030" s="240"/>
      <c r="L2030" s="240"/>
      <c r="M2030" s="240"/>
      <c r="N2030" s="240"/>
      <c r="O2030" s="240"/>
      <c r="P2030" s="240"/>
      <c r="Q2030" s="240"/>
      <c r="R2030" s="240"/>
      <c r="S2030" s="240"/>
      <c r="T2030" s="240"/>
      <c r="U2030" s="240"/>
      <c r="V2030" s="240"/>
      <c r="W2030" s="240"/>
      <c r="X2030" s="240"/>
      <c r="Y2030" s="240"/>
      <c r="Z2030" s="240"/>
    </row>
    <row r="2031" ht="14.25" customHeight="1">
      <c r="A2031" s="302">
        <f t="shared" si="4"/>
        <v>48203</v>
      </c>
      <c r="B2031" s="241">
        <f t="shared" si="1"/>
        <v>2031</v>
      </c>
      <c r="C2031" s="241">
        <f t="shared" si="2"/>
        <v>12</v>
      </c>
      <c r="D2031" s="301" t="str">
        <f t="shared" si="3"/>
        <v>Sunday</v>
      </c>
      <c r="E2031" s="240"/>
      <c r="F2031" s="240"/>
      <c r="G2031" s="240"/>
      <c r="H2031" s="241"/>
      <c r="I2031" s="301"/>
      <c r="J2031" s="240"/>
      <c r="K2031" s="240"/>
      <c r="L2031" s="240"/>
      <c r="M2031" s="240"/>
      <c r="N2031" s="240"/>
      <c r="O2031" s="240"/>
      <c r="P2031" s="240"/>
      <c r="Q2031" s="240"/>
      <c r="R2031" s="240"/>
      <c r="S2031" s="240"/>
      <c r="T2031" s="240"/>
      <c r="U2031" s="240"/>
      <c r="V2031" s="240"/>
      <c r="W2031" s="240"/>
      <c r="X2031" s="240"/>
      <c r="Y2031" s="240"/>
      <c r="Z2031" s="240"/>
    </row>
    <row r="2032" ht="14.25" customHeight="1">
      <c r="A2032" s="302">
        <f t="shared" si="4"/>
        <v>48204</v>
      </c>
      <c r="B2032" s="241">
        <f t="shared" si="1"/>
        <v>2031</v>
      </c>
      <c r="C2032" s="241">
        <f t="shared" si="2"/>
        <v>12</v>
      </c>
      <c r="D2032" s="301" t="str">
        <f t="shared" si="3"/>
        <v>Monday</v>
      </c>
      <c r="E2032" s="240"/>
      <c r="F2032" s="240"/>
      <c r="G2032" s="240"/>
      <c r="H2032" s="241"/>
      <c r="I2032" s="301"/>
      <c r="J2032" s="240"/>
      <c r="K2032" s="240"/>
      <c r="L2032" s="240"/>
      <c r="M2032" s="240"/>
      <c r="N2032" s="240"/>
      <c r="O2032" s="240"/>
      <c r="P2032" s="240"/>
      <c r="Q2032" s="240"/>
      <c r="R2032" s="240"/>
      <c r="S2032" s="240"/>
      <c r="T2032" s="240"/>
      <c r="U2032" s="240"/>
      <c r="V2032" s="240"/>
      <c r="W2032" s="240"/>
      <c r="X2032" s="240"/>
      <c r="Y2032" s="240"/>
      <c r="Z2032" s="240"/>
    </row>
    <row r="2033" ht="14.25" customHeight="1">
      <c r="A2033" s="302">
        <f t="shared" si="4"/>
        <v>48205</v>
      </c>
      <c r="B2033" s="241">
        <f t="shared" si="1"/>
        <v>2031</v>
      </c>
      <c r="C2033" s="241">
        <f t="shared" si="2"/>
        <v>12</v>
      </c>
      <c r="D2033" s="301" t="str">
        <f t="shared" si="3"/>
        <v>Tuesday</v>
      </c>
      <c r="E2033" s="240"/>
      <c r="F2033" s="240"/>
      <c r="G2033" s="240"/>
      <c r="H2033" s="241"/>
      <c r="I2033" s="301"/>
      <c r="J2033" s="240"/>
      <c r="K2033" s="240"/>
      <c r="L2033" s="240"/>
      <c r="M2033" s="240"/>
      <c r="N2033" s="240"/>
      <c r="O2033" s="240"/>
      <c r="P2033" s="240"/>
      <c r="Q2033" s="240"/>
      <c r="R2033" s="240"/>
      <c r="S2033" s="240"/>
      <c r="T2033" s="240"/>
      <c r="U2033" s="240"/>
      <c r="V2033" s="240"/>
      <c r="W2033" s="240"/>
      <c r="X2033" s="240"/>
      <c r="Y2033" s="240"/>
      <c r="Z2033" s="240"/>
    </row>
    <row r="2034" ht="14.25" customHeight="1">
      <c r="A2034" s="302">
        <f t="shared" si="4"/>
        <v>48206</v>
      </c>
      <c r="B2034" s="241">
        <f t="shared" si="1"/>
        <v>2031</v>
      </c>
      <c r="C2034" s="241">
        <f t="shared" si="2"/>
        <v>12</v>
      </c>
      <c r="D2034" s="301" t="str">
        <f t="shared" si="3"/>
        <v>Wednesday</v>
      </c>
      <c r="E2034" s="240"/>
      <c r="F2034" s="240"/>
      <c r="G2034" s="240"/>
      <c r="H2034" s="241"/>
      <c r="I2034" s="301"/>
      <c r="J2034" s="240"/>
      <c r="K2034" s="240"/>
      <c r="L2034" s="240"/>
      <c r="M2034" s="240"/>
      <c r="N2034" s="240"/>
      <c r="O2034" s="240"/>
      <c r="P2034" s="240"/>
      <c r="Q2034" s="240"/>
      <c r="R2034" s="240"/>
      <c r="S2034" s="240"/>
      <c r="T2034" s="240"/>
      <c r="U2034" s="240"/>
      <c r="V2034" s="240"/>
      <c r="W2034" s="240"/>
      <c r="X2034" s="240"/>
      <c r="Y2034" s="240"/>
      <c r="Z2034" s="240"/>
    </row>
    <row r="2035" ht="14.25" customHeight="1">
      <c r="A2035" s="302">
        <f t="shared" si="4"/>
        <v>48207</v>
      </c>
      <c r="B2035" s="241">
        <f t="shared" si="1"/>
        <v>2031</v>
      </c>
      <c r="C2035" s="241">
        <f t="shared" si="2"/>
        <v>12</v>
      </c>
      <c r="D2035" s="301" t="str">
        <f t="shared" si="3"/>
        <v>Thursday</v>
      </c>
      <c r="E2035" s="240"/>
      <c r="F2035" s="240"/>
      <c r="G2035" s="240"/>
      <c r="H2035" s="241"/>
      <c r="I2035" s="301"/>
      <c r="J2035" s="240"/>
      <c r="K2035" s="240"/>
      <c r="L2035" s="240"/>
      <c r="M2035" s="240"/>
      <c r="N2035" s="240"/>
      <c r="O2035" s="240"/>
      <c r="P2035" s="240"/>
      <c r="Q2035" s="240"/>
      <c r="R2035" s="240"/>
      <c r="S2035" s="240"/>
      <c r="T2035" s="240"/>
      <c r="U2035" s="240"/>
      <c r="V2035" s="240"/>
      <c r="W2035" s="240"/>
      <c r="X2035" s="240"/>
      <c r="Y2035" s="240"/>
      <c r="Z2035" s="240"/>
    </row>
    <row r="2036" ht="14.25" customHeight="1">
      <c r="A2036" s="302">
        <f t="shared" si="4"/>
        <v>48208</v>
      </c>
      <c r="B2036" s="241">
        <f t="shared" si="1"/>
        <v>2031</v>
      </c>
      <c r="C2036" s="241">
        <f t="shared" si="2"/>
        <v>12</v>
      </c>
      <c r="D2036" s="301" t="str">
        <f t="shared" si="3"/>
        <v>Friday</v>
      </c>
      <c r="E2036" s="240"/>
      <c r="F2036" s="240"/>
      <c r="G2036" s="240"/>
      <c r="H2036" s="241"/>
      <c r="I2036" s="301"/>
      <c r="J2036" s="240"/>
      <c r="K2036" s="240"/>
      <c r="L2036" s="240"/>
      <c r="M2036" s="240"/>
      <c r="N2036" s="240"/>
      <c r="O2036" s="240"/>
      <c r="P2036" s="240"/>
      <c r="Q2036" s="240"/>
      <c r="R2036" s="240"/>
      <c r="S2036" s="240"/>
      <c r="T2036" s="240"/>
      <c r="U2036" s="240"/>
      <c r="V2036" s="240"/>
      <c r="W2036" s="240"/>
      <c r="X2036" s="240"/>
      <c r="Y2036" s="240"/>
      <c r="Z2036" s="240"/>
    </row>
    <row r="2037" ht="14.25" customHeight="1">
      <c r="A2037" s="302">
        <f t="shared" si="4"/>
        <v>48209</v>
      </c>
      <c r="B2037" s="241">
        <f t="shared" si="1"/>
        <v>2031</v>
      </c>
      <c r="C2037" s="241">
        <f t="shared" si="2"/>
        <v>12</v>
      </c>
      <c r="D2037" s="301" t="str">
        <f t="shared" si="3"/>
        <v>Saturday</v>
      </c>
      <c r="E2037" s="240"/>
      <c r="F2037" s="240"/>
      <c r="G2037" s="240"/>
      <c r="H2037" s="241"/>
      <c r="I2037" s="301"/>
      <c r="J2037" s="240"/>
      <c r="K2037" s="240"/>
      <c r="L2037" s="240"/>
      <c r="M2037" s="240"/>
      <c r="N2037" s="240"/>
      <c r="O2037" s="240"/>
      <c r="P2037" s="240"/>
      <c r="Q2037" s="240"/>
      <c r="R2037" s="240"/>
      <c r="S2037" s="240"/>
      <c r="T2037" s="240"/>
      <c r="U2037" s="240"/>
      <c r="V2037" s="240"/>
      <c r="W2037" s="240"/>
      <c r="X2037" s="240"/>
      <c r="Y2037" s="240"/>
      <c r="Z2037" s="240"/>
    </row>
    <row r="2038" ht="14.25" customHeight="1">
      <c r="A2038" s="302">
        <f t="shared" si="4"/>
        <v>48210</v>
      </c>
      <c r="B2038" s="241">
        <f t="shared" si="1"/>
        <v>2031</v>
      </c>
      <c r="C2038" s="241">
        <f t="shared" si="2"/>
        <v>12</v>
      </c>
      <c r="D2038" s="301" t="str">
        <f t="shared" si="3"/>
        <v>Sunday</v>
      </c>
      <c r="E2038" s="240"/>
      <c r="F2038" s="240"/>
      <c r="G2038" s="240"/>
      <c r="H2038" s="241"/>
      <c r="I2038" s="301"/>
      <c r="J2038" s="240"/>
      <c r="K2038" s="240"/>
      <c r="L2038" s="240"/>
      <c r="M2038" s="240"/>
      <c r="N2038" s="240"/>
      <c r="O2038" s="240"/>
      <c r="P2038" s="240"/>
      <c r="Q2038" s="240"/>
      <c r="R2038" s="240"/>
      <c r="S2038" s="240"/>
      <c r="T2038" s="240"/>
      <c r="U2038" s="240"/>
      <c r="V2038" s="240"/>
      <c r="W2038" s="240"/>
      <c r="X2038" s="240"/>
      <c r="Y2038" s="240"/>
      <c r="Z2038" s="240"/>
    </row>
    <row r="2039" ht="14.25" customHeight="1">
      <c r="A2039" s="302">
        <f t="shared" si="4"/>
        <v>48211</v>
      </c>
      <c r="B2039" s="241">
        <f t="shared" si="1"/>
        <v>2031</v>
      </c>
      <c r="C2039" s="241">
        <f t="shared" si="2"/>
        <v>12</v>
      </c>
      <c r="D2039" s="301" t="str">
        <f t="shared" si="3"/>
        <v>Monday</v>
      </c>
      <c r="E2039" s="240"/>
      <c r="F2039" s="240"/>
      <c r="G2039" s="240"/>
      <c r="H2039" s="241"/>
      <c r="I2039" s="301"/>
      <c r="J2039" s="240"/>
      <c r="K2039" s="240"/>
      <c r="L2039" s="240"/>
      <c r="M2039" s="240"/>
      <c r="N2039" s="240"/>
      <c r="O2039" s="240"/>
      <c r="P2039" s="240"/>
      <c r="Q2039" s="240"/>
      <c r="R2039" s="240"/>
      <c r="S2039" s="240"/>
      <c r="T2039" s="240"/>
      <c r="U2039" s="240"/>
      <c r="V2039" s="240"/>
      <c r="W2039" s="240"/>
      <c r="X2039" s="240"/>
      <c r="Y2039" s="240"/>
      <c r="Z2039" s="240"/>
    </row>
    <row r="2040" ht="14.25" customHeight="1">
      <c r="A2040" s="302">
        <f t="shared" si="4"/>
        <v>48212</v>
      </c>
      <c r="B2040" s="241">
        <f t="shared" si="1"/>
        <v>2031</v>
      </c>
      <c r="C2040" s="241">
        <f t="shared" si="2"/>
        <v>12</v>
      </c>
      <c r="D2040" s="301" t="str">
        <f t="shared" si="3"/>
        <v>Tuesday</v>
      </c>
      <c r="E2040" s="240"/>
      <c r="F2040" s="240"/>
      <c r="G2040" s="240"/>
      <c r="H2040" s="241"/>
      <c r="I2040" s="301"/>
      <c r="J2040" s="240"/>
      <c r="K2040" s="240"/>
      <c r="L2040" s="240"/>
      <c r="M2040" s="240"/>
      <c r="N2040" s="240"/>
      <c r="O2040" s="240"/>
      <c r="P2040" s="240"/>
      <c r="Q2040" s="240"/>
      <c r="R2040" s="240"/>
      <c r="S2040" s="240"/>
      <c r="T2040" s="240"/>
      <c r="U2040" s="240"/>
      <c r="V2040" s="240"/>
      <c r="W2040" s="240"/>
      <c r="X2040" s="240"/>
      <c r="Y2040" s="240"/>
      <c r="Z2040" s="240"/>
    </row>
    <row r="2041" ht="14.25" customHeight="1">
      <c r="A2041" s="302">
        <f t="shared" si="4"/>
        <v>48213</v>
      </c>
      <c r="B2041" s="241">
        <f t="shared" si="1"/>
        <v>2031</v>
      </c>
      <c r="C2041" s="241">
        <f t="shared" si="2"/>
        <v>12</v>
      </c>
      <c r="D2041" s="301" t="str">
        <f t="shared" si="3"/>
        <v>Wednesday</v>
      </c>
      <c r="E2041" s="240"/>
      <c r="F2041" s="240"/>
      <c r="G2041" s="240"/>
      <c r="H2041" s="241"/>
      <c r="I2041" s="301"/>
      <c r="J2041" s="240"/>
      <c r="K2041" s="240"/>
      <c r="L2041" s="240"/>
      <c r="M2041" s="240"/>
      <c r="N2041" s="240"/>
      <c r="O2041" s="240"/>
      <c r="P2041" s="240"/>
      <c r="Q2041" s="240"/>
      <c r="R2041" s="240"/>
      <c r="S2041" s="240"/>
      <c r="T2041" s="240"/>
      <c r="U2041" s="240"/>
      <c r="V2041" s="240"/>
      <c r="W2041" s="240"/>
      <c r="X2041" s="240"/>
      <c r="Y2041" s="240"/>
      <c r="Z2041" s="240"/>
    </row>
    <row r="2042" ht="14.25" customHeight="1">
      <c r="A2042" s="302">
        <f t="shared" si="4"/>
        <v>48214</v>
      </c>
      <c r="B2042" s="241">
        <f t="shared" si="1"/>
        <v>2032</v>
      </c>
      <c r="C2042" s="241">
        <f t="shared" si="2"/>
        <v>1</v>
      </c>
      <c r="D2042" s="301" t="str">
        <f t="shared" si="3"/>
        <v>Thursday</v>
      </c>
      <c r="E2042" s="240"/>
      <c r="F2042" s="240"/>
      <c r="G2042" s="240"/>
      <c r="H2042" s="241"/>
      <c r="I2042" s="301"/>
      <c r="J2042" s="240"/>
      <c r="K2042" s="240"/>
      <c r="L2042" s="240"/>
      <c r="M2042" s="240"/>
      <c r="N2042" s="240"/>
      <c r="O2042" s="240"/>
      <c r="P2042" s="240"/>
      <c r="Q2042" s="240"/>
      <c r="R2042" s="240"/>
      <c r="S2042" s="240"/>
      <c r="T2042" s="240"/>
      <c r="U2042" s="240"/>
      <c r="V2042" s="240"/>
      <c r="W2042" s="240"/>
      <c r="X2042" s="240"/>
      <c r="Y2042" s="240"/>
      <c r="Z2042" s="240"/>
    </row>
    <row r="2043" ht="14.25" customHeight="1">
      <c r="A2043" s="302">
        <f t="shared" si="4"/>
        <v>48215</v>
      </c>
      <c r="B2043" s="241">
        <f t="shared" si="1"/>
        <v>2032</v>
      </c>
      <c r="C2043" s="241">
        <f t="shared" si="2"/>
        <v>1</v>
      </c>
      <c r="D2043" s="301" t="str">
        <f t="shared" si="3"/>
        <v>Friday</v>
      </c>
      <c r="E2043" s="240"/>
      <c r="F2043" s="240"/>
      <c r="G2043" s="240"/>
      <c r="H2043" s="241"/>
      <c r="I2043" s="301"/>
      <c r="J2043" s="240"/>
      <c r="K2043" s="240"/>
      <c r="L2043" s="240"/>
      <c r="M2043" s="240"/>
      <c r="N2043" s="240"/>
      <c r="O2043" s="240"/>
      <c r="P2043" s="240"/>
      <c r="Q2043" s="240"/>
      <c r="R2043" s="240"/>
      <c r="S2043" s="240"/>
      <c r="T2043" s="240"/>
      <c r="U2043" s="240"/>
      <c r="V2043" s="240"/>
      <c r="W2043" s="240"/>
      <c r="X2043" s="240"/>
      <c r="Y2043" s="240"/>
      <c r="Z2043" s="240"/>
    </row>
    <row r="2044" ht="14.25" customHeight="1">
      <c r="A2044" s="302">
        <f t="shared" si="4"/>
        <v>48216</v>
      </c>
      <c r="B2044" s="241">
        <f t="shared" si="1"/>
        <v>2032</v>
      </c>
      <c r="C2044" s="241">
        <f t="shared" si="2"/>
        <v>1</v>
      </c>
      <c r="D2044" s="301" t="str">
        <f t="shared" si="3"/>
        <v>Saturday</v>
      </c>
      <c r="E2044" s="240"/>
      <c r="F2044" s="240"/>
      <c r="G2044" s="240"/>
      <c r="H2044" s="241"/>
      <c r="I2044" s="301"/>
      <c r="J2044" s="240"/>
      <c r="K2044" s="240"/>
      <c r="L2044" s="240"/>
      <c r="M2044" s="240"/>
      <c r="N2044" s="240"/>
      <c r="O2044" s="240"/>
      <c r="P2044" s="240"/>
      <c r="Q2044" s="240"/>
      <c r="R2044" s="240"/>
      <c r="S2044" s="240"/>
      <c r="T2044" s="240"/>
      <c r="U2044" s="240"/>
      <c r="V2044" s="240"/>
      <c r="W2044" s="240"/>
      <c r="X2044" s="240"/>
      <c r="Y2044" s="240"/>
      <c r="Z2044" s="240"/>
    </row>
    <row r="2045" ht="14.25" customHeight="1">
      <c r="A2045" s="302">
        <f t="shared" si="4"/>
        <v>48217</v>
      </c>
      <c r="B2045" s="241">
        <f t="shared" si="1"/>
        <v>2032</v>
      </c>
      <c r="C2045" s="241">
        <f t="shared" si="2"/>
        <v>1</v>
      </c>
      <c r="D2045" s="301" t="str">
        <f t="shared" si="3"/>
        <v>Sunday</v>
      </c>
      <c r="E2045" s="240"/>
      <c r="F2045" s="240"/>
      <c r="G2045" s="240"/>
      <c r="H2045" s="241"/>
      <c r="I2045" s="301"/>
      <c r="J2045" s="240"/>
      <c r="K2045" s="240"/>
      <c r="L2045" s="240"/>
      <c r="M2045" s="240"/>
      <c r="N2045" s="240"/>
      <c r="O2045" s="240"/>
      <c r="P2045" s="240"/>
      <c r="Q2045" s="240"/>
      <c r="R2045" s="240"/>
      <c r="S2045" s="240"/>
      <c r="T2045" s="240"/>
      <c r="U2045" s="240"/>
      <c r="V2045" s="240"/>
      <c r="W2045" s="240"/>
      <c r="X2045" s="240"/>
      <c r="Y2045" s="240"/>
      <c r="Z2045" s="240"/>
    </row>
    <row r="2046" ht="14.25" customHeight="1">
      <c r="A2046" s="302">
        <f t="shared" si="4"/>
        <v>48218</v>
      </c>
      <c r="B2046" s="241">
        <f t="shared" si="1"/>
        <v>2032</v>
      </c>
      <c r="C2046" s="241">
        <f t="shared" si="2"/>
        <v>1</v>
      </c>
      <c r="D2046" s="301" t="str">
        <f t="shared" si="3"/>
        <v>Monday</v>
      </c>
      <c r="E2046" s="240"/>
      <c r="F2046" s="240"/>
      <c r="G2046" s="240"/>
      <c r="H2046" s="241"/>
      <c r="I2046" s="301"/>
      <c r="J2046" s="240"/>
      <c r="K2046" s="240"/>
      <c r="L2046" s="240"/>
      <c r="M2046" s="240"/>
      <c r="N2046" s="240"/>
      <c r="O2046" s="240"/>
      <c r="P2046" s="240"/>
      <c r="Q2046" s="240"/>
      <c r="R2046" s="240"/>
      <c r="S2046" s="240"/>
      <c r="T2046" s="240"/>
      <c r="U2046" s="240"/>
      <c r="V2046" s="240"/>
      <c r="W2046" s="240"/>
      <c r="X2046" s="240"/>
      <c r="Y2046" s="240"/>
      <c r="Z2046" s="240"/>
    </row>
    <row r="2047" ht="14.25" customHeight="1">
      <c r="A2047" s="302">
        <f t="shared" si="4"/>
        <v>48219</v>
      </c>
      <c r="B2047" s="241">
        <f t="shared" si="1"/>
        <v>2032</v>
      </c>
      <c r="C2047" s="241">
        <f t="shared" si="2"/>
        <v>1</v>
      </c>
      <c r="D2047" s="301" t="str">
        <f t="shared" si="3"/>
        <v>Tuesday</v>
      </c>
      <c r="E2047" s="240"/>
      <c r="F2047" s="240"/>
      <c r="G2047" s="240"/>
      <c r="H2047" s="241"/>
      <c r="I2047" s="301"/>
      <c r="J2047" s="240"/>
      <c r="K2047" s="240"/>
      <c r="L2047" s="240"/>
      <c r="M2047" s="240"/>
      <c r="N2047" s="240"/>
      <c r="O2047" s="240"/>
      <c r="P2047" s="240"/>
      <c r="Q2047" s="240"/>
      <c r="R2047" s="240"/>
      <c r="S2047" s="240"/>
      <c r="T2047" s="240"/>
      <c r="U2047" s="240"/>
      <c r="V2047" s="240"/>
      <c r="W2047" s="240"/>
      <c r="X2047" s="240"/>
      <c r="Y2047" s="240"/>
      <c r="Z2047" s="240"/>
    </row>
    <row r="2048" ht="14.25" customHeight="1">
      <c r="A2048" s="302">
        <f t="shared" si="4"/>
        <v>48220</v>
      </c>
      <c r="B2048" s="241">
        <f t="shared" si="1"/>
        <v>2032</v>
      </c>
      <c r="C2048" s="241">
        <f t="shared" si="2"/>
        <v>1</v>
      </c>
      <c r="D2048" s="301" t="str">
        <f t="shared" si="3"/>
        <v>Wednesday</v>
      </c>
      <c r="E2048" s="240"/>
      <c r="F2048" s="240"/>
      <c r="G2048" s="240"/>
      <c r="H2048" s="241"/>
      <c r="I2048" s="301"/>
      <c r="J2048" s="240"/>
      <c r="K2048" s="240"/>
      <c r="L2048" s="240"/>
      <c r="M2048" s="240"/>
      <c r="N2048" s="240"/>
      <c r="O2048" s="240"/>
      <c r="P2048" s="240"/>
      <c r="Q2048" s="240"/>
      <c r="R2048" s="240"/>
      <c r="S2048" s="240"/>
      <c r="T2048" s="240"/>
      <c r="U2048" s="240"/>
      <c r="V2048" s="240"/>
      <c r="W2048" s="240"/>
      <c r="X2048" s="240"/>
      <c r="Y2048" s="240"/>
      <c r="Z2048" s="240"/>
    </row>
    <row r="2049" ht="14.25" customHeight="1">
      <c r="A2049" s="302">
        <f t="shared" si="4"/>
        <v>48221</v>
      </c>
      <c r="B2049" s="241">
        <f t="shared" si="1"/>
        <v>2032</v>
      </c>
      <c r="C2049" s="241">
        <f t="shared" si="2"/>
        <v>1</v>
      </c>
      <c r="D2049" s="301" t="str">
        <f t="shared" si="3"/>
        <v>Thursday</v>
      </c>
      <c r="E2049" s="240"/>
      <c r="F2049" s="240"/>
      <c r="G2049" s="240"/>
      <c r="H2049" s="241"/>
      <c r="I2049" s="301"/>
      <c r="J2049" s="240"/>
      <c r="K2049" s="240"/>
      <c r="L2049" s="240"/>
      <c r="M2049" s="240"/>
      <c r="N2049" s="240"/>
      <c r="O2049" s="240"/>
      <c r="P2049" s="240"/>
      <c r="Q2049" s="240"/>
      <c r="R2049" s="240"/>
      <c r="S2049" s="240"/>
      <c r="T2049" s="240"/>
      <c r="U2049" s="240"/>
      <c r="V2049" s="240"/>
      <c r="W2049" s="240"/>
      <c r="X2049" s="240"/>
      <c r="Y2049" s="240"/>
      <c r="Z2049" s="240"/>
    </row>
    <row r="2050" ht="14.25" customHeight="1">
      <c r="A2050" s="302">
        <f t="shared" si="4"/>
        <v>48222</v>
      </c>
      <c r="B2050" s="241">
        <f t="shared" si="1"/>
        <v>2032</v>
      </c>
      <c r="C2050" s="241">
        <f t="shared" si="2"/>
        <v>1</v>
      </c>
      <c r="D2050" s="301" t="str">
        <f t="shared" si="3"/>
        <v>Friday</v>
      </c>
      <c r="E2050" s="240"/>
      <c r="F2050" s="240"/>
      <c r="G2050" s="240"/>
      <c r="H2050" s="241"/>
      <c r="I2050" s="301"/>
      <c r="J2050" s="240"/>
      <c r="K2050" s="240"/>
      <c r="L2050" s="240"/>
      <c r="M2050" s="240"/>
      <c r="N2050" s="240"/>
      <c r="O2050" s="240"/>
      <c r="P2050" s="240"/>
      <c r="Q2050" s="240"/>
      <c r="R2050" s="240"/>
      <c r="S2050" s="240"/>
      <c r="T2050" s="240"/>
      <c r="U2050" s="240"/>
      <c r="V2050" s="240"/>
      <c r="W2050" s="240"/>
      <c r="X2050" s="240"/>
      <c r="Y2050" s="240"/>
      <c r="Z2050" s="240"/>
    </row>
    <row r="2051" ht="14.25" customHeight="1">
      <c r="A2051" s="302">
        <f t="shared" si="4"/>
        <v>48223</v>
      </c>
      <c r="B2051" s="241">
        <f t="shared" si="1"/>
        <v>2032</v>
      </c>
      <c r="C2051" s="241">
        <f t="shared" si="2"/>
        <v>1</v>
      </c>
      <c r="D2051" s="301" t="str">
        <f t="shared" si="3"/>
        <v>Saturday</v>
      </c>
      <c r="E2051" s="240"/>
      <c r="F2051" s="240"/>
      <c r="G2051" s="240"/>
      <c r="H2051" s="241"/>
      <c r="I2051" s="301"/>
      <c r="J2051" s="240"/>
      <c r="K2051" s="240"/>
      <c r="L2051" s="240"/>
      <c r="M2051" s="240"/>
      <c r="N2051" s="240"/>
      <c r="O2051" s="240"/>
      <c r="P2051" s="240"/>
      <c r="Q2051" s="240"/>
      <c r="R2051" s="240"/>
      <c r="S2051" s="240"/>
      <c r="T2051" s="240"/>
      <c r="U2051" s="240"/>
      <c r="V2051" s="240"/>
      <c r="W2051" s="240"/>
      <c r="X2051" s="240"/>
      <c r="Y2051" s="240"/>
      <c r="Z2051" s="240"/>
    </row>
    <row r="2052" ht="14.25" customHeight="1">
      <c r="A2052" s="302">
        <f t="shared" si="4"/>
        <v>48224</v>
      </c>
      <c r="B2052" s="241">
        <f t="shared" si="1"/>
        <v>2032</v>
      </c>
      <c r="C2052" s="241">
        <f t="shared" si="2"/>
        <v>1</v>
      </c>
      <c r="D2052" s="301" t="str">
        <f t="shared" si="3"/>
        <v>Sunday</v>
      </c>
      <c r="E2052" s="240"/>
      <c r="F2052" s="240"/>
      <c r="G2052" s="240"/>
      <c r="H2052" s="241"/>
      <c r="I2052" s="301"/>
      <c r="J2052" s="240"/>
      <c r="K2052" s="240"/>
      <c r="L2052" s="240"/>
      <c r="M2052" s="240"/>
      <c r="N2052" s="240"/>
      <c r="O2052" s="240"/>
      <c r="P2052" s="240"/>
      <c r="Q2052" s="240"/>
      <c r="R2052" s="240"/>
      <c r="S2052" s="240"/>
      <c r="T2052" s="240"/>
      <c r="U2052" s="240"/>
      <c r="V2052" s="240"/>
      <c r="W2052" s="240"/>
      <c r="X2052" s="240"/>
      <c r="Y2052" s="240"/>
      <c r="Z2052" s="240"/>
    </row>
    <row r="2053" ht="14.25" customHeight="1">
      <c r="A2053" s="302">
        <f t="shared" si="4"/>
        <v>48225</v>
      </c>
      <c r="B2053" s="241">
        <f t="shared" si="1"/>
        <v>2032</v>
      </c>
      <c r="C2053" s="241">
        <f t="shared" si="2"/>
        <v>1</v>
      </c>
      <c r="D2053" s="301" t="str">
        <f t="shared" si="3"/>
        <v>Monday</v>
      </c>
      <c r="E2053" s="240"/>
      <c r="F2053" s="240"/>
      <c r="G2053" s="240"/>
      <c r="H2053" s="241"/>
      <c r="I2053" s="301"/>
      <c r="J2053" s="240"/>
      <c r="K2053" s="240"/>
      <c r="L2053" s="240"/>
      <c r="M2053" s="240"/>
      <c r="N2053" s="240"/>
      <c r="O2053" s="240"/>
      <c r="P2053" s="240"/>
      <c r="Q2053" s="240"/>
      <c r="R2053" s="240"/>
      <c r="S2053" s="240"/>
      <c r="T2053" s="240"/>
      <c r="U2053" s="240"/>
      <c r="V2053" s="240"/>
      <c r="W2053" s="240"/>
      <c r="X2053" s="240"/>
      <c r="Y2053" s="240"/>
      <c r="Z2053" s="240"/>
    </row>
    <row r="2054" ht="14.25" customHeight="1">
      <c r="A2054" s="302">
        <f t="shared" si="4"/>
        <v>48226</v>
      </c>
      <c r="B2054" s="241">
        <f t="shared" si="1"/>
        <v>2032</v>
      </c>
      <c r="C2054" s="241">
        <f t="shared" si="2"/>
        <v>1</v>
      </c>
      <c r="D2054" s="301" t="str">
        <f t="shared" si="3"/>
        <v>Tuesday</v>
      </c>
      <c r="E2054" s="240"/>
      <c r="F2054" s="240"/>
      <c r="G2054" s="240"/>
      <c r="H2054" s="241"/>
      <c r="I2054" s="301"/>
      <c r="J2054" s="240"/>
      <c r="K2054" s="240"/>
      <c r="L2054" s="240"/>
      <c r="M2054" s="240"/>
      <c r="N2054" s="240"/>
      <c r="O2054" s="240"/>
      <c r="P2054" s="240"/>
      <c r="Q2054" s="240"/>
      <c r="R2054" s="240"/>
      <c r="S2054" s="240"/>
      <c r="T2054" s="240"/>
      <c r="U2054" s="240"/>
      <c r="V2054" s="240"/>
      <c r="W2054" s="240"/>
      <c r="X2054" s="240"/>
      <c r="Y2054" s="240"/>
      <c r="Z2054" s="240"/>
    </row>
    <row r="2055" ht="14.25" customHeight="1">
      <c r="A2055" s="302">
        <f t="shared" si="4"/>
        <v>48227</v>
      </c>
      <c r="B2055" s="241">
        <f t="shared" si="1"/>
        <v>2032</v>
      </c>
      <c r="C2055" s="241">
        <f t="shared" si="2"/>
        <v>1</v>
      </c>
      <c r="D2055" s="301" t="str">
        <f t="shared" si="3"/>
        <v>Wednesday</v>
      </c>
      <c r="E2055" s="240"/>
      <c r="F2055" s="240"/>
      <c r="G2055" s="240"/>
      <c r="H2055" s="241"/>
      <c r="I2055" s="301"/>
      <c r="J2055" s="240"/>
      <c r="K2055" s="240"/>
      <c r="L2055" s="240"/>
      <c r="M2055" s="240"/>
      <c r="N2055" s="240"/>
      <c r="O2055" s="240"/>
      <c r="P2055" s="240"/>
      <c r="Q2055" s="240"/>
      <c r="R2055" s="240"/>
      <c r="S2055" s="240"/>
      <c r="T2055" s="240"/>
      <c r="U2055" s="240"/>
      <c r="V2055" s="240"/>
      <c r="W2055" s="240"/>
      <c r="X2055" s="240"/>
      <c r="Y2055" s="240"/>
      <c r="Z2055" s="240"/>
    </row>
    <row r="2056" ht="14.25" customHeight="1">
      <c r="A2056" s="302">
        <f t="shared" si="4"/>
        <v>48228</v>
      </c>
      <c r="B2056" s="241">
        <f t="shared" si="1"/>
        <v>2032</v>
      </c>
      <c r="C2056" s="241">
        <f t="shared" si="2"/>
        <v>1</v>
      </c>
      <c r="D2056" s="301" t="str">
        <f t="shared" si="3"/>
        <v>Thursday</v>
      </c>
      <c r="E2056" s="240"/>
      <c r="F2056" s="240"/>
      <c r="G2056" s="240"/>
      <c r="H2056" s="241"/>
      <c r="I2056" s="301"/>
      <c r="J2056" s="240"/>
      <c r="K2056" s="240"/>
      <c r="L2056" s="240"/>
      <c r="M2056" s="240"/>
      <c r="N2056" s="240"/>
      <c r="O2056" s="240"/>
      <c r="P2056" s="240"/>
      <c r="Q2056" s="240"/>
      <c r="R2056" s="240"/>
      <c r="S2056" s="240"/>
      <c r="T2056" s="240"/>
      <c r="U2056" s="240"/>
      <c r="V2056" s="240"/>
      <c r="W2056" s="240"/>
      <c r="X2056" s="240"/>
      <c r="Y2056" s="240"/>
      <c r="Z2056" s="240"/>
    </row>
    <row r="2057" ht="14.25" customHeight="1">
      <c r="A2057" s="302">
        <f t="shared" si="4"/>
        <v>48229</v>
      </c>
      <c r="B2057" s="241">
        <f t="shared" si="1"/>
        <v>2032</v>
      </c>
      <c r="C2057" s="241">
        <f t="shared" si="2"/>
        <v>1</v>
      </c>
      <c r="D2057" s="301" t="str">
        <f t="shared" si="3"/>
        <v>Friday</v>
      </c>
      <c r="E2057" s="240"/>
      <c r="F2057" s="240"/>
      <c r="G2057" s="240"/>
      <c r="H2057" s="241"/>
      <c r="I2057" s="301"/>
      <c r="J2057" s="240"/>
      <c r="K2057" s="240"/>
      <c r="L2057" s="240"/>
      <c r="M2057" s="240"/>
      <c r="N2057" s="240"/>
      <c r="O2057" s="240"/>
      <c r="P2057" s="240"/>
      <c r="Q2057" s="240"/>
      <c r="R2057" s="240"/>
      <c r="S2057" s="240"/>
      <c r="T2057" s="240"/>
      <c r="U2057" s="240"/>
      <c r="V2057" s="240"/>
      <c r="W2057" s="240"/>
      <c r="X2057" s="240"/>
      <c r="Y2057" s="240"/>
      <c r="Z2057" s="240"/>
    </row>
    <row r="2058" ht="14.25" customHeight="1">
      <c r="A2058" s="302">
        <f t="shared" si="4"/>
        <v>48230</v>
      </c>
      <c r="B2058" s="241">
        <f t="shared" si="1"/>
        <v>2032</v>
      </c>
      <c r="C2058" s="241">
        <f t="shared" si="2"/>
        <v>1</v>
      </c>
      <c r="D2058" s="301" t="str">
        <f t="shared" si="3"/>
        <v>Saturday</v>
      </c>
      <c r="E2058" s="240"/>
      <c r="F2058" s="240"/>
      <c r="G2058" s="240"/>
      <c r="H2058" s="241"/>
      <c r="I2058" s="301"/>
      <c r="J2058" s="240"/>
      <c r="K2058" s="240"/>
      <c r="L2058" s="240"/>
      <c r="M2058" s="240"/>
      <c r="N2058" s="240"/>
      <c r="O2058" s="240"/>
      <c r="P2058" s="240"/>
      <c r="Q2058" s="240"/>
      <c r="R2058" s="240"/>
      <c r="S2058" s="240"/>
      <c r="T2058" s="240"/>
      <c r="U2058" s="240"/>
      <c r="V2058" s="240"/>
      <c r="W2058" s="240"/>
      <c r="X2058" s="240"/>
      <c r="Y2058" s="240"/>
      <c r="Z2058" s="240"/>
    </row>
    <row r="2059" ht="14.25" customHeight="1">
      <c r="A2059" s="302">
        <f t="shared" si="4"/>
        <v>48231</v>
      </c>
      <c r="B2059" s="241">
        <f t="shared" si="1"/>
        <v>2032</v>
      </c>
      <c r="C2059" s="241">
        <f t="shared" si="2"/>
        <v>1</v>
      </c>
      <c r="D2059" s="301" t="str">
        <f t="shared" si="3"/>
        <v>Sunday</v>
      </c>
      <c r="E2059" s="240"/>
      <c r="F2059" s="240"/>
      <c r="G2059" s="240"/>
      <c r="H2059" s="241"/>
      <c r="I2059" s="301"/>
      <c r="J2059" s="240"/>
      <c r="K2059" s="240"/>
      <c r="L2059" s="240"/>
      <c r="M2059" s="240"/>
      <c r="N2059" s="240"/>
      <c r="O2059" s="240"/>
      <c r="P2059" s="240"/>
      <c r="Q2059" s="240"/>
      <c r="R2059" s="240"/>
      <c r="S2059" s="240"/>
      <c r="T2059" s="240"/>
      <c r="U2059" s="240"/>
      <c r="V2059" s="240"/>
      <c r="W2059" s="240"/>
      <c r="X2059" s="240"/>
      <c r="Y2059" s="240"/>
      <c r="Z2059" s="240"/>
    </row>
    <row r="2060" ht="14.25" customHeight="1">
      <c r="A2060" s="302">
        <f t="shared" si="4"/>
        <v>48232</v>
      </c>
      <c r="B2060" s="241">
        <f t="shared" si="1"/>
        <v>2032</v>
      </c>
      <c r="C2060" s="241">
        <f t="shared" si="2"/>
        <v>1</v>
      </c>
      <c r="D2060" s="301" t="str">
        <f t="shared" si="3"/>
        <v>Monday</v>
      </c>
      <c r="E2060" s="240"/>
      <c r="F2060" s="240"/>
      <c r="G2060" s="240"/>
      <c r="H2060" s="241"/>
      <c r="I2060" s="301"/>
      <c r="J2060" s="240"/>
      <c r="K2060" s="240"/>
      <c r="L2060" s="240"/>
      <c r="M2060" s="240"/>
      <c r="N2060" s="240"/>
      <c r="O2060" s="240"/>
      <c r="P2060" s="240"/>
      <c r="Q2060" s="240"/>
      <c r="R2060" s="240"/>
      <c r="S2060" s="240"/>
      <c r="T2060" s="240"/>
      <c r="U2060" s="240"/>
      <c r="V2060" s="240"/>
      <c r="W2060" s="240"/>
      <c r="X2060" s="240"/>
      <c r="Y2060" s="240"/>
      <c r="Z2060" s="24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2024-07-16T07:40:58Z</dcterms:created>
  <dc:creator>Anh Son Tran</dc:creator>
</cp:coreProperties>
</file>